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kasif\Documents\Qatar-Environment-and-Energy-Research-Institute-Internship-Work-\Scalable_Work\"/>
    </mc:Choice>
  </mc:AlternateContent>
  <xr:revisionPtr revIDLastSave="0" documentId="13_ncr:1_{E2325305-AA09-4819-A699-45DFF3E3885A}" xr6:coauthVersionLast="47" xr6:coauthVersionMax="47" xr10:uidLastSave="{00000000-0000-0000-0000-000000000000}"/>
  <bookViews>
    <workbookView xWindow="-108" yWindow="-108" windowWidth="23256" windowHeight="12456" activeTab="2" xr2:uid="{D029F850-DD1B-4CC2-9730-F8119DD79F26}"/>
  </bookViews>
  <sheets>
    <sheet name="Structure" sheetId="1" r:id="rId1"/>
    <sheet name="Graphs (6 Types)" sheetId="3" r:id="rId2"/>
    <sheet name="Areas of Optimization" sheetId="6" r:id="rId3"/>
    <sheet name="Machine-Learning-Kit" sheetId="7" r:id="rId4"/>
    <sheet name="new" sheetId="5" r:id="rId5"/>
    <sheet name="ReadMe" sheetId="4" r:id="rId6"/>
    <sheet name="Extra" sheetId="2"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58" i="3" l="1"/>
  <c r="AL59" i="3"/>
  <c r="AL60" i="3"/>
  <c r="AL61" i="3"/>
  <c r="AL62" i="3"/>
  <c r="AL63" i="3"/>
  <c r="AL64" i="3"/>
  <c r="AL65" i="3"/>
  <c r="AL66" i="3"/>
  <c r="AL67" i="3"/>
  <c r="AL68" i="3"/>
  <c r="AL69" i="3"/>
  <c r="AL70" i="3"/>
  <c r="AL71" i="3"/>
  <c r="AL72" i="3"/>
  <c r="AL73" i="3"/>
  <c r="AL74" i="3"/>
  <c r="AL75" i="3"/>
  <c r="AL76" i="3"/>
  <c r="AL77" i="3"/>
  <c r="AL78" i="3"/>
  <c r="AL79" i="3"/>
  <c r="AL80" i="3"/>
  <c r="AL81" i="3"/>
  <c r="AL82" i="3"/>
  <c r="AL83" i="3"/>
  <c r="AL84" i="3"/>
  <c r="AL85" i="3"/>
  <c r="AL86" i="3"/>
  <c r="AL87" i="3"/>
  <c r="AL88" i="3"/>
  <c r="AL89" i="3"/>
  <c r="AL90" i="3"/>
  <c r="AL91" i="3"/>
  <c r="AL92" i="3"/>
  <c r="AL93" i="3"/>
  <c r="AL94" i="3"/>
  <c r="AL95" i="3"/>
  <c r="AL96" i="3"/>
  <c r="AL97" i="3"/>
  <c r="AL98" i="3"/>
  <c r="AL99" i="3"/>
  <c r="AL100" i="3"/>
  <c r="AL101" i="3"/>
  <c r="AL102" i="3"/>
  <c r="AL103" i="3"/>
  <c r="AL104" i="3"/>
  <c r="AL105" i="3"/>
  <c r="AL106" i="3"/>
  <c r="AL107" i="3"/>
  <c r="AL108" i="3"/>
  <c r="AL109" i="3"/>
  <c r="AL110" i="3"/>
  <c r="AL111" i="3"/>
  <c r="AL112" i="3"/>
  <c r="AL113" i="3"/>
  <c r="AL114" i="3"/>
  <c r="AL115" i="3"/>
  <c r="AL116" i="3"/>
  <c r="AL117" i="3"/>
  <c r="AL118" i="3"/>
  <c r="AL119" i="3"/>
  <c r="AL120" i="3"/>
  <c r="AL121" i="3"/>
  <c r="AL122" i="3"/>
  <c r="AL123" i="3"/>
  <c r="AL124" i="3"/>
  <c r="AL125" i="3"/>
  <c r="AL126" i="3"/>
  <c r="AL127" i="3"/>
  <c r="AL128" i="3"/>
  <c r="AL129" i="3"/>
  <c r="AL130" i="3"/>
  <c r="AL131" i="3"/>
  <c r="AL132" i="3"/>
  <c r="AL133" i="3"/>
  <c r="AL134" i="3"/>
  <c r="AL135" i="3"/>
  <c r="AL136" i="3"/>
  <c r="AL137" i="3"/>
  <c r="AL138" i="3"/>
  <c r="AL139" i="3"/>
  <c r="AL140" i="3"/>
  <c r="AL141" i="3"/>
  <c r="AL142" i="3"/>
  <c r="AL143" i="3"/>
  <c r="AL144" i="3"/>
  <c r="AL145" i="3"/>
  <c r="AL146" i="3"/>
  <c r="AL147" i="3"/>
  <c r="AL148" i="3"/>
  <c r="AL149" i="3"/>
  <c r="AL150" i="3"/>
  <c r="AL151" i="3"/>
  <c r="AL152" i="3"/>
  <c r="AL153" i="3"/>
  <c r="AL154" i="3"/>
  <c r="AL155" i="3"/>
  <c r="AL156" i="3"/>
  <c r="AL157" i="3"/>
  <c r="AL158" i="3"/>
  <c r="AL159" i="3"/>
  <c r="AL160" i="3"/>
  <c r="AL161" i="3"/>
  <c r="AL162" i="3"/>
  <c r="AL163" i="3"/>
  <c r="AL164" i="3"/>
  <c r="AL165" i="3"/>
  <c r="AL166" i="3"/>
  <c r="AL167" i="3"/>
  <c r="AL168" i="3"/>
  <c r="AL169" i="3"/>
  <c r="AL170" i="3"/>
  <c r="AL171" i="3"/>
  <c r="AL172" i="3"/>
  <c r="AL173" i="3"/>
  <c r="AL174" i="3"/>
  <c r="AL175" i="3"/>
  <c r="AL176" i="3"/>
  <c r="AL177" i="3"/>
  <c r="AL178" i="3"/>
  <c r="AL179" i="3"/>
  <c r="AL180" i="3"/>
  <c r="AL181" i="3"/>
  <c r="AL182" i="3"/>
  <c r="AL183" i="3"/>
  <c r="AL184" i="3"/>
  <c r="AL185" i="3"/>
  <c r="AL186" i="3"/>
  <c r="AL187" i="3"/>
  <c r="AL188" i="3"/>
  <c r="AL189" i="3"/>
  <c r="AL190" i="3"/>
  <c r="AL191" i="3"/>
  <c r="AL192" i="3"/>
  <c r="AL193" i="3"/>
  <c r="AL194" i="3"/>
  <c r="AL195" i="3"/>
  <c r="AL196" i="3"/>
  <c r="AL197" i="3"/>
  <c r="AL198" i="3"/>
  <c r="AL199" i="3"/>
  <c r="AL200" i="3"/>
  <c r="AL201" i="3"/>
  <c r="AL202" i="3"/>
  <c r="AL203" i="3"/>
  <c r="AL204" i="3"/>
  <c r="AL205" i="3"/>
  <c r="AL206" i="3"/>
  <c r="AL207" i="3"/>
  <c r="AL208" i="3"/>
  <c r="AL209" i="3"/>
  <c r="AL210" i="3"/>
  <c r="AL211" i="3"/>
  <c r="AL212" i="3"/>
  <c r="AL213" i="3"/>
  <c r="AL214" i="3"/>
  <c r="AL215" i="3"/>
  <c r="AL216" i="3"/>
  <c r="AL217" i="3"/>
  <c r="AL218" i="3"/>
  <c r="AL219" i="3"/>
  <c r="AL220" i="3"/>
  <c r="AL221" i="3"/>
  <c r="AL222" i="3"/>
  <c r="AL223" i="3"/>
  <c r="AL224" i="3"/>
  <c r="AL225" i="3"/>
  <c r="AL226" i="3"/>
  <c r="AL227" i="3"/>
  <c r="AL228" i="3"/>
  <c r="AL229" i="3"/>
  <c r="AL230" i="3"/>
  <c r="AL231" i="3"/>
  <c r="AL232" i="3"/>
  <c r="AL233" i="3"/>
  <c r="AL234" i="3"/>
  <c r="AL235" i="3"/>
  <c r="AL236" i="3"/>
  <c r="AL237" i="3"/>
  <c r="AL238" i="3"/>
  <c r="AL239" i="3"/>
  <c r="AL240" i="3"/>
  <c r="AL241" i="3"/>
  <c r="AL242" i="3"/>
  <c r="AL243" i="3"/>
  <c r="AL244" i="3"/>
  <c r="AL245" i="3"/>
  <c r="AL246" i="3"/>
  <c r="AL247" i="3"/>
  <c r="AL248" i="3"/>
  <c r="AL249" i="3"/>
  <c r="AL250" i="3"/>
  <c r="AL251" i="3"/>
  <c r="AL252" i="3"/>
  <c r="AL253" i="3"/>
  <c r="AL254" i="3"/>
  <c r="AL255" i="3"/>
  <c r="AL256" i="3"/>
  <c r="AL257" i="3"/>
  <c r="AL258" i="3"/>
  <c r="AL259" i="3"/>
  <c r="AL260" i="3"/>
  <c r="AL261" i="3"/>
  <c r="AL262" i="3"/>
  <c r="AL263" i="3"/>
  <c r="AL264" i="3"/>
  <c r="AL265" i="3"/>
  <c r="AL266" i="3"/>
  <c r="AL267" i="3"/>
  <c r="AL268" i="3"/>
  <c r="AL269" i="3"/>
  <c r="AL270" i="3"/>
  <c r="AL271" i="3"/>
  <c r="AL272" i="3"/>
  <c r="AL273" i="3"/>
  <c r="AL274" i="3"/>
  <c r="AL275" i="3"/>
  <c r="AL276" i="3"/>
  <c r="AL277" i="3"/>
  <c r="AL278" i="3"/>
  <c r="AL279" i="3"/>
  <c r="AL280" i="3"/>
  <c r="AL281" i="3"/>
  <c r="AL282" i="3"/>
  <c r="AL283" i="3"/>
  <c r="AL284" i="3"/>
  <c r="AL285" i="3"/>
  <c r="AL286" i="3"/>
  <c r="AL287" i="3"/>
  <c r="AL288" i="3"/>
  <c r="AL289" i="3"/>
  <c r="AL290" i="3"/>
  <c r="AL291" i="3"/>
  <c r="AL292" i="3"/>
  <c r="AL293" i="3"/>
  <c r="AL294" i="3"/>
  <c r="AL295" i="3"/>
  <c r="AL296" i="3"/>
  <c r="AL297" i="3"/>
  <c r="AL298" i="3"/>
  <c r="AL299" i="3"/>
  <c r="AL300" i="3"/>
  <c r="AL301" i="3"/>
  <c r="AL302" i="3"/>
  <c r="AL303" i="3"/>
  <c r="AL304" i="3"/>
  <c r="AL305" i="3"/>
  <c r="AL306" i="3"/>
  <c r="AL307" i="3"/>
  <c r="AL308" i="3"/>
  <c r="AL309" i="3"/>
  <c r="AL310" i="3"/>
  <c r="AL311" i="3"/>
  <c r="AL312" i="3"/>
  <c r="AL313" i="3"/>
  <c r="AL314" i="3"/>
  <c r="AL315" i="3"/>
  <c r="AL316" i="3"/>
  <c r="AL317" i="3"/>
  <c r="AL318" i="3"/>
  <c r="AL319" i="3"/>
  <c r="AL320" i="3"/>
  <c r="AL321" i="3"/>
  <c r="AL322" i="3"/>
  <c r="AL323" i="3"/>
  <c r="AL324" i="3"/>
  <c r="AL325" i="3"/>
  <c r="AL326" i="3"/>
  <c r="AL327" i="3"/>
  <c r="AL328" i="3"/>
  <c r="AL329" i="3"/>
  <c r="AL330" i="3"/>
  <c r="AL331" i="3"/>
  <c r="AL332" i="3"/>
  <c r="AL333" i="3"/>
  <c r="AL334" i="3"/>
  <c r="AL335" i="3"/>
  <c r="AL336" i="3"/>
  <c r="AL337" i="3"/>
  <c r="AL338" i="3"/>
  <c r="AL339" i="3"/>
  <c r="AL340" i="3"/>
  <c r="AL341" i="3"/>
  <c r="AL342" i="3"/>
  <c r="AL343" i="3"/>
  <c r="AL344" i="3"/>
  <c r="AL345" i="3"/>
  <c r="AL346" i="3"/>
  <c r="AL347" i="3"/>
  <c r="AL348" i="3"/>
  <c r="AL349" i="3"/>
  <c r="AL350" i="3"/>
  <c r="AL351" i="3"/>
  <c r="AL352" i="3"/>
  <c r="AL353" i="3"/>
  <c r="AL354" i="3"/>
  <c r="AL355" i="3"/>
  <c r="AL356" i="3"/>
  <c r="AL357" i="3"/>
  <c r="AL358" i="3"/>
  <c r="AL359" i="3"/>
  <c r="AL360" i="3"/>
  <c r="AL361" i="3"/>
  <c r="AL362" i="3"/>
  <c r="AL363" i="3"/>
  <c r="AL364" i="3"/>
  <c r="AL365" i="3"/>
  <c r="AL366" i="3"/>
  <c r="AL367" i="3"/>
  <c r="AL368" i="3"/>
  <c r="AL369" i="3"/>
  <c r="AL370" i="3"/>
  <c r="AL371" i="3"/>
  <c r="AL372" i="3"/>
  <c r="AL373" i="3"/>
  <c r="AL374" i="3"/>
  <c r="AL375" i="3"/>
  <c r="AL376" i="3"/>
  <c r="AL377" i="3"/>
  <c r="AL378" i="3"/>
  <c r="AL379" i="3"/>
  <c r="AL380" i="3"/>
  <c r="AL381" i="3"/>
  <c r="AL382" i="3"/>
  <c r="AL383" i="3"/>
  <c r="AL384" i="3"/>
  <c r="AL385" i="3"/>
  <c r="AL386" i="3"/>
  <c r="AL387" i="3"/>
  <c r="AL388" i="3"/>
  <c r="AL389" i="3"/>
  <c r="AL390" i="3"/>
  <c r="AL391" i="3"/>
  <c r="AL392" i="3"/>
  <c r="AL393" i="3"/>
  <c r="AL394" i="3"/>
  <c r="AL395" i="3"/>
  <c r="AL396" i="3"/>
  <c r="AL397" i="3"/>
  <c r="AL398" i="3"/>
  <c r="AL399" i="3"/>
  <c r="AL400" i="3"/>
  <c r="AL401" i="3"/>
  <c r="AL402" i="3"/>
  <c r="AL403" i="3"/>
  <c r="AL404" i="3"/>
  <c r="AL405" i="3"/>
  <c r="AL406" i="3"/>
  <c r="AL407" i="3"/>
  <c r="AL408" i="3"/>
  <c r="AL409" i="3"/>
  <c r="AL410" i="3"/>
  <c r="AL411" i="3"/>
  <c r="AL412" i="3"/>
  <c r="AL413" i="3"/>
  <c r="AL414" i="3"/>
  <c r="AL415" i="3"/>
  <c r="AL416" i="3"/>
  <c r="AL417" i="3"/>
  <c r="AL418" i="3"/>
  <c r="AL419" i="3"/>
  <c r="AL420" i="3"/>
  <c r="AL421" i="3"/>
  <c r="AL422" i="3"/>
  <c r="AL423" i="3"/>
  <c r="AL424" i="3"/>
  <c r="AL425" i="3"/>
  <c r="AL426" i="3"/>
  <c r="AL427" i="3"/>
  <c r="AL428" i="3"/>
  <c r="AL429" i="3"/>
  <c r="AL430" i="3"/>
  <c r="AL431" i="3"/>
  <c r="AL432" i="3"/>
  <c r="AL433" i="3"/>
  <c r="AL434" i="3"/>
  <c r="AL435" i="3"/>
  <c r="AL436" i="3"/>
  <c r="AL437" i="3"/>
  <c r="AL438" i="3"/>
  <c r="AL439" i="3"/>
  <c r="AL440" i="3"/>
  <c r="AL441" i="3"/>
  <c r="AL442" i="3"/>
  <c r="AL443" i="3"/>
  <c r="AL444" i="3"/>
  <c r="AL445" i="3"/>
  <c r="AL446" i="3"/>
  <c r="AL447" i="3"/>
  <c r="AL448" i="3"/>
  <c r="AL449" i="3"/>
  <c r="AL450" i="3"/>
  <c r="AL451" i="3"/>
  <c r="AL452" i="3"/>
  <c r="AL453" i="3"/>
  <c r="AL454" i="3"/>
  <c r="AL455" i="3"/>
  <c r="AL456" i="3"/>
  <c r="AL457" i="3"/>
  <c r="AL458" i="3"/>
  <c r="AL459" i="3"/>
  <c r="AL460" i="3"/>
  <c r="AL461" i="3"/>
  <c r="AL462" i="3"/>
  <c r="AL463" i="3"/>
  <c r="AL464" i="3"/>
  <c r="AL465" i="3"/>
  <c r="AL466" i="3"/>
  <c r="AL467" i="3"/>
  <c r="AL468" i="3"/>
  <c r="AL469" i="3"/>
  <c r="AL470" i="3"/>
  <c r="AL471" i="3"/>
  <c r="AL472" i="3"/>
  <c r="AL473" i="3"/>
  <c r="AL474" i="3"/>
  <c r="AL475" i="3"/>
  <c r="AL476" i="3"/>
  <c r="AL477" i="3"/>
  <c r="AL478" i="3"/>
  <c r="AL479" i="3"/>
  <c r="AL480" i="3"/>
  <c r="AL481" i="3"/>
  <c r="AL482" i="3"/>
  <c r="AL483" i="3"/>
  <c r="AL484" i="3"/>
  <c r="AL485" i="3"/>
  <c r="AL486" i="3"/>
  <c r="AL487" i="3"/>
  <c r="AL488" i="3"/>
  <c r="AL489" i="3"/>
  <c r="AL490" i="3"/>
  <c r="AL491" i="3"/>
  <c r="AL492" i="3"/>
  <c r="AL493" i="3"/>
  <c r="AL494" i="3"/>
  <c r="AL495" i="3"/>
  <c r="AL496" i="3"/>
  <c r="AL497" i="3"/>
  <c r="AL498" i="3"/>
  <c r="AL499" i="3"/>
  <c r="AL500" i="3"/>
  <c r="AL501" i="3"/>
  <c r="AL502" i="3"/>
  <c r="AL503" i="3"/>
  <c r="AL504" i="3"/>
  <c r="AL505" i="3"/>
  <c r="AL506" i="3"/>
  <c r="AL507" i="3"/>
  <c r="AL508" i="3"/>
  <c r="AL509" i="3"/>
  <c r="AL510" i="3"/>
  <c r="AL511" i="3"/>
  <c r="AL512" i="3"/>
  <c r="AL513" i="3"/>
  <c r="AL514" i="3"/>
  <c r="AL515" i="3"/>
  <c r="AL516" i="3"/>
  <c r="AL517" i="3"/>
  <c r="AL518" i="3"/>
  <c r="AL519" i="3"/>
  <c r="AL520" i="3"/>
  <c r="AL521" i="3"/>
  <c r="AL522" i="3"/>
  <c r="AL523" i="3"/>
  <c r="AL524" i="3"/>
  <c r="AL525" i="3"/>
  <c r="AL526" i="3"/>
  <c r="AL527" i="3"/>
  <c r="AL528" i="3"/>
  <c r="AL529" i="3"/>
  <c r="AL530" i="3"/>
  <c r="AL531" i="3"/>
  <c r="AL532" i="3"/>
  <c r="AL533" i="3"/>
  <c r="AL534" i="3"/>
  <c r="AL535" i="3"/>
  <c r="AL536" i="3"/>
  <c r="AL537" i="3"/>
  <c r="AL538" i="3"/>
  <c r="AL539" i="3"/>
  <c r="AL540" i="3"/>
  <c r="AL541" i="3"/>
  <c r="AL542" i="3"/>
  <c r="AL543" i="3"/>
  <c r="AL544" i="3"/>
  <c r="AL545" i="3"/>
  <c r="AL546" i="3"/>
  <c r="AL547" i="3"/>
  <c r="AL548" i="3"/>
  <c r="AL549" i="3"/>
  <c r="AL550" i="3"/>
  <c r="AL551" i="3"/>
  <c r="AL552" i="3"/>
  <c r="AL553" i="3"/>
  <c r="AL554" i="3"/>
  <c r="AL555" i="3"/>
  <c r="AL556" i="3"/>
  <c r="AL557" i="3"/>
  <c r="AL558" i="3"/>
  <c r="AL559" i="3"/>
  <c r="AL560" i="3"/>
  <c r="AL561" i="3"/>
  <c r="AL562" i="3"/>
  <c r="AL563" i="3"/>
  <c r="AL564" i="3"/>
  <c r="AL565" i="3"/>
  <c r="AL566" i="3"/>
  <c r="AL567" i="3"/>
  <c r="AL568" i="3"/>
  <c r="AL569" i="3"/>
  <c r="AL570" i="3"/>
  <c r="AL571" i="3"/>
  <c r="AL572" i="3"/>
  <c r="AL573" i="3"/>
  <c r="AL574" i="3"/>
  <c r="AL575" i="3"/>
  <c r="AL576" i="3"/>
  <c r="AL577" i="3"/>
  <c r="AL578" i="3"/>
  <c r="AL579" i="3"/>
  <c r="AL580" i="3"/>
  <c r="AL581" i="3"/>
  <c r="AL582" i="3"/>
  <c r="AL583" i="3"/>
  <c r="AL584" i="3"/>
  <c r="AL585" i="3"/>
  <c r="AL586" i="3"/>
  <c r="AL587" i="3"/>
  <c r="AL588" i="3"/>
  <c r="AL589" i="3"/>
  <c r="AL590" i="3"/>
  <c r="AL591" i="3"/>
  <c r="AL592" i="3"/>
  <c r="AL593" i="3"/>
  <c r="AL594" i="3"/>
  <c r="AL595" i="3"/>
  <c r="AL596" i="3"/>
  <c r="AL597" i="3"/>
  <c r="AL598" i="3"/>
  <c r="AL599" i="3"/>
  <c r="AL600" i="3"/>
  <c r="AL601" i="3"/>
  <c r="AL602" i="3"/>
  <c r="AL603" i="3"/>
  <c r="AL604" i="3"/>
  <c r="AL605" i="3"/>
  <c r="AL606" i="3"/>
  <c r="AL607" i="3"/>
  <c r="AL608" i="3"/>
  <c r="AL609" i="3"/>
  <c r="AL610" i="3"/>
  <c r="AL611" i="3"/>
  <c r="AL612" i="3"/>
  <c r="AL613" i="3"/>
  <c r="AL614" i="3"/>
  <c r="AL615" i="3"/>
  <c r="AL616" i="3"/>
  <c r="AL617" i="3"/>
  <c r="AL618" i="3"/>
  <c r="AL619" i="3"/>
  <c r="AL620" i="3"/>
  <c r="AL621" i="3"/>
  <c r="AL622" i="3"/>
  <c r="AL623" i="3"/>
  <c r="AL624" i="3"/>
  <c r="AL625" i="3"/>
  <c r="AL626" i="3"/>
  <c r="AL627" i="3"/>
  <c r="AL628" i="3"/>
  <c r="AL629" i="3"/>
  <c r="AL630" i="3"/>
  <c r="AL631" i="3"/>
  <c r="AL632" i="3"/>
  <c r="AL633" i="3"/>
  <c r="AL634" i="3"/>
  <c r="AL635" i="3"/>
  <c r="AL636" i="3"/>
  <c r="AL637" i="3"/>
  <c r="AL638" i="3"/>
  <c r="AL639" i="3"/>
  <c r="AL640" i="3"/>
  <c r="AL641" i="3"/>
  <c r="AL642" i="3"/>
  <c r="AL643" i="3"/>
  <c r="AL644" i="3"/>
  <c r="AL645" i="3"/>
  <c r="AL646" i="3"/>
  <c r="AL647" i="3"/>
  <c r="AL648" i="3"/>
  <c r="AL649" i="3"/>
  <c r="AL650" i="3"/>
  <c r="AL651" i="3"/>
  <c r="AL652" i="3"/>
  <c r="AL653" i="3"/>
  <c r="AL654" i="3"/>
  <c r="AL655" i="3"/>
  <c r="AL656" i="3"/>
  <c r="AL657" i="3"/>
  <c r="AL658" i="3"/>
  <c r="AL659" i="3"/>
  <c r="AL660" i="3"/>
  <c r="AL661" i="3"/>
  <c r="AL662" i="3"/>
  <c r="AL663" i="3"/>
  <c r="AL664" i="3"/>
  <c r="AL665" i="3"/>
  <c r="AL666" i="3"/>
  <c r="AL667" i="3"/>
  <c r="AL668" i="3"/>
  <c r="AL669" i="3"/>
  <c r="AL670" i="3"/>
  <c r="AL671" i="3"/>
  <c r="AL672" i="3"/>
  <c r="AL673" i="3"/>
  <c r="AL674" i="3"/>
  <c r="AL675" i="3"/>
  <c r="AL676" i="3"/>
  <c r="AL677" i="3"/>
  <c r="AL678" i="3"/>
  <c r="AL679" i="3"/>
  <c r="AL680" i="3"/>
  <c r="AL681" i="3"/>
  <c r="AL682" i="3"/>
  <c r="AL683" i="3"/>
  <c r="AL684" i="3"/>
  <c r="AL685" i="3"/>
  <c r="AL686" i="3"/>
  <c r="AL687" i="3"/>
  <c r="AL688" i="3"/>
  <c r="AL689" i="3"/>
  <c r="AL690" i="3"/>
  <c r="AL691" i="3"/>
  <c r="AL692" i="3"/>
  <c r="AL693" i="3"/>
  <c r="AL694" i="3"/>
  <c r="AL695" i="3"/>
  <c r="AL696" i="3"/>
  <c r="AL697" i="3"/>
  <c r="AL698" i="3"/>
  <c r="AL699" i="3"/>
  <c r="AL700" i="3"/>
  <c r="AL701" i="3"/>
  <c r="AL702" i="3"/>
  <c r="AL703" i="3"/>
  <c r="AL704" i="3"/>
  <c r="AL705" i="3"/>
  <c r="AL706" i="3"/>
  <c r="AL707" i="3"/>
  <c r="AL708" i="3"/>
  <c r="AL709" i="3"/>
  <c r="AL710" i="3"/>
  <c r="AL711" i="3"/>
  <c r="AL712" i="3"/>
  <c r="AL713" i="3"/>
  <c r="AL714" i="3"/>
  <c r="AL715" i="3"/>
  <c r="AL716" i="3"/>
  <c r="AL717" i="3"/>
  <c r="AL718" i="3"/>
  <c r="AL719" i="3"/>
  <c r="AL720" i="3"/>
  <c r="AL721" i="3"/>
  <c r="AL722" i="3"/>
  <c r="AL723" i="3"/>
  <c r="AL724" i="3"/>
  <c r="AL725" i="3"/>
  <c r="AL726" i="3"/>
  <c r="AL727" i="3"/>
  <c r="AL728" i="3"/>
  <c r="AL729" i="3"/>
  <c r="AL730" i="3"/>
  <c r="AL731" i="3"/>
  <c r="AL732" i="3"/>
  <c r="AL733" i="3"/>
  <c r="AL734" i="3"/>
  <c r="AL735" i="3"/>
  <c r="AL736" i="3"/>
  <c r="AL737" i="3"/>
  <c r="AL738" i="3"/>
  <c r="AL739" i="3"/>
  <c r="AL740" i="3"/>
  <c r="AL741" i="3"/>
  <c r="AL742" i="3"/>
  <c r="AL743" i="3"/>
  <c r="AL744" i="3"/>
  <c r="AL745" i="3"/>
  <c r="AL746" i="3"/>
  <c r="AL747" i="3"/>
  <c r="AL748" i="3"/>
  <c r="AL749" i="3"/>
  <c r="AL750" i="3"/>
  <c r="AL751" i="3"/>
  <c r="AL752" i="3"/>
  <c r="AL753" i="3"/>
  <c r="AL754" i="3"/>
  <c r="AL755" i="3"/>
  <c r="AL756" i="3"/>
  <c r="AL757" i="3"/>
  <c r="AL758" i="3"/>
  <c r="AL759" i="3"/>
  <c r="AL760" i="3"/>
  <c r="AL761" i="3"/>
  <c r="AL762" i="3"/>
  <c r="AL763" i="3"/>
  <c r="AL764" i="3"/>
  <c r="AL765" i="3"/>
  <c r="AL766" i="3"/>
  <c r="AL767" i="3"/>
  <c r="AL768" i="3"/>
  <c r="AL769" i="3"/>
  <c r="AL770" i="3"/>
  <c r="AL771" i="3"/>
  <c r="AL772" i="3"/>
  <c r="AL773" i="3"/>
  <c r="AL774" i="3"/>
  <c r="AL775" i="3"/>
  <c r="AL776" i="3"/>
  <c r="AL777" i="3"/>
  <c r="AL778" i="3"/>
  <c r="AL779" i="3"/>
  <c r="AL780" i="3"/>
  <c r="AL781" i="3"/>
  <c r="AL782" i="3"/>
  <c r="AL783" i="3"/>
  <c r="AL784" i="3"/>
  <c r="AL785" i="3"/>
  <c r="AL786" i="3"/>
  <c r="AL787" i="3"/>
  <c r="AL788" i="3"/>
  <c r="AL789" i="3"/>
  <c r="AL790" i="3"/>
  <c r="AL791" i="3"/>
  <c r="AL792" i="3"/>
  <c r="AL793" i="3"/>
  <c r="AL794" i="3"/>
  <c r="AL795" i="3"/>
  <c r="AL817" i="3"/>
  <c r="AL818" i="3"/>
  <c r="AL819" i="3"/>
  <c r="AL820" i="3"/>
  <c r="AL821" i="3"/>
  <c r="AL822" i="3"/>
  <c r="AL823" i="3"/>
  <c r="AL824" i="3"/>
  <c r="AL825" i="3"/>
  <c r="AL826" i="3"/>
  <c r="AL827" i="3"/>
  <c r="AL828" i="3"/>
  <c r="AL829" i="3"/>
  <c r="AL830" i="3"/>
  <c r="AL831" i="3"/>
  <c r="AL832" i="3"/>
  <c r="AL833" i="3"/>
  <c r="AL834" i="3"/>
  <c r="AL835" i="3"/>
  <c r="AL836" i="3"/>
  <c r="AL837" i="3"/>
  <c r="AL838" i="3"/>
  <c r="AL839" i="3"/>
  <c r="AL840" i="3"/>
  <c r="AL841" i="3"/>
  <c r="AL842" i="3"/>
  <c r="AL843" i="3"/>
  <c r="AL844" i="3"/>
  <c r="AL845" i="3"/>
  <c r="AL846" i="3"/>
  <c r="AL847" i="3"/>
  <c r="AL848" i="3"/>
  <c r="AL849" i="3"/>
  <c r="AL850" i="3"/>
  <c r="AL851" i="3"/>
  <c r="AL852" i="3"/>
  <c r="AL853" i="3"/>
  <c r="AL854" i="3"/>
  <c r="AL855" i="3"/>
  <c r="AL856" i="3"/>
  <c r="AL857" i="3"/>
  <c r="AL858" i="3"/>
  <c r="AL859" i="3"/>
  <c r="AL860" i="3"/>
  <c r="AL861" i="3"/>
  <c r="AL862" i="3"/>
  <c r="AL863" i="3"/>
  <c r="AL864" i="3"/>
  <c r="AL865" i="3"/>
  <c r="AL866" i="3"/>
  <c r="AL867" i="3"/>
  <c r="AL868" i="3"/>
  <c r="AL869" i="3"/>
  <c r="AL870" i="3"/>
  <c r="AL871" i="3"/>
  <c r="AL872" i="3"/>
  <c r="AL873" i="3"/>
  <c r="AL874" i="3"/>
  <c r="AL875" i="3"/>
  <c r="AL876" i="3"/>
  <c r="AL877" i="3"/>
  <c r="AL878" i="3"/>
  <c r="AL57" i="3"/>
  <c r="AO299" i="3"/>
  <c r="AO298" i="3"/>
  <c r="AO297" i="3"/>
  <c r="AO296" i="3"/>
  <c r="AO295" i="3"/>
  <c r="AO294" i="3"/>
  <c r="AO293" i="3"/>
  <c r="AO292" i="3"/>
  <c r="AO291" i="3"/>
  <c r="AO290" i="3"/>
  <c r="AO289" i="3"/>
  <c r="AO288" i="3"/>
  <c r="AO287" i="3"/>
  <c r="AO286" i="3"/>
  <c r="AO285" i="3"/>
  <c r="AO284" i="3"/>
  <c r="AO283" i="3"/>
  <c r="AO282" i="3"/>
  <c r="AO266" i="3"/>
  <c r="AO265" i="3"/>
  <c r="AO264" i="3"/>
  <c r="AO263" i="3"/>
  <c r="AO262" i="3"/>
  <c r="AO261" i="3"/>
  <c r="AO260" i="3"/>
  <c r="AO259" i="3"/>
  <c r="AO258" i="3"/>
  <c r="AO257" i="3"/>
  <c r="AO256" i="3"/>
  <c r="AO255" i="3"/>
  <c r="AO254" i="3"/>
  <c r="AO253" i="3"/>
  <c r="AO252" i="3"/>
  <c r="AO251" i="3"/>
  <c r="AO250" i="3"/>
  <c r="AO249" i="3"/>
  <c r="AO248" i="3"/>
  <c r="AO247" i="3"/>
  <c r="AO246" i="3"/>
  <c r="AO245" i="3"/>
  <c r="AO244" i="3"/>
  <c r="AO243" i="3"/>
  <c r="AO242" i="3"/>
  <c r="AO241" i="3"/>
  <c r="AO240" i="3"/>
  <c r="AO239" i="3"/>
  <c r="AO238" i="3"/>
  <c r="AO237" i="3"/>
  <c r="AO236" i="3"/>
  <c r="AO235" i="3"/>
  <c r="AO234" i="3"/>
  <c r="AO233" i="3"/>
  <c r="AO232" i="3"/>
  <c r="AO231" i="3"/>
  <c r="AO230" i="3"/>
  <c r="AO229" i="3"/>
  <c r="AO228" i="3"/>
  <c r="AO227" i="3"/>
  <c r="AO226" i="3"/>
  <c r="AO225" i="3"/>
  <c r="AO224" i="3"/>
  <c r="AO223" i="3"/>
  <c r="AO222" i="3"/>
  <c r="AO221" i="3"/>
  <c r="AO220" i="3"/>
  <c r="AO219" i="3"/>
  <c r="AO218" i="3"/>
  <c r="AO217" i="3"/>
  <c r="AO216" i="3"/>
  <c r="AO215" i="3"/>
  <c r="AO214" i="3"/>
  <c r="AO213" i="3"/>
  <c r="AO212" i="3"/>
  <c r="AO211" i="3"/>
  <c r="AO210" i="3"/>
  <c r="AO209" i="3"/>
  <c r="AO208" i="3"/>
  <c r="AO207" i="3"/>
  <c r="AO206" i="3"/>
  <c r="AO205" i="3"/>
  <c r="AO204" i="3"/>
  <c r="AO203" i="3"/>
  <c r="AO202" i="3"/>
  <c r="AO201" i="3"/>
  <c r="AO200" i="3"/>
  <c r="AO199" i="3"/>
  <c r="AO198" i="3"/>
  <c r="AO197" i="3"/>
  <c r="AO196" i="3"/>
  <c r="AO195" i="3"/>
  <c r="AO194" i="3"/>
  <c r="AO193" i="3"/>
  <c r="AO192" i="3"/>
  <c r="AO191" i="3"/>
  <c r="AO190" i="3"/>
  <c r="AO189" i="3"/>
  <c r="AO188" i="3"/>
  <c r="AO187" i="3"/>
  <c r="AO186" i="3"/>
  <c r="AO185" i="3"/>
  <c r="AO184" i="3"/>
  <c r="AO183" i="3"/>
  <c r="AO182" i="3"/>
  <c r="AO181" i="3"/>
  <c r="AO180" i="3"/>
  <c r="AO179" i="3"/>
  <c r="AO178" i="3"/>
  <c r="AO177" i="3"/>
  <c r="AO176" i="3"/>
  <c r="AO175" i="3"/>
  <c r="AO174" i="3"/>
  <c r="AO173" i="3"/>
  <c r="AO172" i="3"/>
  <c r="AO171" i="3"/>
  <c r="AO170" i="3"/>
  <c r="AO169" i="3"/>
  <c r="AO168" i="3"/>
  <c r="AO167" i="3"/>
  <c r="AO166" i="3"/>
  <c r="AO165" i="3"/>
  <c r="AO164" i="3"/>
  <c r="AO163" i="3"/>
  <c r="AO162" i="3"/>
  <c r="AO161" i="3"/>
  <c r="AO160" i="3"/>
  <c r="AO159" i="3"/>
  <c r="AO158" i="3"/>
  <c r="AO157" i="3"/>
  <c r="AO156" i="3"/>
  <c r="AO155" i="3"/>
  <c r="AO154" i="3"/>
  <c r="AO153" i="3"/>
  <c r="AO152" i="3"/>
  <c r="AO151" i="3"/>
  <c r="AO150" i="3"/>
  <c r="AO149" i="3"/>
  <c r="AO148" i="3"/>
  <c r="AO147" i="3"/>
  <c r="AO146" i="3"/>
  <c r="AO145" i="3"/>
  <c r="AO144" i="3"/>
  <c r="AO143" i="3"/>
  <c r="AO142" i="3"/>
  <c r="AO141" i="3"/>
  <c r="AO140" i="3"/>
  <c r="AO139" i="3"/>
  <c r="AO138" i="3"/>
  <c r="AO137" i="3"/>
  <c r="AO136" i="3"/>
  <c r="AO135" i="3"/>
  <c r="AO134" i="3"/>
  <c r="AO133" i="3"/>
  <c r="AO132" i="3"/>
  <c r="AO131" i="3"/>
  <c r="AO130" i="3"/>
  <c r="AO129" i="3"/>
  <c r="AO128" i="3"/>
  <c r="AO127" i="3"/>
  <c r="AO126" i="3"/>
  <c r="AO125" i="3"/>
  <c r="AO124" i="3"/>
  <c r="AO123" i="3"/>
  <c r="AO122" i="3"/>
  <c r="AO121" i="3"/>
  <c r="AO120" i="3"/>
  <c r="AO119" i="3"/>
  <c r="AO118" i="3"/>
  <c r="AO117" i="3"/>
  <c r="AO116" i="3"/>
  <c r="AO115" i="3"/>
  <c r="AO114" i="3"/>
  <c r="AO113" i="3"/>
  <c r="AO112" i="3"/>
  <c r="AO111" i="3"/>
  <c r="AO110" i="3"/>
  <c r="AO109" i="3"/>
  <c r="AO108" i="3"/>
  <c r="AO107" i="3"/>
  <c r="AO106" i="3"/>
  <c r="AO105" i="3"/>
  <c r="AO104" i="3"/>
  <c r="AO103" i="3"/>
  <c r="AO102" i="3"/>
  <c r="AO101" i="3"/>
  <c r="AO100" i="3"/>
  <c r="AO99" i="3"/>
  <c r="AO98" i="3"/>
  <c r="AO97" i="3"/>
  <c r="AO96" i="3"/>
  <c r="AO95" i="3"/>
  <c r="AO94" i="3"/>
  <c r="AO93" i="3"/>
  <c r="AO92" i="3"/>
  <c r="AO91" i="3"/>
  <c r="AO90" i="3"/>
  <c r="AO89" i="3"/>
  <c r="AO88" i="3"/>
  <c r="AO87" i="3"/>
  <c r="AO86" i="3"/>
  <c r="AO85" i="3"/>
  <c r="AO84" i="3"/>
  <c r="AO83" i="3"/>
  <c r="AO82" i="3"/>
  <c r="AO81" i="3"/>
  <c r="AO80" i="3"/>
  <c r="AO79" i="3"/>
  <c r="AO78" i="3"/>
  <c r="AO77" i="3"/>
  <c r="AO76" i="3"/>
  <c r="AO75" i="3"/>
  <c r="AO74" i="3"/>
  <c r="AO64" i="3"/>
  <c r="AO65" i="3"/>
  <c r="AO66" i="3"/>
  <c r="AO67" i="3"/>
  <c r="AO68" i="3"/>
  <c r="AO69" i="3"/>
  <c r="AO70" i="3"/>
  <c r="AO71" i="3"/>
  <c r="AO72" i="3"/>
  <c r="AO73" i="3"/>
  <c r="AO58" i="3"/>
  <c r="AO59" i="3"/>
  <c r="AO60" i="3"/>
  <c r="AO61" i="3"/>
  <c r="AO62" i="3"/>
  <c r="AO63" i="3"/>
  <c r="AO57" i="3"/>
  <c r="M10" i="3"/>
  <c r="M11" i="3"/>
  <c r="M12" i="3"/>
  <c r="M13" i="3"/>
  <c r="M14" i="3"/>
  <c r="M15" i="3"/>
  <c r="M16" i="3"/>
  <c r="M17" i="3"/>
  <c r="M18" i="3"/>
  <c r="M36" i="3"/>
  <c r="M35" i="3"/>
  <c r="M34" i="3"/>
  <c r="M33" i="3"/>
  <c r="M32" i="3"/>
  <c r="M31" i="3"/>
  <c r="M30" i="3"/>
  <c r="M29" i="3"/>
  <c r="M28" i="3"/>
  <c r="AL53" i="3"/>
  <c r="AL46" i="3"/>
  <c r="AL29" i="3"/>
  <c r="AL30" i="3"/>
  <c r="AL31" i="3"/>
  <c r="AL32" i="3"/>
  <c r="AL33" i="3"/>
  <c r="AL34" i="3"/>
  <c r="AL35" i="3"/>
  <c r="AL36" i="3"/>
  <c r="AL28" i="3"/>
  <c r="AL11" i="3"/>
  <c r="AL12" i="3"/>
  <c r="AL13" i="3"/>
  <c r="AL14" i="3"/>
  <c r="AL15" i="3"/>
  <c r="AL16" i="3"/>
  <c r="AL17" i="3"/>
  <c r="AL18" i="3"/>
  <c r="AL10"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95" i="3"/>
  <c r="M4" i="3"/>
  <c r="M5" i="3"/>
  <c r="M6" i="3"/>
  <c r="M7" i="3"/>
  <c r="M8" i="3"/>
  <c r="M9" i="3"/>
  <c r="M19" i="3"/>
  <c r="M20" i="3"/>
  <c r="M21" i="3"/>
  <c r="M22" i="3"/>
  <c r="M23" i="3"/>
  <c r="M24" i="3"/>
  <c r="M25" i="3"/>
  <c r="M26" i="3"/>
  <c r="M27" i="3"/>
  <c r="M37" i="3"/>
  <c r="M38" i="3"/>
  <c r="M3" i="3"/>
  <c r="I21" i="3"/>
  <c r="I6"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124" i="3"/>
  <c r="I125" i="3"/>
  <c r="I126" i="3"/>
  <c r="I127" i="3"/>
  <c r="I128" i="3"/>
  <c r="I129" i="3"/>
  <c r="I130" i="3"/>
  <c r="I131" i="3"/>
  <c r="I132" i="3"/>
  <c r="I133" i="3"/>
  <c r="I134" i="3"/>
  <c r="I135" i="3"/>
  <c r="I136" i="3"/>
  <c r="I137" i="3"/>
  <c r="I138" i="3"/>
  <c r="I139" i="3"/>
  <c r="I140" i="3"/>
  <c r="I141" i="3"/>
  <c r="I142" i="3"/>
  <c r="I143" i="3"/>
  <c r="I144" i="3"/>
  <c r="I145" i="3"/>
  <c r="I146" i="3"/>
  <c r="I147" i="3"/>
  <c r="I148" i="3"/>
  <c r="I149" i="3"/>
  <c r="I150" i="3"/>
  <c r="I151" i="3"/>
  <c r="I152" i="3"/>
  <c r="I153" i="3"/>
  <c r="I154" i="3"/>
  <c r="I155" i="3"/>
  <c r="I156" i="3"/>
  <c r="I157" i="3"/>
  <c r="I158" i="3"/>
  <c r="I159" i="3"/>
  <c r="I160" i="3"/>
  <c r="I161" i="3"/>
  <c r="I162" i="3"/>
  <c r="I163" i="3"/>
  <c r="I164" i="3"/>
  <c r="I165" i="3"/>
  <c r="I166" i="3"/>
  <c r="I167" i="3"/>
  <c r="I168" i="3"/>
  <c r="I169" i="3"/>
  <c r="I170" i="3"/>
  <c r="I171" i="3"/>
  <c r="I172" i="3"/>
  <c r="I173" i="3"/>
  <c r="I174" i="3"/>
  <c r="I175" i="3"/>
  <c r="I176" i="3"/>
  <c r="I177" i="3"/>
  <c r="I178" i="3"/>
  <c r="I179" i="3"/>
  <c r="I180" i="3"/>
  <c r="I181" i="3"/>
  <c r="I182" i="3"/>
  <c r="I183" i="3"/>
  <c r="I184" i="3"/>
  <c r="I185" i="3"/>
  <c r="I186" i="3"/>
  <c r="I187" i="3"/>
  <c r="I188" i="3"/>
  <c r="I189" i="3"/>
  <c r="I190" i="3"/>
  <c r="I191" i="3"/>
  <c r="I192" i="3"/>
  <c r="I193" i="3"/>
  <c r="I194" i="3"/>
  <c r="I195" i="3"/>
  <c r="I196" i="3"/>
  <c r="I197" i="3"/>
  <c r="I198" i="3"/>
  <c r="I199" i="3"/>
  <c r="I200" i="3"/>
  <c r="I201" i="3"/>
  <c r="I202" i="3"/>
  <c r="I203" i="3"/>
  <c r="I204" i="3"/>
  <c r="I205" i="3"/>
  <c r="I206" i="3"/>
  <c r="I207" i="3"/>
  <c r="I208" i="3"/>
  <c r="I209" i="3"/>
  <c r="I210" i="3"/>
  <c r="I211" i="3"/>
  <c r="I212" i="3"/>
  <c r="I213" i="3"/>
  <c r="I214" i="3"/>
  <c r="I215" i="3"/>
  <c r="I216" i="3"/>
  <c r="I217" i="3"/>
  <c r="I218" i="3"/>
  <c r="I219" i="3"/>
  <c r="I220" i="3"/>
  <c r="I221" i="3"/>
  <c r="I222" i="3"/>
  <c r="I223" i="3"/>
  <c r="I224" i="3"/>
  <c r="I225" i="3"/>
  <c r="I226" i="3"/>
  <c r="I227" i="3"/>
  <c r="I228" i="3"/>
  <c r="I229" i="3"/>
  <c r="I230" i="3"/>
  <c r="I231" i="3"/>
  <c r="I232" i="3"/>
  <c r="I233" i="3"/>
  <c r="I234" i="3"/>
  <c r="I235" i="3"/>
  <c r="I236" i="3"/>
  <c r="I237" i="3"/>
  <c r="I238" i="3"/>
  <c r="I239" i="3"/>
  <c r="I240" i="3"/>
  <c r="I241" i="3"/>
  <c r="I242" i="3"/>
  <c r="I243" i="3"/>
  <c r="I244" i="3"/>
  <c r="I245" i="3"/>
  <c r="I246" i="3"/>
  <c r="I247" i="3"/>
  <c r="I248" i="3"/>
  <c r="I249" i="3"/>
  <c r="I250" i="3"/>
  <c r="I251" i="3"/>
  <c r="I252" i="3"/>
  <c r="I253" i="3"/>
  <c r="I254" i="3"/>
  <c r="I255" i="3"/>
  <c r="I256" i="3"/>
  <c r="I257" i="3"/>
  <c r="I258" i="3"/>
  <c r="I259" i="3"/>
  <c r="I260" i="3"/>
  <c r="I261" i="3"/>
  <c r="I262" i="3"/>
  <c r="I263" i="3"/>
  <c r="I264" i="3"/>
  <c r="I265" i="3"/>
  <c r="I266" i="3"/>
  <c r="I267" i="3"/>
  <c r="I268" i="3"/>
  <c r="I269" i="3"/>
  <c r="I270" i="3"/>
  <c r="I271" i="3"/>
  <c r="I272" i="3"/>
  <c r="I273" i="3"/>
  <c r="I274" i="3"/>
  <c r="I275" i="3"/>
  <c r="I276" i="3"/>
  <c r="I277" i="3"/>
  <c r="I278" i="3"/>
  <c r="I279" i="3"/>
  <c r="I280" i="3"/>
  <c r="I281" i="3"/>
  <c r="I282" i="3"/>
  <c r="I283" i="3"/>
  <c r="I284" i="3"/>
  <c r="I285" i="3"/>
  <c r="I286" i="3"/>
  <c r="I287" i="3"/>
  <c r="I288" i="3"/>
  <c r="I289" i="3"/>
  <c r="I290" i="3"/>
  <c r="I291" i="3"/>
  <c r="I292" i="3"/>
  <c r="I293" i="3"/>
  <c r="I294" i="3"/>
  <c r="I295" i="3"/>
  <c r="I296" i="3"/>
  <c r="I297" i="3"/>
  <c r="I298" i="3"/>
  <c r="I299" i="3"/>
  <c r="I300" i="3"/>
  <c r="I301" i="3"/>
  <c r="I302" i="3"/>
  <c r="I303" i="3"/>
  <c r="I304" i="3"/>
  <c r="I305" i="3"/>
  <c r="I306" i="3"/>
  <c r="I307" i="3"/>
  <c r="I308" i="3"/>
  <c r="I309" i="3"/>
  <c r="I310" i="3"/>
  <c r="I311" i="3"/>
  <c r="I312" i="3"/>
  <c r="I313" i="3"/>
  <c r="I314" i="3"/>
  <c r="I315" i="3"/>
  <c r="I316" i="3"/>
  <c r="I317" i="3"/>
  <c r="I318" i="3"/>
  <c r="I319" i="3"/>
  <c r="I320" i="3"/>
  <c r="I321" i="3"/>
  <c r="I322" i="3"/>
  <c r="I323" i="3"/>
  <c r="I324" i="3"/>
  <c r="I325" i="3"/>
  <c r="I326" i="3"/>
  <c r="I327" i="3"/>
  <c r="I328" i="3"/>
  <c r="I329" i="3"/>
  <c r="I330" i="3"/>
  <c r="I331" i="3"/>
  <c r="I332" i="3"/>
  <c r="I333" i="3"/>
  <c r="I334" i="3"/>
  <c r="I335" i="3"/>
  <c r="I336" i="3"/>
  <c r="I337" i="3"/>
  <c r="I338" i="3"/>
  <c r="I339" i="3"/>
  <c r="I340" i="3"/>
  <c r="I341" i="3"/>
  <c r="I342" i="3"/>
  <c r="I343" i="3"/>
  <c r="I344" i="3"/>
  <c r="I345" i="3"/>
  <c r="I346" i="3"/>
  <c r="I347" i="3"/>
  <c r="I348" i="3"/>
  <c r="I349" i="3"/>
  <c r="I350" i="3"/>
  <c r="I351" i="3"/>
  <c r="I352" i="3"/>
  <c r="I353" i="3"/>
  <c r="I354" i="3"/>
  <c r="I355" i="3"/>
  <c r="I356" i="3"/>
  <c r="I357" i="3"/>
  <c r="I358" i="3"/>
  <c r="I359" i="3"/>
  <c r="I360" i="3"/>
  <c r="I361" i="3"/>
  <c r="I362" i="3"/>
  <c r="I363" i="3"/>
  <c r="I364" i="3"/>
  <c r="I365" i="3"/>
  <c r="I366" i="3"/>
  <c r="I367" i="3"/>
  <c r="I368" i="3"/>
  <c r="I369" i="3"/>
  <c r="I370" i="3"/>
  <c r="I371" i="3"/>
  <c r="I372" i="3"/>
  <c r="I373" i="3"/>
  <c r="I374" i="3"/>
  <c r="I375" i="3"/>
  <c r="I376" i="3"/>
  <c r="I377" i="3"/>
  <c r="I378" i="3"/>
  <c r="I379" i="3"/>
  <c r="I380" i="3"/>
  <c r="I381" i="3"/>
  <c r="I382" i="3"/>
  <c r="I383" i="3"/>
  <c r="I384" i="3"/>
  <c r="I385" i="3"/>
  <c r="I386" i="3"/>
  <c r="I387" i="3"/>
  <c r="I388" i="3"/>
  <c r="I389" i="3"/>
  <c r="I390" i="3"/>
  <c r="I391" i="3"/>
  <c r="I392" i="3"/>
  <c r="I393" i="3"/>
  <c r="I394" i="3"/>
  <c r="I395" i="3"/>
  <c r="I396" i="3"/>
  <c r="I397" i="3"/>
  <c r="I398" i="3"/>
  <c r="I399" i="3"/>
  <c r="I400" i="3"/>
  <c r="I401" i="3"/>
  <c r="I402" i="3"/>
  <c r="I403" i="3"/>
  <c r="I404" i="3"/>
  <c r="I405" i="3"/>
  <c r="I406" i="3"/>
  <c r="I407" i="3"/>
  <c r="I408" i="3"/>
  <c r="I409" i="3"/>
  <c r="I410" i="3"/>
  <c r="I411" i="3"/>
  <c r="I412" i="3"/>
  <c r="I413" i="3"/>
  <c r="I414" i="3"/>
  <c r="I415" i="3"/>
  <c r="I416" i="3"/>
  <c r="I417" i="3"/>
  <c r="I418" i="3"/>
  <c r="I419" i="3"/>
  <c r="I420" i="3"/>
  <c r="I421" i="3"/>
  <c r="I422" i="3"/>
  <c r="I423" i="3"/>
  <c r="I424" i="3"/>
  <c r="I425" i="3"/>
  <c r="I426" i="3"/>
  <c r="I427" i="3"/>
  <c r="I428" i="3"/>
  <c r="I429" i="3"/>
  <c r="I430" i="3"/>
  <c r="I431" i="3"/>
  <c r="I432" i="3"/>
  <c r="I433" i="3"/>
  <c r="I434" i="3"/>
  <c r="I435" i="3"/>
  <c r="I436" i="3"/>
  <c r="I437" i="3"/>
  <c r="I438" i="3"/>
  <c r="I439" i="3"/>
  <c r="I440" i="3"/>
  <c r="I441" i="3"/>
  <c r="I442" i="3"/>
  <c r="I443" i="3"/>
  <c r="I444" i="3"/>
  <c r="I445" i="3"/>
  <c r="I446" i="3"/>
  <c r="I447" i="3"/>
  <c r="I448" i="3"/>
  <c r="I449" i="3"/>
  <c r="I450" i="3"/>
  <c r="I451" i="3"/>
  <c r="I452" i="3"/>
  <c r="I453" i="3"/>
  <c r="I454" i="3"/>
  <c r="I455" i="3"/>
  <c r="I456" i="3"/>
  <c r="I457" i="3"/>
  <c r="I458" i="3"/>
  <c r="I459" i="3"/>
  <c r="I460" i="3"/>
  <c r="I461" i="3"/>
  <c r="I462" i="3"/>
  <c r="I463" i="3"/>
  <c r="I464" i="3"/>
  <c r="I465" i="3"/>
  <c r="I466" i="3"/>
  <c r="I467" i="3"/>
  <c r="I468" i="3"/>
  <c r="I469" i="3"/>
  <c r="I470" i="3"/>
  <c r="I471" i="3"/>
  <c r="I472" i="3"/>
  <c r="I473" i="3"/>
  <c r="I474" i="3"/>
  <c r="I475" i="3"/>
  <c r="I476" i="3"/>
  <c r="I477" i="3"/>
  <c r="I478" i="3"/>
  <c r="I479" i="3"/>
  <c r="I480" i="3"/>
  <c r="I481" i="3"/>
  <c r="I482" i="3"/>
  <c r="I483" i="3"/>
  <c r="I484" i="3"/>
  <c r="I485" i="3"/>
  <c r="I486" i="3"/>
  <c r="I487" i="3"/>
  <c r="I488" i="3"/>
  <c r="I489" i="3"/>
  <c r="I490" i="3"/>
  <c r="I491" i="3"/>
  <c r="I492" i="3"/>
  <c r="I493" i="3"/>
  <c r="I494" i="3"/>
  <c r="I495" i="3"/>
  <c r="I496" i="3"/>
  <c r="I497" i="3"/>
  <c r="I498" i="3"/>
  <c r="I499" i="3"/>
  <c r="I500" i="3"/>
  <c r="I501" i="3"/>
  <c r="I502" i="3"/>
  <c r="I503" i="3"/>
  <c r="I504" i="3"/>
  <c r="I505" i="3"/>
  <c r="I506" i="3"/>
  <c r="I507" i="3"/>
  <c r="I508" i="3"/>
  <c r="I509" i="3"/>
  <c r="I510" i="3"/>
  <c r="I511" i="3"/>
  <c r="I512" i="3"/>
  <c r="I513" i="3"/>
  <c r="I514" i="3"/>
  <c r="I515" i="3"/>
  <c r="I516" i="3"/>
  <c r="I517" i="3"/>
  <c r="I518" i="3"/>
  <c r="I519" i="3"/>
  <c r="I520" i="3"/>
  <c r="I521" i="3"/>
  <c r="I522" i="3"/>
  <c r="I523" i="3"/>
  <c r="I524" i="3"/>
  <c r="I525" i="3"/>
  <c r="I526" i="3"/>
  <c r="I527" i="3"/>
  <c r="I528" i="3"/>
  <c r="I529" i="3"/>
  <c r="I530" i="3"/>
  <c r="I531" i="3"/>
  <c r="I532" i="3"/>
  <c r="I533" i="3"/>
  <c r="I534" i="3"/>
  <c r="I535" i="3"/>
  <c r="I536" i="3"/>
  <c r="I537" i="3"/>
  <c r="I538" i="3"/>
  <c r="I539" i="3"/>
  <c r="I540" i="3"/>
  <c r="I541" i="3"/>
  <c r="I542" i="3"/>
  <c r="I543" i="3"/>
  <c r="I544" i="3"/>
  <c r="I545" i="3"/>
  <c r="I546" i="3"/>
  <c r="I547" i="3"/>
  <c r="I548" i="3"/>
  <c r="I549" i="3"/>
  <c r="I550" i="3"/>
  <c r="I551" i="3"/>
  <c r="I552" i="3"/>
  <c r="I553" i="3"/>
  <c r="I554" i="3"/>
  <c r="I555" i="3"/>
  <c r="I556" i="3"/>
  <c r="I557" i="3"/>
  <c r="I558" i="3"/>
  <c r="I559" i="3"/>
  <c r="I560" i="3"/>
  <c r="I561" i="3"/>
  <c r="I562" i="3"/>
  <c r="I563" i="3"/>
  <c r="I564" i="3"/>
  <c r="I565" i="3"/>
  <c r="I566" i="3"/>
  <c r="I567" i="3"/>
  <c r="I568" i="3"/>
  <c r="I569" i="3"/>
  <c r="I570" i="3"/>
  <c r="I571" i="3"/>
  <c r="I572" i="3"/>
  <c r="I573" i="3"/>
  <c r="I574" i="3"/>
  <c r="I575" i="3"/>
  <c r="I576" i="3"/>
  <c r="I577" i="3"/>
  <c r="I578" i="3"/>
  <c r="I579" i="3"/>
  <c r="I580" i="3"/>
  <c r="I581" i="3"/>
  <c r="I582" i="3"/>
  <c r="I583" i="3"/>
  <c r="I584" i="3"/>
  <c r="I585" i="3"/>
  <c r="I586" i="3"/>
  <c r="I587" i="3"/>
  <c r="I588" i="3"/>
  <c r="I589" i="3"/>
  <c r="I590" i="3"/>
  <c r="I591" i="3"/>
  <c r="I592" i="3"/>
  <c r="I593" i="3"/>
  <c r="I594" i="3"/>
  <c r="I595" i="3"/>
  <c r="I596" i="3"/>
  <c r="I597" i="3"/>
  <c r="I598" i="3"/>
  <c r="I599" i="3"/>
  <c r="I600" i="3"/>
  <c r="I601" i="3"/>
  <c r="I602" i="3"/>
  <c r="I603" i="3"/>
  <c r="I604" i="3"/>
  <c r="I605" i="3"/>
  <c r="I606" i="3"/>
  <c r="I607" i="3"/>
  <c r="I608" i="3"/>
  <c r="I609" i="3"/>
  <c r="I610" i="3"/>
  <c r="I611" i="3"/>
  <c r="I612" i="3"/>
  <c r="I613" i="3"/>
  <c r="I614" i="3"/>
  <c r="I615" i="3"/>
  <c r="I616" i="3"/>
  <c r="I617" i="3"/>
  <c r="I618" i="3"/>
  <c r="I619" i="3"/>
  <c r="I620" i="3"/>
  <c r="I621" i="3"/>
  <c r="I622" i="3"/>
  <c r="I623" i="3"/>
  <c r="I624" i="3"/>
  <c r="I625" i="3"/>
  <c r="I626" i="3"/>
  <c r="I627" i="3"/>
  <c r="I628" i="3"/>
  <c r="I629" i="3"/>
  <c r="I630" i="3"/>
  <c r="I631" i="3"/>
  <c r="I632" i="3"/>
  <c r="I633" i="3"/>
  <c r="I634" i="3"/>
  <c r="I635" i="3"/>
  <c r="I636" i="3"/>
  <c r="I637" i="3"/>
  <c r="I638" i="3"/>
  <c r="I639" i="3"/>
  <c r="I640" i="3"/>
  <c r="I641" i="3"/>
  <c r="I642" i="3"/>
  <c r="I643" i="3"/>
  <c r="I644" i="3"/>
  <c r="I645" i="3"/>
  <c r="I646" i="3"/>
  <c r="I647" i="3"/>
  <c r="I648" i="3"/>
  <c r="I649" i="3"/>
  <c r="I650" i="3"/>
  <c r="I651" i="3"/>
  <c r="I652" i="3"/>
  <c r="I653" i="3"/>
  <c r="I654" i="3"/>
  <c r="I655" i="3"/>
  <c r="I656" i="3"/>
  <c r="I657" i="3"/>
  <c r="I658" i="3"/>
  <c r="I659" i="3"/>
  <c r="I660" i="3"/>
  <c r="I661" i="3"/>
  <c r="I662" i="3"/>
  <c r="I663" i="3"/>
  <c r="I664" i="3"/>
  <c r="I665" i="3"/>
  <c r="I666" i="3"/>
  <c r="I667" i="3"/>
  <c r="I668" i="3"/>
  <c r="I669" i="3"/>
  <c r="I670" i="3"/>
  <c r="I671" i="3"/>
  <c r="I672" i="3"/>
  <c r="I673" i="3"/>
  <c r="I674" i="3"/>
  <c r="I675" i="3"/>
  <c r="I676" i="3"/>
  <c r="I677" i="3"/>
  <c r="I678" i="3"/>
  <c r="I679" i="3"/>
  <c r="I680" i="3"/>
  <c r="I681" i="3"/>
  <c r="I682" i="3"/>
  <c r="I683" i="3"/>
  <c r="I684" i="3"/>
  <c r="I685" i="3"/>
  <c r="I686" i="3"/>
  <c r="I687" i="3"/>
  <c r="I688" i="3"/>
  <c r="I689" i="3"/>
  <c r="I690" i="3"/>
  <c r="I691" i="3"/>
  <c r="I692" i="3"/>
  <c r="I693" i="3"/>
  <c r="I694" i="3"/>
  <c r="I695" i="3"/>
  <c r="I696" i="3"/>
  <c r="I697" i="3"/>
  <c r="I698" i="3"/>
  <c r="I699" i="3"/>
  <c r="I700" i="3"/>
  <c r="I701" i="3"/>
  <c r="I702" i="3"/>
  <c r="I703" i="3"/>
  <c r="I704" i="3"/>
  <c r="I705" i="3"/>
  <c r="I706" i="3"/>
  <c r="I707" i="3"/>
  <c r="I708" i="3"/>
  <c r="I709" i="3"/>
  <c r="I710" i="3"/>
  <c r="I711" i="3"/>
  <c r="I712" i="3"/>
  <c r="I713" i="3"/>
  <c r="I714" i="3"/>
  <c r="I715" i="3"/>
  <c r="I716" i="3"/>
  <c r="I717" i="3"/>
  <c r="I718" i="3"/>
  <c r="I719" i="3"/>
  <c r="I720" i="3"/>
  <c r="I721" i="3"/>
  <c r="I722" i="3"/>
  <c r="I723" i="3"/>
  <c r="I724" i="3"/>
  <c r="I725" i="3"/>
  <c r="I726" i="3"/>
  <c r="I727" i="3"/>
  <c r="I728" i="3"/>
  <c r="I729" i="3"/>
  <c r="I730" i="3"/>
  <c r="I731" i="3"/>
  <c r="I732" i="3"/>
  <c r="I733" i="3"/>
  <c r="I734" i="3"/>
  <c r="I735" i="3"/>
  <c r="I736" i="3"/>
  <c r="I737" i="3"/>
  <c r="I738" i="3"/>
  <c r="I739" i="3"/>
  <c r="I740" i="3"/>
  <c r="I741" i="3"/>
  <c r="I742" i="3"/>
  <c r="I743" i="3"/>
  <c r="I744" i="3"/>
  <c r="I745" i="3"/>
  <c r="I746" i="3"/>
  <c r="I747" i="3"/>
  <c r="I748" i="3"/>
  <c r="I749" i="3"/>
  <c r="I750" i="3"/>
  <c r="I751" i="3"/>
  <c r="I752" i="3"/>
  <c r="I753" i="3"/>
  <c r="I754" i="3"/>
  <c r="I755" i="3"/>
  <c r="I756" i="3"/>
  <c r="I757" i="3"/>
  <c r="I758" i="3"/>
  <c r="I759" i="3"/>
  <c r="I760" i="3"/>
  <c r="I761" i="3"/>
  <c r="I762" i="3"/>
  <c r="I763" i="3"/>
  <c r="I764" i="3"/>
  <c r="I765" i="3"/>
  <c r="I766" i="3"/>
  <c r="I767" i="3"/>
  <c r="I768" i="3"/>
  <c r="I769" i="3"/>
  <c r="I770" i="3"/>
  <c r="I771" i="3"/>
  <c r="I772" i="3"/>
  <c r="I773" i="3"/>
  <c r="I774" i="3"/>
  <c r="I775" i="3"/>
  <c r="I776" i="3"/>
  <c r="I777" i="3"/>
  <c r="I778" i="3"/>
  <c r="I779" i="3"/>
  <c r="I780" i="3"/>
  <c r="I781" i="3"/>
  <c r="I782" i="3"/>
  <c r="I783" i="3"/>
  <c r="I784" i="3"/>
  <c r="I785" i="3"/>
  <c r="I786" i="3"/>
  <c r="I787" i="3"/>
  <c r="I788" i="3"/>
  <c r="I789" i="3"/>
  <c r="I790" i="3"/>
  <c r="I791" i="3"/>
  <c r="I792" i="3"/>
  <c r="I793" i="3"/>
  <c r="I794" i="3"/>
  <c r="I795" i="3"/>
  <c r="I796" i="3"/>
  <c r="I797" i="3"/>
  <c r="I798" i="3"/>
  <c r="I799" i="3"/>
  <c r="I800" i="3"/>
  <c r="I801" i="3"/>
  <c r="I802" i="3"/>
  <c r="I803" i="3"/>
  <c r="I804" i="3"/>
  <c r="I805" i="3"/>
  <c r="I806" i="3"/>
  <c r="I807" i="3"/>
  <c r="I808" i="3"/>
  <c r="I809" i="3"/>
  <c r="I810" i="3"/>
  <c r="I811" i="3"/>
  <c r="I812" i="3"/>
  <c r="I813" i="3"/>
  <c r="I814" i="3"/>
  <c r="I815" i="3"/>
  <c r="I816" i="3"/>
  <c r="I817" i="3"/>
  <c r="I818" i="3"/>
  <c r="I819" i="3"/>
  <c r="I820" i="3"/>
  <c r="I821" i="3"/>
  <c r="I822" i="3"/>
  <c r="I823" i="3"/>
  <c r="I824" i="3"/>
  <c r="I825" i="3"/>
  <c r="I826" i="3"/>
  <c r="I827" i="3"/>
  <c r="I828" i="3"/>
  <c r="I829" i="3"/>
  <c r="I830" i="3"/>
  <c r="I831" i="3"/>
  <c r="I832" i="3"/>
  <c r="I833" i="3"/>
  <c r="I834" i="3"/>
  <c r="I835" i="3"/>
  <c r="I836" i="3"/>
  <c r="I837" i="3"/>
  <c r="I838" i="3"/>
  <c r="I839" i="3"/>
  <c r="I840" i="3"/>
  <c r="I841" i="3"/>
  <c r="I842" i="3"/>
  <c r="I843" i="3"/>
  <c r="I844" i="3"/>
  <c r="I845" i="3"/>
  <c r="I846" i="3"/>
  <c r="I847" i="3"/>
  <c r="I848" i="3"/>
  <c r="I849" i="3"/>
  <c r="I850" i="3"/>
  <c r="I851" i="3"/>
  <c r="I852" i="3"/>
  <c r="I853" i="3"/>
  <c r="I854" i="3"/>
  <c r="I855" i="3"/>
  <c r="I856" i="3"/>
  <c r="I857" i="3"/>
  <c r="I858" i="3"/>
  <c r="I859" i="3"/>
  <c r="I860" i="3"/>
  <c r="I861" i="3"/>
  <c r="I862" i="3"/>
  <c r="I863" i="3"/>
  <c r="I864" i="3"/>
  <c r="I865" i="3"/>
  <c r="I866" i="3"/>
  <c r="I867" i="3"/>
  <c r="I868" i="3"/>
  <c r="I869" i="3"/>
  <c r="I870" i="3"/>
  <c r="I871" i="3"/>
  <c r="I872" i="3"/>
  <c r="I873" i="3"/>
  <c r="I874" i="3"/>
  <c r="I875" i="3"/>
  <c r="I876" i="3"/>
  <c r="I877" i="3"/>
  <c r="I878" i="3"/>
  <c r="I95" i="3"/>
  <c r="I69" i="3"/>
  <c r="I70" i="3"/>
  <c r="I71" i="3"/>
  <c r="I72" i="3"/>
  <c r="I73" i="3"/>
  <c r="I74" i="3"/>
  <c r="I75" i="3"/>
  <c r="I76" i="3"/>
  <c r="I77" i="3"/>
  <c r="I78" i="3"/>
  <c r="I79" i="3"/>
  <c r="I80" i="3"/>
  <c r="I81" i="3"/>
  <c r="I82" i="3"/>
  <c r="I83" i="3"/>
  <c r="I84" i="3"/>
  <c r="I85" i="3"/>
  <c r="I86" i="3"/>
  <c r="I87" i="3"/>
  <c r="I88" i="3"/>
  <c r="I89" i="3"/>
  <c r="I90" i="3"/>
  <c r="I91" i="3"/>
  <c r="I92" i="3"/>
  <c r="I93" i="3"/>
  <c r="I94" i="3"/>
  <c r="I58" i="3"/>
  <c r="I59" i="3"/>
  <c r="I60" i="3"/>
  <c r="I61" i="3"/>
  <c r="I62" i="3"/>
  <c r="I63" i="3"/>
  <c r="I64" i="3"/>
  <c r="I65" i="3"/>
  <c r="I66" i="3"/>
  <c r="I67" i="3"/>
  <c r="I68" i="3"/>
  <c r="I57" i="3"/>
  <c r="I37" i="3"/>
  <c r="I3" i="3"/>
  <c r="I25" i="3"/>
  <c r="I22" i="3"/>
  <c r="I23" i="3"/>
  <c r="I24" i="3"/>
  <c r="I26" i="3"/>
  <c r="I27" i="3"/>
  <c r="I38" i="3"/>
  <c r="I5" i="3"/>
  <c r="I7" i="3"/>
  <c r="I8" i="3"/>
  <c r="I9" i="3"/>
  <c r="I19" i="3"/>
  <c r="I20" i="3"/>
  <c r="I4"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future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<sst xmlns="http://schemas.openxmlformats.org/spreadsheetml/2006/main" count="9037" uniqueCount="455">
  <si>
    <t>polymer_id</t>
  </si>
  <si>
    <t>exact_polymer_name</t>
  </si>
  <si>
    <t>repeat_unit_name</t>
  </si>
  <si>
    <t>parent_family</t>
  </si>
  <si>
    <t>monomer_structure_text</t>
  </si>
  <si>
    <t>smiles</t>
  </si>
  <si>
    <t>structure_2d</t>
  </si>
  <si>
    <t>structure_3d</t>
  </si>
  <si>
    <t>heteroatom_type</t>
  </si>
  <si>
    <t>fused_ring_count</t>
  </si>
  <si>
    <t>ring_system_type</t>
  </si>
  <si>
    <t>backbone_type</t>
  </si>
  <si>
    <t>backbone_planarity</t>
  </si>
  <si>
    <t>conjugation_length</t>
  </si>
  <si>
    <t>side_chain_present</t>
  </si>
  <si>
    <t>side_chain_type</t>
  </si>
  <si>
    <t>side_chain_length</t>
  </si>
  <si>
    <t>side_chain_branching</t>
  </si>
  <si>
    <t>polarity</t>
  </si>
  <si>
    <t>dipole_related_feature</t>
  </si>
  <si>
    <t>charge_type</t>
  </si>
  <si>
    <t>base_polymer_or_derivative</t>
  </si>
  <si>
    <t>notes_on_structure</t>
  </si>
  <si>
    <t>reference_doi</t>
  </si>
  <si>
    <t>evidence_location</t>
  </si>
  <si>
    <t xml:space="preserve">Dataset 1 </t>
  </si>
  <si>
    <t>Monomer Structure</t>
  </si>
  <si>
    <t>Dataset 2</t>
  </si>
  <si>
    <t>Material / Processing / Performance</t>
  </si>
  <si>
    <t>record_id</t>
  </si>
  <si>
    <t>exact_material_name</t>
  </si>
  <si>
    <t>material_type</t>
  </si>
  <si>
    <t>solvent</t>
  </si>
  <si>
    <t>dopant</t>
  </si>
  <si>
    <t>dopant_category</t>
  </si>
  <si>
    <t>doping_status</t>
  </si>
  <si>
    <t>doping_method</t>
  </si>
  <si>
    <t>doping_level</t>
  </si>
  <si>
    <t>secondary_component</t>
  </si>
  <si>
    <t>filler_or_additive</t>
  </si>
  <si>
    <t>film_preparation_method</t>
  </si>
  <si>
    <t>material_form</t>
  </si>
  <si>
    <t>thickness</t>
  </si>
  <si>
    <t>post_treatment</t>
  </si>
  <si>
    <t>annealing</t>
  </si>
  <si>
    <t>annealing_temperature</t>
  </si>
  <si>
    <t>measurement_temperature</t>
  </si>
  <si>
    <t>electrical_conductivity</t>
  </si>
  <si>
    <t>seebeck_coefficient</t>
  </si>
  <si>
    <t>power_factor</t>
  </si>
  <si>
    <t>thermal_conductivity</t>
  </si>
  <si>
    <t>zt</t>
  </si>
  <si>
    <t>graph_format</t>
  </si>
  <si>
    <t>paired_sigma_seebeck_extracted</t>
  </si>
  <si>
    <t>reason_for_performance</t>
  </si>
  <si>
    <t>application</t>
  </si>
  <si>
    <t>Dataset 3</t>
  </si>
  <si>
    <t>Graph Extracted Data</t>
  </si>
  <si>
    <t>datapoint_id</t>
  </si>
  <si>
    <t>graph_variable</t>
  </si>
  <si>
    <t>doping_or_oxidation_level</t>
  </si>
  <si>
    <t>power_factor_calculated</t>
  </si>
  <si>
    <t>units_seebeck</t>
  </si>
  <si>
    <t>units_conductivity</t>
  </si>
  <si>
    <t>units_doping_level</t>
  </si>
  <si>
    <t>graph_type</t>
  </si>
  <si>
    <t>digitization_method</t>
  </si>
  <si>
    <t>id</t>
  </si>
  <si>
    <t>https://doi.org/10.1038/s41586-024-07724-2</t>
  </si>
  <si>
    <t>A1</t>
  </si>
  <si>
    <t>PDPPSe-12</t>
  </si>
  <si>
    <t>selenium-substituted diketopyrrolopyrrole</t>
  </si>
  <si>
    <t>Diketopyrrolopyrrole (DPP)</t>
  </si>
  <si>
    <r>
      <t>Diketopyrrolopyrrole core</t>
    </r>
    <r>
      <rPr>
        <sz val="11"/>
        <color theme="1"/>
        <rFont val="Aptos Narrow"/>
        <family val="2"/>
        <scheme val="minor"/>
      </rPr>
      <t xml:space="preserve"> with </t>
    </r>
    <r>
      <rPr>
        <b/>
        <sz val="11"/>
        <color theme="1"/>
        <rFont val="Aptos Narrow"/>
        <family val="2"/>
        <scheme val="minor"/>
      </rPr>
      <t>selenium-substituted thiophene</t>
    </r>
    <r>
      <rPr>
        <sz val="11"/>
        <color theme="1"/>
        <rFont val="Aptos Narrow"/>
        <family val="2"/>
        <scheme val="minor"/>
      </rPr>
      <t xml:space="preserve"> units and branched alkyl side chains</t>
    </r>
  </si>
  <si>
    <t>NA</t>
  </si>
  <si>
    <t>Fig. 1b</t>
  </si>
  <si>
    <t>Extended Data Fig. 1b</t>
  </si>
  <si>
    <t>Se, N, O, S</t>
  </si>
  <si>
    <t>Heterocyclic</t>
  </si>
  <si>
    <t>Conjugated</t>
  </si>
  <si>
    <t>Planar</t>
  </si>
  <si>
    <t>Yes</t>
  </si>
  <si>
    <t>Alkyl</t>
  </si>
  <si>
    <t>$C_{12}, C_{10}$</t>
  </si>
  <si>
    <t>Branched</t>
  </si>
  <si>
    <t>p-type</t>
  </si>
  <si>
    <t>Base</t>
  </si>
  <si>
    <t>polycrystalline, high-mobility</t>
  </si>
  <si>
    <t>10.1038/s41586-024-07724-2</t>
  </si>
  <si>
    <t>PBTTT</t>
  </si>
  <si>
    <t>poly(2,5-bis(3-tetradecylthiophen-2-yl)thieno[3,2-b]thiophene)</t>
  </si>
  <si>
    <t>Polythiophene</t>
  </si>
  <si>
    <r>
      <t xml:space="preserve">Alternating </t>
    </r>
    <r>
      <rPr>
        <b/>
        <sz val="11"/>
        <color theme="1"/>
        <rFont val="Aptos Narrow"/>
        <family val="2"/>
        <scheme val="minor"/>
      </rPr>
      <t>thieno[3,2-b]thiophene</t>
    </r>
    <r>
      <rPr>
        <sz val="11"/>
        <color theme="1"/>
        <rFont val="Aptos Narrow"/>
        <family val="2"/>
        <scheme val="minor"/>
      </rPr>
      <t xml:space="preserve"> and </t>
    </r>
    <r>
      <rPr>
        <b/>
        <sz val="11"/>
        <color theme="1"/>
        <rFont val="Aptos Narrow"/>
        <family val="2"/>
        <scheme val="minor"/>
      </rPr>
      <t>thiophene units</t>
    </r>
    <r>
      <rPr>
        <sz val="11"/>
        <color theme="1"/>
        <rFont val="Aptos Narrow"/>
        <family val="2"/>
        <scheme val="minor"/>
      </rPr>
      <t xml:space="preserve"> with linear tetradecyl side chains</t>
    </r>
  </si>
  <si>
    <t>Fig. 1c</t>
  </si>
  <si>
    <t>Extended Data Fig. 1c</t>
  </si>
  <si>
    <t>S</t>
  </si>
  <si>
    <t>$C_{14}$</t>
  </si>
  <si>
    <t>Linear</t>
  </si>
  <si>
    <t>liquid-crystalline features, high-mobility</t>
  </si>
  <si>
    <t>(6, 4, 4) PMHJ</t>
  </si>
  <si>
    <t>Polymeric multi-heterojunction</t>
  </si>
  <si>
    <r>
      <t>Periodic dual-heterojunction</t>
    </r>
    <r>
      <rPr>
        <sz val="11"/>
        <color theme="1"/>
        <rFont val="Aptos Narrow"/>
        <family val="2"/>
        <scheme val="minor"/>
      </rPr>
      <t xml:space="preserve"> structure composed of alternating sub-10-nm layers of P1 and P2</t>
    </r>
  </si>
  <si>
    <t>Fig. 1a</t>
  </si>
  <si>
    <t>Extended Data Fig. 1b-d</t>
  </si>
  <si>
    <t>Se, N, O, S, F</t>
  </si>
  <si>
    <t>Combined</t>
  </si>
  <si>
    <t>Composite</t>
  </si>
  <si>
    <t>Mixed</t>
  </si>
  <si>
    <t>Architecture</t>
  </si>
  <si>
    <t>6 nm P1 layer, 4 nm PBTTT layer, 4 nm interpenetrating interface</t>
  </si>
  <si>
    <t>A2</t>
  </si>
  <si>
    <t>A3</t>
  </si>
  <si>
    <t>single polymer</t>
  </si>
  <si>
    <t>o-dichlorobenzene</t>
  </si>
  <si>
    <t>FeCl₃</t>
  </si>
  <si>
    <t>Lewis acid</t>
  </si>
  <si>
    <t>doped</t>
  </si>
  <si>
    <t>immersion</t>
  </si>
  <si>
    <t>12 mmol l⁻¹</t>
  </si>
  <si>
    <t>4Bx (2 wt%)</t>
  </si>
  <si>
    <t>spin-coating</t>
  </si>
  <si>
    <t>thin film</t>
  </si>
  <si>
    <t>6.3 ± 0.5 nm (layer)</t>
  </si>
  <si>
    <t>photocrosslinking</t>
  </si>
  <si>
    <t>383 K</t>
  </si>
  <si>
    <t>298 K</t>
  </si>
  <si>
    <t>252 S cm⁻¹</t>
  </si>
  <si>
    <t>280 μW m⁻¹ K⁻²</t>
  </si>
  <si>
    <t>0.45 W m⁻¹ K⁻¹</t>
  </si>
  <si>
    <t>Fig. 3g</t>
  </si>
  <si>
    <t>No</t>
  </si>
  <si>
    <t>host–dopant interaction</t>
  </si>
  <si>
    <t>plastic thermoelectrics</t>
  </si>
  <si>
    <t>4.2 ± 0.4 nm (layer)</t>
  </si>
  <si>
    <t>520 S cm⁻¹</t>
  </si>
  <si>
    <t>0.79 W m⁻¹ K⁻¹</t>
  </si>
  <si>
    <t>DPP:Polythiophene</t>
  </si>
  <si>
    <t>PMHJ</t>
  </si>
  <si>
    <t>PDPPSe-12 and PBTTT</t>
  </si>
  <si>
    <t>110 nm (6 periods)</t>
  </si>
  <si>
    <t>CYTOP-M encapsulation</t>
  </si>
  <si>
    <t>368 K</t>
  </si>
  <si>
    <t>196 S cm⁻¹</t>
  </si>
  <si>
    <t>179 μV K⁻¹</t>
  </si>
  <si>
    <t>628 μW m⁻¹ K⁻²</t>
  </si>
  <si>
    <t>0.18 W m⁻¹ K⁻¹</t>
  </si>
  <si>
    <t>Fig. 3h</t>
  </si>
  <si>
    <t>interfacial propagon scattering</t>
  </si>
  <si>
    <t>wearable TEGs</t>
  </si>
  <si>
    <t>graph_variable [Y vs X] [Type 1]</t>
  </si>
  <si>
    <t>graph_variable [Y vs X] [Type 2]</t>
  </si>
  <si>
    <t>graph_variable [Y vs X] [Type 3]</t>
  </si>
  <si>
    <t>power_factor_Extracted</t>
  </si>
  <si>
    <t>power_factor_Calculated</t>
  </si>
  <si>
    <t>ZT</t>
  </si>
  <si>
    <t>ZT_Calculated</t>
  </si>
  <si>
    <t>graph_variable [Y vs X] [Type 4]</t>
  </si>
  <si>
    <t>Molecular Weight (Number of repeated monomers)</t>
  </si>
  <si>
    <t>https://doi.org/10.1038/s41467-019-10567-5</t>
  </si>
  <si>
    <t>A4</t>
  </si>
  <si>
    <t>graph_variable [Y vs X] [Type 5]</t>
  </si>
  <si>
    <t>Seebeck vs Conductivity [S (µV K⁻¹) vs σ (S cm⁻¹)]</t>
  </si>
  <si>
    <t>P3HT</t>
  </si>
  <si>
    <t>A5</t>
  </si>
  <si>
    <t>PDPP4T</t>
  </si>
  <si>
    <t>A6</t>
  </si>
  <si>
    <t>A7</t>
  </si>
  <si>
    <t>A8</t>
  </si>
  <si>
    <t>A9</t>
  </si>
  <si>
    <t>A10</t>
  </si>
  <si>
    <t>A11</t>
  </si>
  <si>
    <t>A12</t>
  </si>
  <si>
    <t>A13</t>
  </si>
  <si>
    <t>A14</t>
  </si>
  <si>
    <t>A15</t>
  </si>
  <si>
    <t>A16</t>
  </si>
  <si>
    <t>A17</t>
  </si>
  <si>
    <t>A18</t>
  </si>
  <si>
    <t>A19</t>
  </si>
  <si>
    <t>PBTTT-C14</t>
  </si>
  <si>
    <t>P2TDC17-FT4</t>
  </si>
  <si>
    <t>https://doi.org/10.1002/aenm.201401072</t>
  </si>
  <si>
    <t xml:space="preserve">P3HT </t>
  </si>
  <si>
    <t>Dopant</t>
  </si>
  <si>
    <t>F4TCNQ</t>
  </si>
  <si>
    <t>graph_variable [Y vs X] [Type 6]</t>
  </si>
  <si>
    <t xml:space="preserve">Power Factor  vs Electrical Conductivity [PF (µW m⁻¹ K⁻²) vs σ (S cm⁻¹)] </t>
  </si>
  <si>
    <t>PBTTT-C'14</t>
  </si>
  <si>
    <t>P2TDC'17-FT4</t>
  </si>
  <si>
    <t>FTS</t>
  </si>
  <si>
    <t>https://doi.org/10.1038/natrevmats.2016.50</t>
  </si>
  <si>
    <t>carrier_type</t>
  </si>
  <si>
    <t xml:space="preserve">p </t>
  </si>
  <si>
    <t>PEDOTS</t>
  </si>
  <si>
    <t>Polythiophenes</t>
  </si>
  <si>
    <t>PA/PANI</t>
  </si>
  <si>
    <t>n</t>
  </si>
  <si>
    <t>PEDOT-Tos</t>
  </si>
  <si>
    <t>PH3T</t>
  </si>
  <si>
    <t>https://doi.org/10.1038/NMAT4784</t>
  </si>
  <si>
    <t>P2TD'17-FT4</t>
  </si>
  <si>
    <t>PDPP3T</t>
  </si>
  <si>
    <t>A20</t>
  </si>
  <si>
    <t>A21</t>
  </si>
  <si>
    <t>A22</t>
  </si>
  <si>
    <t>PSBTBT</t>
  </si>
  <si>
    <t>A23</t>
  </si>
  <si>
    <t>Polyacetylene</t>
  </si>
  <si>
    <t>A24</t>
  </si>
  <si>
    <t>P3HT:F4TCNQ mixed P3HT</t>
  </si>
  <si>
    <t>A25</t>
  </si>
  <si>
    <t>A26</t>
  </si>
  <si>
    <t>A27</t>
  </si>
  <si>
    <t>PEDOT:tosylate</t>
  </si>
  <si>
    <t>PEDOS-C6</t>
  </si>
  <si>
    <t>A28</t>
  </si>
  <si>
    <t>A29</t>
  </si>
  <si>
    <t>https://doi.org/10.1142/9789813148611_0008</t>
  </si>
  <si>
    <t>A30</t>
  </si>
  <si>
    <t>PEDOT-Tos (1 µm)</t>
  </si>
  <si>
    <t>https://doi.org/10.1038/s41598-020-64951-z</t>
  </si>
  <si>
    <t>A31</t>
  </si>
  <si>
    <t>PEDOT-Tos (500 nm)</t>
  </si>
  <si>
    <t>doped PAC</t>
  </si>
  <si>
    <t>A32</t>
  </si>
  <si>
    <t>A33</t>
  </si>
  <si>
    <t>doped PT</t>
  </si>
  <si>
    <t>A34</t>
  </si>
  <si>
    <t>doped PBTTT (oriented)</t>
  </si>
  <si>
    <t>A35</t>
  </si>
  <si>
    <t>PEDOT-PSS</t>
  </si>
  <si>
    <t>A36</t>
  </si>
  <si>
    <t>PEDOT-Tos-(HCl)</t>
  </si>
  <si>
    <t>PEDOT-Tos-(HI)</t>
  </si>
  <si>
    <t>A37</t>
  </si>
  <si>
    <t>A38</t>
  </si>
  <si>
    <t>PEDOT-Tos-(H2SO4)</t>
  </si>
  <si>
    <t xml:space="preserve">PDI (Polydispersity Index) </t>
  </si>
  <si>
    <t>Iron chloride (FeCl₃)</t>
  </si>
  <si>
    <t>Doping Level (Solution Concentration)</t>
  </si>
  <si>
    <t>Polymer Family</t>
  </si>
  <si>
    <t>Diketopyrrolopyrrole (DPP) derivative</t>
  </si>
  <si>
    <t>Polythiophene derivative</t>
  </si>
  <si>
    <t>Polymeric multi-heterojunction (PMHJ)</t>
  </si>
  <si>
    <t>Film Method Preparation</t>
  </si>
  <si>
    <t>Spin-coating</t>
  </si>
  <si>
    <t>Sequential Solution Casting</t>
  </si>
  <si>
    <r>
      <t xml:space="preserve">Molecular Weight - (polymer molecular weight/repeat-unit molecular weight) </t>
    </r>
    <r>
      <rPr>
        <b/>
        <sz val="11"/>
        <color theme="1"/>
        <rFont val="Aptos Narrow"/>
        <family val="2"/>
        <scheme val="minor"/>
      </rPr>
      <t>(Number of repeated monomers)</t>
    </r>
  </si>
  <si>
    <t>Molecular Weight of the Repeating Unit (g/mol)</t>
  </si>
  <si>
    <t>Repeating Unit Formula</t>
  </si>
  <si>
    <t>C42H62S4</t>
  </si>
  <si>
    <t>C10H14S</t>
  </si>
  <si>
    <t>Drop-casting from 5 mg/mL chloroform solution onto 45 °C glass</t>
  </si>
  <si>
    <t>Iodine vapor (I2)</t>
  </si>
  <si>
    <t>C62H90N2O2S4</t>
  </si>
  <si>
    <t>Drop-casting from 8 mg/mL chloroform solution onto 45 °C glass</t>
  </si>
  <si>
    <t xml:space="preserve">polythiophene </t>
  </si>
  <si>
    <t>diketopyrrolopyrrole (DPP)-based</t>
  </si>
  <si>
    <t>p</t>
  </si>
  <si>
    <t>Same as above</t>
  </si>
  <si>
    <t>Chemical Structure (Image)</t>
  </si>
  <si>
    <t>Why it is needed</t>
  </si>
  <si>
    <t>polymer_solvent</t>
  </si>
  <si>
    <t>The solvent strongly changes dissolution, drying, crystallinity, and final film morphology.</t>
  </si>
  <si>
    <t>dopant_solvent</t>
  </si>
  <si>
    <t>Dopant uptake and distribution depend heavily on the solvent carrying the dopant.</t>
  </si>
  <si>
    <t>Immersion, vapor, spin-coating, and co-processing can give very different doping efficiency.</t>
  </si>
  <si>
    <t>Whether doping is sequential or co-processed affects morphology and charge transport.</t>
  </si>
  <si>
    <t>Thermal treatment can change ordering, phase separation, and conductivity a lot.</t>
  </si>
  <si>
    <t>annealing_time</t>
  </si>
  <si>
    <t>Temperature alone is not enough; duration also changes the final microstructure.</t>
  </si>
  <si>
    <t>annealing_atmosphere</t>
  </si>
  <si>
    <t>Air, nitrogen, glovebox, or vacuum can change oxidation and doping stability.</t>
  </si>
  <si>
    <t>film_thickness_nm</t>
  </si>
  <si>
    <t>Electrical and thermoelectric properties often depend strongly on thickness.</t>
  </si>
  <si>
    <t>substrate_type</t>
  </si>
  <si>
    <t>Glass, Si/SiO2, flexible plastic, etc. can affect film formation and measurement setup.</t>
  </si>
  <si>
    <t>measurement_atmosphere</t>
  </si>
  <si>
    <t>Values measured in air vs glovebox vs vacuum may differ because materials can degrade or dedope.</t>
  </si>
  <si>
    <t>measurement_temperature_K</t>
  </si>
  <si>
    <t>A single standardized temperature field helps compare values fairly across papers.</t>
  </si>
  <si>
    <t>orientation_or_alignment</t>
  </si>
  <si>
    <t>Aligned films can show much higher directional transport than random films.</t>
  </si>
  <si>
    <t>sample_form</t>
  </si>
  <si>
    <t>Thin film, pellet, fiber, foam, or bulk sample changes how the data should be interpreted.</t>
  </si>
  <si>
    <t>You need this directly if you want ZT to be reproducible and not just copied from papers.</t>
  </si>
  <si>
    <t>thermal_conductivity_method</t>
  </si>
  <si>
    <t>Thermal conductivity is very method-sensitive, so the method must be stored.</t>
  </si>
  <si>
    <t>electrical_conductivity_method</t>
  </si>
  <si>
    <t>2-point, 4-point, van der Pauw, etc. can produce different reliability levels.</t>
  </si>
  <si>
    <t>seebeck_measurement_method</t>
  </si>
  <si>
    <t>Seebeck values depend on setup, temperature gradient, and reference method.</t>
  </si>
  <si>
    <t>doping_time</t>
  </si>
  <si>
    <t>Exposure time during doping directly affects dopant loading and final performance.</t>
  </si>
  <si>
    <t>Washing, rinsing, solvent vapor exposure, or acid treatment can change results a lot.</t>
  </si>
  <si>
    <t>replicate_count / error_bar</t>
  </si>
  <si>
    <t>This tells whether the value is a single point or statistically reliable.</t>
  </si>
  <si>
    <t>Added to the Database?</t>
  </si>
  <si>
    <t>Mn</t>
  </si>
  <si>
    <t>SMILES/InChI</t>
  </si>
  <si>
    <t>Chemical formats like SMILES/InChI, so searching and computation are harder.</t>
  </si>
  <si>
    <r>
      <t xml:space="preserve">It means the average chain mass calculated by counting how many molecules there are, so it tells you the typical polymer chain length. </t>
    </r>
    <r>
      <rPr>
        <b/>
        <sz val="11"/>
        <color theme="1"/>
        <rFont val="Aptos Narrow"/>
        <family val="2"/>
        <scheme val="minor"/>
      </rPr>
      <t>(PDI = Mw / Mn)</t>
    </r>
  </si>
  <si>
    <t>Horates Database</t>
  </si>
  <si>
    <t xml:space="preserve">Horates Database </t>
  </si>
  <si>
    <t>Compared our Current to which existing database</t>
  </si>
  <si>
    <t>Gives each extracted record a unique identity so every datapoint can be tracked separately.</t>
  </si>
  <si>
    <t>Links related datapoints from the same source, material, or experiment under a common identifier.</t>
  </si>
  <si>
    <t>Stores the precise material name so you know exactly which polymer was studied.</t>
  </si>
  <si>
    <t>Groups similar polymers together for broader comparison and trend analysis.</t>
  </si>
  <si>
    <t>Preserves the actual visual molecular structure, which helps verify chemistry and manual interpretation.</t>
  </si>
  <si>
    <t>Captures the polymer repeat unit in text form so composition can be analyzed computationally.</t>
  </si>
  <si>
    <t>Gives the mass of one repeat unit, which is needed for chemistry calculations and normalization.</t>
  </si>
  <si>
    <t>Molecular Weight - (polymer molecular weight/repeat-unit molecular weight) (Number of repeated monomers)</t>
  </si>
  <si>
    <t>Estimates degree of polymerization, which helps relate chain length to properties.</t>
  </si>
  <si>
    <t>Records how the film was made, since processing strongly affects morphology and performance.</t>
  </si>
  <si>
    <t>Mw (Molecular Weight) [kDa]</t>
  </si>
  <si>
    <t>Stores the weight-average molecular weight, which affects chain entanglement, ordering, and transport.</t>
  </si>
  <si>
    <t>PDI (Polydispersity Index)</t>
  </si>
  <si>
    <t>Shows how broad the polymer chain-size distribution is, which influences reproducibility and material behavior.</t>
  </si>
  <si>
    <t>Identifies the chemical used to introduce charge carriers into the polymer.</t>
  </si>
  <si>
    <t>Shows how much dopant was used, which directly affects conductivity and Seebeck behavior.</t>
  </si>
  <si>
    <t>Tells whether the material is p-type or n-type, which is essential for thermoelectric classification.</t>
  </si>
  <si>
    <t>Stores how the first graph was reported, so extracted values can be interpreted in the right context.</t>
  </si>
  <si>
    <t>Gives the thermovoltage response per temperature difference, one of the core thermoelectric properties.</t>
  </si>
  <si>
    <t>Records the doping state tied to that property value, helping relate performance to charge concentration.</t>
  </si>
  <si>
    <t>Stores the second graph relationship so the corresponding extracted measurements remain traceable.</t>
  </si>
  <si>
    <t>Measures how easily charge flows through the material, a key thermoelectric parameter.</t>
  </si>
  <si>
    <t>Again links conductivity data to a specific doping state for fair comparison.</t>
  </si>
  <si>
    <t>Describes the third graph source so extracted power-factor data can be understood properly.</t>
  </si>
  <si>
    <t>Stores power factor taken directly from a graph or paper, useful for preserving reported performance.</t>
  </si>
  <si>
    <t>Connects the extracted power factor to the exact doping condition used.</t>
  </si>
  <si>
    <t>Describes the fourth graph relationship for the reported ZT data.</t>
  </si>
  <si>
    <t>Gives the reported dimensionless thermoelectric figure of merit, which summarizes overall performance.</t>
  </si>
  <si>
    <t>Temperature</t>
  </si>
  <si>
    <t>Records the temperature at which the property was measured, since thermoelectric values depend strongly on temperature.</t>
  </si>
  <si>
    <t>Stores the graph relationship where Seebeck and conductivity may be compared directly.</t>
  </si>
  <si>
    <t>Used again here because some graphs report Seebeck in relation to another variable, not just doping level.</t>
  </si>
  <si>
    <t>Used again here because some graphs compare conductivity directly with Seebeck or another property.</t>
  </si>
  <si>
    <t>Stores the graph relationship for another reported comparison, usually involving power factor or conductivity.</t>
  </si>
  <si>
    <t>Keeps extracted power factor values from this graph type for comparison with calculated values.</t>
  </si>
  <si>
    <t>Helps preserve the paired conductivity value when the graph reports PF against conductivity.</t>
  </si>
  <si>
    <t>Records the temperature during doping, which can affect dopant uptake and final material properties.</t>
  </si>
  <si>
    <t>Stores power factor computed from Seebeck and conductivity, useful for validation against extracted values.</t>
  </si>
  <si>
    <t>Stores ZT calculated from available inputs, helping fill gaps when the paper does not report it directly.</t>
  </si>
  <si>
    <t>Prevents ambiguity by specifying the unit used for doping level.</t>
  </si>
  <si>
    <t>Tells what kind of graph the datapoint came from, which helps organize extracted data.</t>
  </si>
  <si>
    <t>Records how the value was obtained from the source, improving transparency and reproducibility.</t>
  </si>
  <si>
    <t>Links the datapoint to the original publication so the source can be verified quickly.</t>
  </si>
  <si>
    <t>Points to the exact figure, table, or section where the value came from, making the record audit-friendly.</t>
  </si>
  <si>
    <t>Key</t>
  </si>
  <si>
    <t>Yellow Cell</t>
  </si>
  <si>
    <t>Most Important to add</t>
  </si>
  <si>
    <t>How can this field help in material informatics of Organic Thermoelectric Polymers</t>
  </si>
  <si>
    <t>Key Definition</t>
  </si>
  <si>
    <t xml:space="preserve">Doping Temperature </t>
  </si>
  <si>
    <t>All Colunm Names (Defined)</t>
  </si>
  <si>
    <t>Why it is needed (Write it yourself)</t>
  </si>
  <si>
    <t>Polymer_Solvent</t>
  </si>
  <si>
    <t>annealing condition</t>
  </si>
  <si>
    <t>Rules</t>
  </si>
  <si>
    <t>Nitromethane (CH₃NO₂)</t>
  </si>
  <si>
    <t>Immersion (30 s)</t>
  </si>
  <si>
    <t>180 °C</t>
  </si>
  <si>
    <t>180 °C for 1 h</t>
  </si>
  <si>
    <t>180 °C (or 383 K pre-test)</t>
  </si>
  <si>
    <t>180 °C (1 h) + 383 K (3 min)</t>
  </si>
  <si>
    <t>1 h</t>
  </si>
  <si>
    <t>1 h (fabrication)</t>
  </si>
  <si>
    <t>Nitrogen</t>
  </si>
  <si>
    <t>Glass</t>
  </si>
  <si>
    <t>Glass, Polyimide, or PET</t>
  </si>
  <si>
    <t>Vacuum</t>
  </si>
  <si>
    <t>298 K to 368 K</t>
  </si>
  <si>
    <t>Ordered molecular packing</t>
  </si>
  <si>
    <t>Liquid-crystalline order</t>
  </si>
  <si>
    <t>In-plane transport optimized</t>
  </si>
  <si>
    <t>Thin film</t>
  </si>
  <si>
    <t>Thin film / periodic architecture</t>
  </si>
  <si>
    <t>Linseis thin-film analyser</t>
  </si>
  <si>
    <t>Linseis thin-film analyser / 3ω SThM</t>
  </si>
  <si>
    <t>Methods, Fig 1, Fig 3</t>
  </si>
  <si>
    <t>Methods, Fig 1-4</t>
  </si>
  <si>
    <t>Notes</t>
  </si>
  <si>
    <t>Same as Above</t>
  </si>
  <si>
    <r>
      <rPr>
        <b/>
        <sz val="11"/>
        <color theme="1"/>
        <rFont val="Aptos Narrow"/>
        <family val="2"/>
        <scheme val="minor"/>
      </rPr>
      <t>Notes on the PMHJ (6, 4, 4) Structure:</t>
    </r>
    <r>
      <rPr>
        <sz val="11"/>
        <color theme="1"/>
        <rFont val="Aptos Narrow"/>
        <family val="2"/>
        <scheme val="minor"/>
      </rPr>
      <t xml:space="preserve">
Indexing: The (6, 4, 4) refers to the thicknesses (in nm) of the PDPPSe-12 layer, the interpenetrating interface, and the PBTTT layer, respectively
Crosslinker: All films utilized 2 wt% 4Bx (an azide-based crosslinker) to inhibit solvent corrosion and enable sequential solution processing
Performance: The record ZT of 1.28 was achieved at 368 K for the (6, 4, 4) PMHJ structure doped with 12 mmol l⁻¹ FeCl 
3</t>
    </r>
  </si>
  <si>
    <t>C53H78N2O2S2Se</t>
  </si>
  <si>
    <t xml:space="preserve">Mw (Weight Average Molecular Weight) [kDa] </t>
  </si>
  <si>
    <t xml:space="preserve">Mn (Number Average Molecular Weight)  [kDa] </t>
  </si>
  <si>
    <t>Although all six graphs correspond to the same governing equation with four fitted parameters, the extracted data points are not arranged such that each row represents a single complete observation. Instead, values were digitized from different locations across the original graphs, so each Graph type {1 to 6}column should be interpreted independently according to its source graph and parameter context.</t>
  </si>
  <si>
    <t>Although all six graphs correspond to the same governing equation with four fitted parameters, the extracted data points are not arranged such that each row represents a single complete observation. Instead, values were digitized from different locations across the original graphs, so each Graph type {1 to 6}column should be interpreted independently according to its source graph and parameter context. We will make these changes in future improovements.</t>
  </si>
  <si>
    <t>Number of Additional Papers Covered</t>
  </si>
  <si>
    <t>Selenium-substituted diketopyrrolopyrrole polymer for high-performance p-type organic thermoelectric materials
Angew. Chem. Int. Ed. 58, 18994–18999 (2019) (Ref 3)
PDPPSe-12</t>
  </si>
  <si>
    <t>Number of Additional Papers Covered - Extra Information</t>
  </si>
  <si>
    <t>Impact of the Doping Method on Conductivity and Thermopower in Semiconducting Polythiophenes</t>
  </si>
  <si>
    <t>Key Insights from this paper</t>
  </si>
  <si>
    <t>Key Insights from the Sources:
Variable Integration: The (6, 4, 4) PMHJ is a complex architecture that integrates both PDPPSe-12 (6 nm) and PBTTT (4 nm) layers separated by a 4-nm interpenetrating interface
Record Performance: The paper titled "Multi-heterojunctioned plastics..." reports that the combination of these variables results in a record-breaking ZT of 1.28 at 368 K
History Context: The third paper mentioned, regarding the impact of doping methods, was used in previous turns to compare how different dopants (F4TCNQ and FTS) affect the transport properties of PBTTT-C14.</t>
  </si>
  <si>
    <t>Chloroform</t>
  </si>
  <si>
    <t>Vapor exposure</t>
  </si>
  <si>
    <t>Drop-cast at 45 °C</t>
  </si>
  <si>
    <t>~10 min (evaporation)</t>
  </si>
  <si>
    <t>Ambient</t>
  </si>
  <si>
    <t>~4,000 (4 µm)</t>
  </si>
  <si>
    <t>~9,000 (9 µm)</t>
  </si>
  <si>
    <t>Glass coverslip</t>
  </si>
  <si>
    <t>Grounded metal box</t>
  </si>
  <si>
    <t>Spontaneous de-doping</t>
  </si>
  <si>
    <t>The study utilizes spontaneous de-doping over a period of 4–24 hours to capture a broad range of Seebeck coefficients and conductivities using a single sample</t>
  </si>
  <si>
    <t xml:space="preserve">The study demonstrates that dopant clustering (spatial heterogeneity) profoundly alters the density of states (DOS), creating a "heavy-tailed" quasi-exponential distribution that depresses the Seebeck coefficient
Doping at 75 °C results in a more homogeneous dopant distribution, which maintains a more ideal Gaussian DOS and alters the charge transport dynamics
</t>
  </si>
  <si>
    <t>Reference 9: Kang and Snyder's two-parameter transport model
Reference 31: High-performance DPP-based polymers
Reference 58: Modeling disorder effects in polymers</t>
  </si>
  <si>
    <t>Art. 16, Fig 1-4, Meth.</t>
  </si>
  <si>
    <t>Quartz/Glass</t>
  </si>
  <si>
    <t>Substrate-aligned</t>
  </si>
  <si>
    <t>Solution mixed</t>
  </si>
  <si>
    <t>Key Insights and Notes
Universal Trend: The paper's most significant finding is an empirical power law, α∝σ 
−1/4
 , which holds across nine orders of magnitude of conductivity
. This relationship appears independent of the specific polymer or the doping method used
.
Doping Stability: F4TCNQ-doped P3HT and PBTTT-C14 films are thermally stable upon annealing at 150 °C, whereas P2TDC17-FT4 is unstable to thermal treatment
.
Morphological Effects: F4TCNQ is known to intercalate into the ordered crystalline regions, potentially disrupting molecular packing, while FTS is believed to reside primarily on the surface, stabilizing carriers via a surface dipole
.
Thermoelectric Performance: Higher electrical conductivities and power factors were achieved using the vapor-phase FTS doping compared to the solution-based F4TCNQ doping</t>
  </si>
  <si>
    <t>Additional Papers Covered: The source references 59 additional papers to benchmark its findings against foundational polymers like polyacetylene and polyaniline</t>
  </si>
  <si>
    <t>Fig 1-5, Table 1-2</t>
  </si>
  <si>
    <t>Thermal annealing</t>
  </si>
  <si>
    <t>Ambient de-doping</t>
  </si>
  <si>
    <t>10 min</t>
  </si>
  <si>
    <t>150 °C</t>
  </si>
  <si>
    <t xml:space="preserve">	
10 min, N2</t>
  </si>
  <si>
    <t>As-cast only</t>
  </si>
  <si>
    <t>CB/DCB (1:1)</t>
  </si>
  <si>
    <t>Solution casting</t>
  </si>
  <si>
    <t>Vapor deposition</t>
  </si>
  <si>
    <t>thermal_conductivity (W m⁻¹ K⁻¹)</t>
  </si>
  <si>
    <t>seebeck</t>
  </si>
  <si>
    <t>electrical_conductivity [σ (S cm⁻¹) ]</t>
  </si>
  <si>
    <t>doping_or_oxidation_level [(mmol l⁻¹)]</t>
  </si>
  <si>
    <t>seebeck_coefficient [(S (µV K⁻¹) )]</t>
  </si>
  <si>
    <t>power_factor_Extracted [PF (µW m⁻¹ K⁻²) ]</t>
  </si>
  <si>
    <t>Temperature (K)</t>
  </si>
  <si>
    <t>Doping Temperature (K)</t>
  </si>
  <si>
    <t>doping_time (s)</t>
  </si>
  <si>
    <t>PEDOT	 59, 90, 95
Polythiophenes	 80, 96, 97, 106, 108, 116
Polyacetylene (PA) 	82, 83, 109, 111
Polyaniline (PANI)	 82, 83, 109, 111</t>
  </si>
  <si>
    <r>
      <rPr>
        <b/>
        <sz val="11"/>
        <color theme="1"/>
        <rFont val="Aptos Narrow"/>
        <family val="2"/>
        <scheme val="minor"/>
      </rPr>
      <t>Molecular design</t>
    </r>
    <r>
      <rPr>
        <sz val="11"/>
        <color theme="1"/>
        <rFont val="Aptos Narrow"/>
        <family val="2"/>
        <scheme val="minor"/>
      </rPr>
      <t xml:space="preserve"> - Change the chemical structure of the polymer itself</t>
    </r>
  </si>
  <si>
    <r>
      <rPr>
        <b/>
        <sz val="11"/>
        <color theme="1"/>
        <rFont val="Aptos Narrow"/>
        <family val="2"/>
        <scheme val="minor"/>
      </rPr>
      <t>Doping</t>
    </r>
    <r>
      <rPr>
        <sz val="11"/>
        <color theme="1"/>
        <rFont val="Aptos Narrow"/>
        <family val="2"/>
        <scheme val="minor"/>
      </rPr>
      <t xml:space="preserve"> - Add another molecule to create more charge carriers</t>
    </r>
  </si>
  <si>
    <r>
      <rPr>
        <b/>
        <sz val="11"/>
        <color theme="1"/>
        <rFont val="Aptos Narrow"/>
        <family val="2"/>
        <scheme val="minor"/>
      </rPr>
      <t>Morphology control</t>
    </r>
    <r>
      <rPr>
        <sz val="11"/>
        <color theme="1"/>
        <rFont val="Aptos Narrow"/>
        <family val="2"/>
        <scheme val="minor"/>
      </rPr>
      <t xml:space="preserve"> - Control how polymer chains are physically arranged</t>
    </r>
  </si>
  <si>
    <r>
      <rPr>
        <b/>
        <sz val="11"/>
        <color theme="1"/>
        <rFont val="Aptos Narrow"/>
        <family val="2"/>
        <scheme val="minor"/>
      </rPr>
      <t xml:space="preserve">Transport decoupling </t>
    </r>
    <r>
      <rPr>
        <sz val="11"/>
        <color theme="1"/>
        <rFont val="Aptos Narrow"/>
        <family val="2"/>
        <scheme val="minor"/>
      </rPr>
      <t>- Make charge move well but heat move poorly</t>
    </r>
  </si>
  <si>
    <r>
      <rPr>
        <b/>
        <sz val="11"/>
        <color theme="1"/>
        <rFont val="Aptos Narrow"/>
        <family val="2"/>
        <scheme val="minor"/>
      </rPr>
      <t>Hybrid composites</t>
    </r>
    <r>
      <rPr>
        <sz val="11"/>
        <color theme="1"/>
        <rFont val="Aptos Narrow"/>
        <family val="2"/>
        <scheme val="minor"/>
      </rPr>
      <t xml:space="preserve"> - Mix polymer with another material/filler</t>
    </r>
  </si>
  <si>
    <t>Extra Notes</t>
  </si>
  <si>
    <t>Doping Distribution on flim matter, can spread evenly or cluster</t>
  </si>
  <si>
    <t>S and sigma are measure in plane whereas thermal conductivity is measured out of plane, as it is easier, so ZT can be innaccurate when planes dont mathc</t>
  </si>
  <si>
    <t>charge transport depends on how polymer chains are arranged</t>
  </si>
  <si>
    <t>How do we know when we have a polymer ready? It is when another monomer is added to the chain, such that a negligable change occurs, in simple terms no major impact</t>
  </si>
  <si>
    <t>charge carriers (electrons or holes) to move easily but phonons/heat (vibrations of atoms) to move badly How do we make charge move well, while heat moves poorly?</t>
  </si>
  <si>
    <t>Charge Carriers (electrons or holes) to move easily but phonons/heat (vibrations of atoms) to move badly. How do we make charge move well, while heat moves poorly?</t>
  </si>
  <si>
    <t>Adding another molecule to create more charge carriers, a pure polymer may not have enough mobile electrons or holes. But too much doping can damage the road by disturbing polymer packing. So doping must be optimized</t>
  </si>
  <si>
    <t>Changing the actual chemical structure (This means changing the polymer itself): change backbone, change side chains, change functional groups, change HOMO/LUMO, change band gap If the polymer backbone is more conjugated and better aligned electronically, charge carriers can move more easily. This is where SMILES goes because SMILES describes the chemical structure.</t>
  </si>
  <si>
    <t>Controlling how the polymer chains are physically arranged. Same chemical structure, but different arrangement. random chains, [aligned chains, crystalline, domains, amorphous regions, π–π stacking, film thickness, spin coating, annealing, rubbing]. Charge transport is affected by structural order, close π–π contact, and polymer backbone orientation.</t>
  </si>
  <si>
    <t>Let electricity move but stop heat from moving, high σ, high S, low κ, This is hard because charge carriers can also carry heat. So scientists try nanostructures, interfaces, disorder, and special pathways to separate electrical transport from heat transport.</t>
  </si>
  <si>
    <t>mixing the polymer with another material.[polymer + CNT, polymer + graphene, polymer + Bi2Te3, polymer + SnSe]. Hybrid composites use the low thermal conductivity of polymers and the higher conductivity of inorganic/semiconducting fillers to improve thermoelectric performance.</t>
  </si>
  <si>
    <t>SMILES</t>
  </si>
  <si>
    <t>O=C1N(C(CCCCCCCCCCCC)CCCCCCCCCC)C(=C2C(=O)N(CCCCCCCCCCCC)C(=C12)c3ccc(s3)c4ccc([se]4)[*])c5ccc(s5)[*]</t>
  </si>
  <si>
    <t>One row = one measured thermoelectric data point for one polymer sample under one processing/doping/measurement condition.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</si>
</sst>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0.0000000000000"/>
    <numFmt numFmtId="165" formatCode="0.00000000000000"/>
    <numFmt numFmtId="166" formatCode="0.000000000000000"/>
    <numFmt numFmtId="167" formatCode="0.0000000000000000"/>
    <numFmt numFmtId="168" formatCode="0.000000000000000000"/>
    <numFmt numFmtId="169" formatCode="0.0000000000000E+00"/>
    <numFmt numFmtId="170" formatCode="0.00000000000000E+00"/>
    <numFmt numFmtId="171" formatCode="0.000000000000000E+00"/>
    <numFmt numFmtId="172" formatCode="0.00000000000000000E+00"/>
    <numFmt numFmtId="173" formatCode="0.00000000000000000"/>
    <numFmt numFmtId="174" formatCode="0.0000000000000000000000E+00"/>
    <numFmt numFmtId="175" formatCode="0.0000000000000000000"/>
  </numFmts>
  <fonts count="14" x14ac:knownFonts="1">
    <font>
      <sz val="11"/>
      <color theme="1"/>
      <name val="Aptos Narrow"/>
      <family val="2"/>
      <scheme val="minor"/>
    </font>
    <font>
      <b/>
      <sz val="11"/>
      <color theme="1"/>
      <name val="Aptos Narrow"/>
      <family val="2"/>
      <scheme val="minor"/>
    </font>
    <font>
      <sz val="8"/>
      <name val="Aptos Narrow"/>
      <family val="2"/>
      <scheme val="minor"/>
    </font>
    <font>
      <sz val="11"/>
      <color rgb="FFFF0000"/>
      <name val="Aptos Narrow"/>
      <family val="2"/>
      <scheme val="minor"/>
    </font>
    <font>
      <u/>
      <sz val="11"/>
      <color theme="10"/>
      <name val="Aptos Narrow"/>
      <family val="2"/>
      <scheme val="minor"/>
    </font>
    <font>
      <b/>
      <sz val="13.5"/>
      <color theme="1"/>
      <name val="Aptos Narrow"/>
      <family val="2"/>
      <scheme val="minor"/>
    </font>
    <font>
      <b/>
      <sz val="11"/>
      <color rgb="FFFF0000"/>
      <name val="Aptos Narrow"/>
      <family val="2"/>
      <scheme val="minor"/>
    </font>
    <font>
      <b/>
      <sz val="11"/>
      <color rgb="FF00B050"/>
      <name val="Aptos Narrow"/>
      <family val="2"/>
      <scheme val="minor"/>
    </font>
    <font>
      <b/>
      <i/>
      <u/>
      <sz val="11"/>
      <color theme="1"/>
      <name val="Aptos Narrow"/>
      <family val="2"/>
      <scheme val="minor"/>
    </font>
    <font>
      <sz val="11"/>
      <color theme="1"/>
      <name val="Times New Roman"/>
      <family val="1"/>
    </font>
    <font>
      <sz val="11"/>
      <color theme="1"/>
      <name val="Aptos Display"/>
      <family val="2"/>
      <scheme val="major"/>
    </font>
    <font>
      <sz val="10"/>
      <color theme="1"/>
      <name val="Arial"/>
      <family val="2"/>
    </font>
    <font>
      <i/>
      <sz val="11"/>
      <color theme="1"/>
      <name val="Aptos Narrow"/>
      <family val="2"/>
      <scheme val="minor"/>
    </font>
    <font>
      <sz val="11"/>
      <color theme="0" tint="-0.499984740745262"/>
      <name val="Aptos Narrow"/>
      <family val="2"/>
      <scheme val="minor"/>
    </font>
  </fonts>
  <fills count="15">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5"/>
        <bgColor indexed="64"/>
      </patternFill>
    </fill>
    <fill>
      <patternFill patternType="solid">
        <fgColor theme="0"/>
        <bgColor indexed="64"/>
      </patternFill>
    </fill>
    <fill>
      <patternFill patternType="solid">
        <fgColor theme="2"/>
        <bgColor indexed="64"/>
      </patternFill>
    </fill>
    <fill>
      <patternFill patternType="solid">
        <fgColor rgb="FFFF0000"/>
        <bgColor indexed="64"/>
      </patternFill>
    </fill>
    <fill>
      <patternFill patternType="solid">
        <fgColor rgb="FF92D050"/>
        <bgColor indexed="64"/>
      </patternFill>
    </fill>
    <fill>
      <patternFill patternType="solid">
        <fgColor theme="8"/>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34998626667073579"/>
        <bgColor indexed="64"/>
      </patternFill>
    </fill>
    <fill>
      <patternFill patternType="solid">
        <fgColor theme="1"/>
        <bgColor indexed="64"/>
      </patternFill>
    </fill>
    <fill>
      <patternFill patternType="solid">
        <fgColor theme="2" tint="-9.9978637043366805E-2"/>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rgb="FFCCCCCC"/>
      </left>
      <right style="medium">
        <color rgb="FFCCCCCC"/>
      </right>
      <top style="medium">
        <color rgb="FFCCCCCC"/>
      </top>
      <bottom style="medium">
        <color rgb="FFCCCCCC"/>
      </bottom>
      <diagonal/>
    </border>
    <border>
      <left/>
      <right/>
      <top/>
      <bottom style="thin">
        <color indexed="64"/>
      </bottom>
      <diagonal/>
    </border>
  </borders>
  <cellStyleXfs count="2">
    <xf numFmtId="0" fontId="0" fillId="0" borderId="0"/>
    <xf numFmtId="0" fontId="4" fillId="0" borderId="0" applyNumberFormat="0" applyFill="0" applyBorder="0" applyAlignment="0" applyProtection="0"/>
  </cellStyleXfs>
  <cellXfs count="98">
    <xf numFmtId="0" fontId="0" fillId="0" borderId="0" xfId="0"/>
    <xf numFmtId="0" fontId="0" fillId="2" borderId="0" xfId="0" applyFill="1"/>
    <xf numFmtId="0" fontId="0" fillId="3" borderId="0" xfId="0" applyFill="1"/>
    <xf numFmtId="0" fontId="0" fillId="0" borderId="0" xfId="0" applyAlignment="1">
      <alignment horizontal="left" vertical="center" wrapText="1"/>
    </xf>
    <xf numFmtId="0" fontId="1" fillId="0" borderId="0" xfId="0" applyFont="1" applyAlignment="1">
      <alignment horizontal="left" vertical="center" wrapText="1"/>
    </xf>
    <xf numFmtId="0" fontId="5"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xf numFmtId="0" fontId="6" fillId="0" borderId="0" xfId="0" applyFont="1" applyAlignment="1">
      <alignment horizontal="left" vertical="center" wrapText="1"/>
    </xf>
    <xf numFmtId="0" fontId="3" fillId="0" borderId="0" xfId="0" applyFont="1" applyAlignment="1">
      <alignment horizontal="left" vertical="center" wrapText="1"/>
    </xf>
    <xf numFmtId="0" fontId="7" fillId="0" borderId="0" xfId="0" applyFont="1" applyAlignment="1">
      <alignment horizontal="left" vertical="center" wrapText="1"/>
    </xf>
    <xf numFmtId="0" fontId="0" fillId="0" borderId="0" xfId="0" applyAlignment="1">
      <alignment horizontal="left"/>
    </xf>
    <xf numFmtId="0" fontId="0" fillId="2" borderId="2" xfId="0" applyFill="1" applyBorder="1" applyAlignment="1">
      <alignment horizontal="left"/>
    </xf>
    <xf numFmtId="0" fontId="0" fillId="0" borderId="4" xfId="0" applyBorder="1" applyAlignment="1">
      <alignment horizontal="left"/>
    </xf>
    <xf numFmtId="0" fontId="0" fillId="0" borderId="6" xfId="0" applyBorder="1" applyAlignment="1">
      <alignment horizontal="left"/>
    </xf>
    <xf numFmtId="0" fontId="0" fillId="2" borderId="7" xfId="0" applyFill="1" applyBorder="1" applyAlignment="1">
      <alignment horizontal="left"/>
    </xf>
    <xf numFmtId="0" fontId="0" fillId="0" borderId="8" xfId="0" applyBorder="1" applyAlignment="1">
      <alignment horizontal="left"/>
    </xf>
    <xf numFmtId="0" fontId="0" fillId="3" borderId="0" xfId="0" applyFill="1" applyAlignment="1">
      <alignment horizontal="left"/>
    </xf>
    <xf numFmtId="0" fontId="0" fillId="2" borderId="0" xfId="0" applyFill="1" applyAlignment="1">
      <alignment horizontal="left"/>
    </xf>
    <xf numFmtId="0" fontId="4" fillId="0" borderId="0" xfId="1" applyAlignment="1">
      <alignment horizontal="left"/>
    </xf>
    <xf numFmtId="0" fontId="0" fillId="4" borderId="0" xfId="0" applyFill="1"/>
    <xf numFmtId="0" fontId="4" fillId="0" borderId="0" xfId="1"/>
    <xf numFmtId="0" fontId="0" fillId="5" borderId="0" xfId="0" applyFill="1" applyAlignment="1">
      <alignment horizontal="left"/>
    </xf>
    <xf numFmtId="164" fontId="0" fillId="0" borderId="0" xfId="0" applyNumberFormat="1" applyAlignment="1">
      <alignment horizontal="left"/>
    </xf>
    <xf numFmtId="165" fontId="0" fillId="0" borderId="0" xfId="0" applyNumberFormat="1" applyAlignment="1">
      <alignment horizontal="left"/>
    </xf>
    <xf numFmtId="166" fontId="0" fillId="0" borderId="0" xfId="0" applyNumberFormat="1" applyAlignment="1">
      <alignment horizontal="left"/>
    </xf>
    <xf numFmtId="167" fontId="0" fillId="0" borderId="0" xfId="0" applyNumberFormat="1" applyAlignment="1">
      <alignment horizontal="left"/>
    </xf>
    <xf numFmtId="168" fontId="0" fillId="0" borderId="0" xfId="0" applyNumberFormat="1" applyAlignment="1">
      <alignment horizontal="left"/>
    </xf>
    <xf numFmtId="0" fontId="1" fillId="0" borderId="0" xfId="0" applyFont="1"/>
    <xf numFmtId="169" fontId="0" fillId="0" borderId="0" xfId="0" applyNumberFormat="1" applyAlignment="1">
      <alignment horizontal="left"/>
    </xf>
    <xf numFmtId="170" fontId="0" fillId="0" borderId="0" xfId="0" applyNumberFormat="1" applyAlignment="1">
      <alignment horizontal="left"/>
    </xf>
    <xf numFmtId="171" fontId="0" fillId="0" borderId="0" xfId="0" applyNumberFormat="1" applyAlignment="1">
      <alignment horizontal="left"/>
    </xf>
    <xf numFmtId="172" fontId="0" fillId="0" borderId="0" xfId="0" applyNumberFormat="1" applyAlignment="1">
      <alignment horizontal="left"/>
    </xf>
    <xf numFmtId="173" fontId="0" fillId="0" borderId="0" xfId="0" applyNumberFormat="1" applyAlignment="1">
      <alignment horizontal="left"/>
    </xf>
    <xf numFmtId="174" fontId="0" fillId="0" borderId="0" xfId="0" applyNumberFormat="1" applyAlignment="1">
      <alignment horizontal="left"/>
    </xf>
    <xf numFmtId="175" fontId="0" fillId="0" borderId="0" xfId="0" applyNumberFormat="1" applyAlignment="1">
      <alignment horizontal="left"/>
    </xf>
    <xf numFmtId="1" fontId="1" fillId="0" borderId="0" xfId="0" applyNumberFormat="1" applyFont="1" applyAlignment="1">
      <alignment horizontal="left" vertical="center" wrapText="1"/>
    </xf>
    <xf numFmtId="0" fontId="1" fillId="0" borderId="0" xfId="0" applyFont="1" applyAlignment="1">
      <alignment horizontal="left"/>
    </xf>
    <xf numFmtId="1" fontId="0" fillId="2" borderId="0" xfId="0" applyNumberFormat="1" applyFill="1" applyAlignment="1">
      <alignment horizontal="left"/>
    </xf>
    <xf numFmtId="1" fontId="0" fillId="0" borderId="0" xfId="0" applyNumberFormat="1"/>
    <xf numFmtId="0" fontId="0" fillId="6" borderId="0" xfId="0" applyFill="1" applyAlignment="1">
      <alignment horizontal="left"/>
    </xf>
    <xf numFmtId="0" fontId="1" fillId="6" borderId="0" xfId="0" applyFont="1" applyFill="1"/>
    <xf numFmtId="0" fontId="1" fillId="6" borderId="0" xfId="0" applyFont="1" applyFill="1" applyAlignment="1">
      <alignment horizontal="left" vertical="center" wrapText="1"/>
    </xf>
    <xf numFmtId="0" fontId="0" fillId="6" borderId="0" xfId="0" applyFill="1"/>
    <xf numFmtId="0" fontId="0" fillId="7" borderId="9" xfId="0" applyFill="1" applyBorder="1"/>
    <xf numFmtId="0" fontId="1" fillId="3" borderId="9" xfId="0" applyFont="1" applyFill="1" applyBorder="1" applyAlignment="1">
      <alignment horizontal="center" vertical="center" wrapText="1"/>
    </xf>
    <xf numFmtId="0" fontId="0" fillId="0" borderId="9" xfId="0" applyBorder="1"/>
    <xf numFmtId="0" fontId="1" fillId="0" borderId="9" xfId="0" applyFont="1" applyBorder="1" applyAlignment="1">
      <alignment vertical="center" wrapText="1"/>
    </xf>
    <xf numFmtId="0" fontId="0" fillId="0" borderId="9" xfId="0" applyBorder="1" applyAlignment="1">
      <alignment vertical="center" wrapText="1"/>
    </xf>
    <xf numFmtId="0" fontId="4" fillId="0" borderId="9" xfId="1" applyBorder="1"/>
    <xf numFmtId="0" fontId="0" fillId="8" borderId="9" xfId="0" applyFill="1" applyBorder="1"/>
    <xf numFmtId="0" fontId="1" fillId="2" borderId="9" xfId="0" applyFont="1" applyFill="1" applyBorder="1" applyAlignment="1">
      <alignment vertical="center" wrapText="1"/>
    </xf>
    <xf numFmtId="0" fontId="0" fillId="2" borderId="9" xfId="0" applyFill="1" applyBorder="1" applyAlignment="1">
      <alignment vertical="center" wrapText="1"/>
    </xf>
    <xf numFmtId="0" fontId="1" fillId="3" borderId="9" xfId="0" applyFont="1" applyFill="1" applyBorder="1" applyAlignment="1">
      <alignment horizontal="center" vertical="center"/>
    </xf>
    <xf numFmtId="0" fontId="0" fillId="0" borderId="0" xfId="0" applyAlignment="1">
      <alignment horizontal="center" vertical="center"/>
    </xf>
    <xf numFmtId="0" fontId="8" fillId="9" borderId="9" xfId="0" applyFont="1" applyFill="1" applyBorder="1" applyAlignment="1">
      <alignment horizontal="center" vertical="center"/>
    </xf>
    <xf numFmtId="0" fontId="0" fillId="9" borderId="9" xfId="0" applyFill="1" applyBorder="1" applyAlignment="1">
      <alignment horizontal="center" vertical="center"/>
    </xf>
    <xf numFmtId="0" fontId="1" fillId="5" borderId="10" xfId="0" applyFont="1" applyFill="1" applyBorder="1" applyAlignment="1">
      <alignment vertical="center" wrapText="1"/>
    </xf>
    <xf numFmtId="0" fontId="3" fillId="7" borderId="9" xfId="0" applyFont="1" applyFill="1" applyBorder="1"/>
    <xf numFmtId="0" fontId="0" fillId="0" borderId="0" xfId="0" applyAlignment="1">
      <alignment horizontal="left" wrapText="1"/>
    </xf>
    <xf numFmtId="0" fontId="0" fillId="8" borderId="0" xfId="0" applyFill="1" applyAlignment="1">
      <alignment horizontal="left"/>
    </xf>
    <xf numFmtId="0" fontId="0" fillId="0" borderId="9" xfId="0" applyBorder="1" applyAlignment="1">
      <alignment wrapText="1"/>
    </xf>
    <xf numFmtId="0" fontId="0" fillId="0" borderId="0" xfId="0" applyAlignment="1">
      <alignment wrapText="1"/>
    </xf>
    <xf numFmtId="0" fontId="10" fillId="0" borderId="0" xfId="0" applyFont="1" applyAlignment="1">
      <alignment horizontal="left"/>
    </xf>
    <xf numFmtId="0" fontId="10" fillId="2" borderId="0" xfId="0" applyFont="1" applyFill="1" applyAlignment="1">
      <alignment horizontal="left"/>
    </xf>
    <xf numFmtId="0" fontId="0" fillId="10" borderId="0" xfId="0" applyFill="1" applyAlignment="1">
      <alignment horizontal="left"/>
    </xf>
    <xf numFmtId="166" fontId="0" fillId="10" borderId="0" xfId="0" applyNumberFormat="1" applyFill="1" applyAlignment="1">
      <alignment horizontal="left"/>
    </xf>
    <xf numFmtId="0" fontId="0" fillId="10" borderId="1" xfId="0" applyFill="1" applyBorder="1" applyAlignment="1">
      <alignment horizontal="left"/>
    </xf>
    <xf numFmtId="166" fontId="0" fillId="10" borderId="7" xfId="0" applyNumberFormat="1" applyFill="1" applyBorder="1" applyAlignment="1">
      <alignment horizontal="left"/>
    </xf>
    <xf numFmtId="166" fontId="0" fillId="10" borderId="2" xfId="0" applyNumberFormat="1" applyFill="1" applyBorder="1" applyAlignment="1">
      <alignment horizontal="left"/>
    </xf>
    <xf numFmtId="0" fontId="0" fillId="10" borderId="3" xfId="0" applyFill="1" applyBorder="1" applyAlignment="1">
      <alignment horizontal="left"/>
    </xf>
    <xf numFmtId="166" fontId="0" fillId="10" borderId="4" xfId="0" applyNumberFormat="1" applyFill="1" applyBorder="1" applyAlignment="1">
      <alignment horizontal="left"/>
    </xf>
    <xf numFmtId="0" fontId="0" fillId="10" borderId="5" xfId="0" applyFill="1" applyBorder="1" applyAlignment="1">
      <alignment horizontal="left"/>
    </xf>
    <xf numFmtId="166" fontId="0" fillId="10" borderId="8" xfId="0" applyNumberFormat="1" applyFill="1" applyBorder="1" applyAlignment="1">
      <alignment horizontal="left"/>
    </xf>
    <xf numFmtId="166" fontId="0" fillId="10" borderId="6" xfId="0" applyNumberFormat="1" applyFill="1" applyBorder="1" applyAlignment="1">
      <alignment horizontal="left"/>
    </xf>
    <xf numFmtId="168" fontId="0" fillId="10" borderId="0" xfId="0" applyNumberFormat="1" applyFill="1" applyAlignment="1">
      <alignment horizontal="left"/>
    </xf>
    <xf numFmtId="167" fontId="0" fillId="10" borderId="0" xfId="0" applyNumberFormat="1" applyFill="1" applyAlignment="1">
      <alignment horizontal="left"/>
    </xf>
    <xf numFmtId="173" fontId="0" fillId="10" borderId="0" xfId="0" applyNumberFormat="1" applyFill="1" applyAlignment="1">
      <alignment horizontal="left"/>
    </xf>
    <xf numFmtId="0" fontId="0" fillId="10" borderId="0" xfId="0" applyFill="1"/>
    <xf numFmtId="166" fontId="0" fillId="10" borderId="0" xfId="0" applyNumberFormat="1" applyFill="1"/>
    <xf numFmtId="175" fontId="0" fillId="10" borderId="0" xfId="0" applyNumberFormat="1" applyFill="1" applyAlignment="1">
      <alignment horizontal="left"/>
    </xf>
    <xf numFmtId="0" fontId="0" fillId="11" borderId="0" xfId="0" applyFill="1" applyAlignment="1">
      <alignment horizontal="left"/>
    </xf>
    <xf numFmtId="0" fontId="10" fillId="11" borderId="0" xfId="0" applyFont="1" applyFill="1" applyAlignment="1">
      <alignment horizontal="left"/>
    </xf>
    <xf numFmtId="0" fontId="9" fillId="0" borderId="0" xfId="0" applyFont="1" applyAlignment="1">
      <alignment horizontal="left"/>
    </xf>
    <xf numFmtId="0" fontId="0" fillId="12" borderId="0" xfId="0" applyFill="1" applyAlignment="1">
      <alignment horizontal="left"/>
    </xf>
    <xf numFmtId="1" fontId="0" fillId="12" borderId="0" xfId="0" applyNumberFormat="1" applyFill="1" applyAlignment="1">
      <alignment horizontal="left"/>
    </xf>
    <xf numFmtId="0" fontId="3" fillId="13" borderId="0" xfId="0" applyFont="1" applyFill="1"/>
    <xf numFmtId="0" fontId="0" fillId="13" borderId="0" xfId="0" applyFill="1"/>
    <xf numFmtId="0" fontId="11" fillId="0" borderId="11" xfId="0" applyFont="1" applyBorder="1"/>
    <xf numFmtId="0" fontId="11" fillId="0" borderId="0" xfId="0" applyFont="1"/>
    <xf numFmtId="0" fontId="1" fillId="0" borderId="0" xfId="0" applyFont="1" applyAlignment="1">
      <alignment wrapText="1"/>
    </xf>
    <xf numFmtId="0" fontId="13" fillId="12" borderId="0" xfId="0" applyFont="1" applyFill="1" applyAlignment="1">
      <alignment horizontal="left"/>
    </xf>
    <xf numFmtId="0" fontId="0" fillId="6" borderId="9" xfId="0" applyFill="1" applyBorder="1" applyAlignment="1">
      <alignment horizontal="left" wrapText="1"/>
    </xf>
    <xf numFmtId="0" fontId="0" fillId="6" borderId="0" xfId="0" applyFill="1" applyAlignment="1">
      <alignment horizontal="left"/>
    </xf>
    <xf numFmtId="0" fontId="0" fillId="6" borderId="0" xfId="0" applyFill="1" applyAlignment="1">
      <alignment horizontal="center"/>
    </xf>
    <xf numFmtId="0" fontId="12" fillId="14" borderId="9" xfId="0" applyFont="1" applyFill="1" applyBorder="1" applyAlignment="1">
      <alignment horizontal="left" wrapText="1"/>
    </xf>
    <xf numFmtId="0" fontId="0" fillId="6" borderId="9" xfId="0" applyFill="1" applyBorder="1" applyAlignment="1">
      <alignment horizontal="left"/>
    </xf>
    <xf numFmtId="0" fontId="0" fillId="0" borderId="12" xfId="0" applyFont="1" applyBorder="1" applyAlignment="1">
      <alignment horizontal="lef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79</xdr:col>
      <xdr:colOff>0</xdr:colOff>
      <xdr:row>1</xdr:row>
      <xdr:rowOff>0</xdr:rowOff>
    </xdr:from>
    <xdr:to>
      <xdr:col>85</xdr:col>
      <xdr:colOff>152731</xdr:colOff>
      <xdr:row>21</xdr:row>
      <xdr:rowOff>67918</xdr:rowOff>
    </xdr:to>
    <xdr:pic>
      <xdr:nvPicPr>
        <xdr:cNvPr id="2" name="Picture 1">
          <a:extLst>
            <a:ext uri="{FF2B5EF4-FFF2-40B4-BE49-F238E27FC236}">
              <a16:creationId xmlns:a16="http://schemas.microsoft.com/office/drawing/2014/main" id="{8AE4C2D3-8A46-CB6F-1A0B-7F217A471401}"/>
            </a:ext>
          </a:extLst>
        </xdr:cNvPr>
        <xdr:cNvPicPr>
          <a:picLocks noChangeAspect="1"/>
        </xdr:cNvPicPr>
      </xdr:nvPicPr>
      <xdr:blipFill>
        <a:blip xmlns:r="http://schemas.openxmlformats.org/officeDocument/2006/relationships" r:embed="rId1"/>
        <a:stretch>
          <a:fillRect/>
        </a:stretch>
      </xdr:blipFill>
      <xdr:spPr>
        <a:xfrm>
          <a:off x="76116180" y="182880"/>
          <a:ext cx="3810330" cy="5890770"/>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7">
  <rv s="0">
    <v>0</v>
    <v>5</v>
  </rv>
  <rv s="0">
    <v>1</v>
    <v>5</v>
  </rv>
  <rv s="0">
    <v>2</v>
    <v>5</v>
  </rv>
  <rv s="0">
    <v>3</v>
    <v>5</v>
  </rv>
  <rv s="0">
    <v>4</v>
    <v>5</v>
  </rv>
  <rv s="0">
    <v>5</v>
    <v>5</v>
  </rv>
  <rv s="0">
    <v>6</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s://doi.org/10.1038/s41467-019-10567-5" TargetMode="External"/><Relationship Id="rId18" Type="http://schemas.openxmlformats.org/officeDocument/2006/relationships/hyperlink" Target="https://doi.org/10.1038/s41586-024-07724-2" TargetMode="External"/><Relationship Id="rId26" Type="http://schemas.openxmlformats.org/officeDocument/2006/relationships/hyperlink" Target="https://doi.org/10.1038/s41586-024-07724-2" TargetMode="External"/><Relationship Id="rId39" Type="http://schemas.openxmlformats.org/officeDocument/2006/relationships/hyperlink" Target="https://doi.org/10.1038/s41467-019-10567-5" TargetMode="External"/><Relationship Id="rId21" Type="http://schemas.openxmlformats.org/officeDocument/2006/relationships/hyperlink" Target="https://doi.org/10.1038/s41586-024-07724-2" TargetMode="External"/><Relationship Id="rId34" Type="http://schemas.openxmlformats.org/officeDocument/2006/relationships/hyperlink" Target="https://doi.org/10.1038/s41586-024-07724-2" TargetMode="External"/><Relationship Id="rId42" Type="http://schemas.openxmlformats.org/officeDocument/2006/relationships/hyperlink" Target="https://doi.org/10.1038/natrevmats.2016.50" TargetMode="External"/><Relationship Id="rId47" Type="http://schemas.openxmlformats.org/officeDocument/2006/relationships/hyperlink" Target="https://doi.org/10.1038/NMAT4784" TargetMode="External"/><Relationship Id="rId50" Type="http://schemas.openxmlformats.org/officeDocument/2006/relationships/hyperlink" Target="https://doi.org/10.1142/9789813148611_0008" TargetMode="External"/><Relationship Id="rId55" Type="http://schemas.openxmlformats.org/officeDocument/2006/relationships/hyperlink" Target="https://doi.org/10.1038/s41586-024-07724-2" TargetMode="External"/><Relationship Id="rId7" Type="http://schemas.openxmlformats.org/officeDocument/2006/relationships/hyperlink" Target="https://doi.org/10.1038/s41467-019-10567-5" TargetMode="External"/><Relationship Id="rId2" Type="http://schemas.openxmlformats.org/officeDocument/2006/relationships/hyperlink" Target="https://doi.org/10.1038/s41586-024-07724-2" TargetMode="External"/><Relationship Id="rId16" Type="http://schemas.openxmlformats.org/officeDocument/2006/relationships/hyperlink" Target="https://doi.org/10.1038/s41467-019-10567-5" TargetMode="External"/><Relationship Id="rId29" Type="http://schemas.openxmlformats.org/officeDocument/2006/relationships/hyperlink" Target="https://doi.org/10.1038/s41586-024-07724-2" TargetMode="External"/><Relationship Id="rId11" Type="http://schemas.openxmlformats.org/officeDocument/2006/relationships/hyperlink" Target="https://doi.org/10.1038/s41467-019-10567-5" TargetMode="External"/><Relationship Id="rId24" Type="http://schemas.openxmlformats.org/officeDocument/2006/relationships/hyperlink" Target="https://doi.org/10.1038/s41586-024-07724-2" TargetMode="External"/><Relationship Id="rId32" Type="http://schemas.openxmlformats.org/officeDocument/2006/relationships/hyperlink" Target="https://doi.org/10.1038/s41586-024-07724-2" TargetMode="External"/><Relationship Id="rId37" Type="http://schemas.openxmlformats.org/officeDocument/2006/relationships/hyperlink" Target="https://doi.org/10.1038/s41586-024-07724-2" TargetMode="External"/><Relationship Id="rId40" Type="http://schemas.openxmlformats.org/officeDocument/2006/relationships/hyperlink" Target="https://doi.org/10.1002/aenm.201401072" TargetMode="External"/><Relationship Id="rId45" Type="http://schemas.openxmlformats.org/officeDocument/2006/relationships/hyperlink" Target="https://doi.org/10.1038/NMAT4784" TargetMode="External"/><Relationship Id="rId53" Type="http://schemas.openxmlformats.org/officeDocument/2006/relationships/hyperlink" Target="https://doi.org/10.1038/s41598-020-64951-z" TargetMode="External"/><Relationship Id="rId5" Type="http://schemas.openxmlformats.org/officeDocument/2006/relationships/hyperlink" Target="https://doi.org/10.1038/s41467-019-10567-5" TargetMode="External"/><Relationship Id="rId10" Type="http://schemas.openxmlformats.org/officeDocument/2006/relationships/hyperlink" Target="https://doi.org/10.1038/s41467-019-10567-5" TargetMode="External"/><Relationship Id="rId19" Type="http://schemas.openxmlformats.org/officeDocument/2006/relationships/hyperlink" Target="https://doi.org/10.1038/s41586-024-07724-2" TargetMode="External"/><Relationship Id="rId31" Type="http://schemas.openxmlformats.org/officeDocument/2006/relationships/hyperlink" Target="https://doi.org/10.1038/s41586-024-07724-2" TargetMode="External"/><Relationship Id="rId44" Type="http://schemas.openxmlformats.org/officeDocument/2006/relationships/hyperlink" Target="https://doi.org/10.1038/natrevmats.2016.50" TargetMode="External"/><Relationship Id="rId52" Type="http://schemas.openxmlformats.org/officeDocument/2006/relationships/hyperlink" Target="https://doi.org/10.1038/s41598-020-64951-z" TargetMode="External"/><Relationship Id="rId4" Type="http://schemas.openxmlformats.org/officeDocument/2006/relationships/hyperlink" Target="https://doi.org/10.1038/s41586-024-07724-2" TargetMode="External"/><Relationship Id="rId9" Type="http://schemas.openxmlformats.org/officeDocument/2006/relationships/hyperlink" Target="https://doi.org/10.1038/s41467-019-10567-5" TargetMode="External"/><Relationship Id="rId14" Type="http://schemas.openxmlformats.org/officeDocument/2006/relationships/hyperlink" Target="https://doi.org/10.1038/s41467-019-10567-5" TargetMode="External"/><Relationship Id="rId22" Type="http://schemas.openxmlformats.org/officeDocument/2006/relationships/hyperlink" Target="https://doi.org/10.1038/s41586-024-07724-2" TargetMode="External"/><Relationship Id="rId27" Type="http://schemas.openxmlformats.org/officeDocument/2006/relationships/hyperlink" Target="https://doi.org/10.1038/s41586-024-07724-2" TargetMode="External"/><Relationship Id="rId30" Type="http://schemas.openxmlformats.org/officeDocument/2006/relationships/hyperlink" Target="https://doi.org/10.1038/s41586-024-07724-2" TargetMode="External"/><Relationship Id="rId35" Type="http://schemas.openxmlformats.org/officeDocument/2006/relationships/hyperlink" Target="https://doi.org/10.1038/s41586-024-07724-2" TargetMode="External"/><Relationship Id="rId43" Type="http://schemas.openxmlformats.org/officeDocument/2006/relationships/hyperlink" Target="https://doi.org/10.1038/natrevmats.2016.50" TargetMode="External"/><Relationship Id="rId48" Type="http://schemas.openxmlformats.org/officeDocument/2006/relationships/hyperlink" Target="https://doi.org/10.1038/NMAT4784" TargetMode="External"/><Relationship Id="rId8" Type="http://schemas.openxmlformats.org/officeDocument/2006/relationships/hyperlink" Target="https://doi.org/10.1038/s41467-019-10567-5" TargetMode="External"/><Relationship Id="rId51" Type="http://schemas.openxmlformats.org/officeDocument/2006/relationships/hyperlink" Target="https://doi.org/10.1142/9789813148611_0008" TargetMode="External"/><Relationship Id="rId3" Type="http://schemas.openxmlformats.org/officeDocument/2006/relationships/hyperlink" Target="https://doi.org/10.1038/s41586-024-07724-2" TargetMode="External"/><Relationship Id="rId12" Type="http://schemas.openxmlformats.org/officeDocument/2006/relationships/hyperlink" Target="https://doi.org/10.1038/s41467-019-10567-5" TargetMode="External"/><Relationship Id="rId17" Type="http://schemas.openxmlformats.org/officeDocument/2006/relationships/hyperlink" Target="https://doi.org/10.1038/s41586-024-07724-2" TargetMode="External"/><Relationship Id="rId25" Type="http://schemas.openxmlformats.org/officeDocument/2006/relationships/hyperlink" Target="https://doi.org/10.1038/s41586-024-07724-2" TargetMode="External"/><Relationship Id="rId33" Type="http://schemas.openxmlformats.org/officeDocument/2006/relationships/hyperlink" Target="https://doi.org/10.1038/s41586-024-07724-2" TargetMode="External"/><Relationship Id="rId38" Type="http://schemas.openxmlformats.org/officeDocument/2006/relationships/hyperlink" Target="https://doi.org/10.1038/s41586-024-07724-2" TargetMode="External"/><Relationship Id="rId46" Type="http://schemas.openxmlformats.org/officeDocument/2006/relationships/hyperlink" Target="https://doi.org/10.1038/NMAT4784" TargetMode="External"/><Relationship Id="rId20" Type="http://schemas.openxmlformats.org/officeDocument/2006/relationships/hyperlink" Target="https://doi.org/10.1038/s41586-024-07724-2" TargetMode="External"/><Relationship Id="rId41" Type="http://schemas.openxmlformats.org/officeDocument/2006/relationships/hyperlink" Target="https://doi.org/10.1002/aenm.201401072" TargetMode="External"/><Relationship Id="rId54" Type="http://schemas.openxmlformats.org/officeDocument/2006/relationships/hyperlink" Target="https://doi.org/10.1038/s41598-020-64951-z" TargetMode="External"/><Relationship Id="rId1" Type="http://schemas.openxmlformats.org/officeDocument/2006/relationships/hyperlink" Target="https://doi.org/10.1038/s41586-024-07724-2" TargetMode="External"/><Relationship Id="rId6" Type="http://schemas.openxmlformats.org/officeDocument/2006/relationships/hyperlink" Target="https://doi.org/10.1038/s41467-019-10567-5" TargetMode="External"/><Relationship Id="rId15" Type="http://schemas.openxmlformats.org/officeDocument/2006/relationships/hyperlink" Target="https://doi.org/10.1038/s41467-019-10567-5" TargetMode="External"/><Relationship Id="rId23" Type="http://schemas.openxmlformats.org/officeDocument/2006/relationships/hyperlink" Target="https://doi.org/10.1038/s41586-024-07724-2" TargetMode="External"/><Relationship Id="rId28" Type="http://schemas.openxmlformats.org/officeDocument/2006/relationships/hyperlink" Target="https://doi.org/10.1038/s41586-024-07724-2" TargetMode="External"/><Relationship Id="rId36" Type="http://schemas.openxmlformats.org/officeDocument/2006/relationships/hyperlink" Target="https://doi.org/10.1038/s41586-024-07724-2" TargetMode="External"/><Relationship Id="rId49" Type="http://schemas.openxmlformats.org/officeDocument/2006/relationships/hyperlink" Target="https://doi.org/10.1038/NMAT4784" TargetMode="External"/></Relationships>
</file>

<file path=xl/worksheets/_rels/sheet6.xml.rels><?xml version="1.0" encoding="UTF-8" standalone="yes"?>
<Relationships xmlns="http://schemas.openxmlformats.org/package/2006/relationships"><Relationship Id="rId2" Type="http://schemas.openxmlformats.org/officeDocument/2006/relationships/hyperlink" Target="https://doi.org/10.5281/zenodo.10629203" TargetMode="External"/><Relationship Id="rId1" Type="http://schemas.openxmlformats.org/officeDocument/2006/relationships/hyperlink" Target="https://doi.org/10.5281/zenodo.106292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65C3F-FD17-477A-AADE-4F47F8D4E14E}">
  <dimension ref="A1:BY14"/>
  <sheetViews>
    <sheetView zoomScale="79" workbookViewId="0">
      <selection activeCell="F2" sqref="F2"/>
    </sheetView>
  </sheetViews>
  <sheetFormatPr defaultRowHeight="14.4" x14ac:dyDescent="0.3"/>
  <cols>
    <col min="1" max="1" width="9.44140625" bestFit="1" customWidth="1"/>
    <col min="2" max="2" width="20.88671875" customWidth="1"/>
    <col min="3" max="3" width="16.5546875" bestFit="1" customWidth="1"/>
    <col min="4" max="4" width="12.88671875" bestFit="1" customWidth="1"/>
    <col min="5" max="5" width="22.21875" bestFit="1" customWidth="1"/>
    <col min="6" max="6" width="46.109375" bestFit="1" customWidth="1"/>
    <col min="7" max="7" width="6.6640625" bestFit="1" customWidth="1"/>
    <col min="8" max="9" width="11.6640625" bestFit="1" customWidth="1"/>
    <col min="10" max="10" width="15.44140625" bestFit="1" customWidth="1"/>
    <col min="11" max="11" width="15.88671875" bestFit="1" customWidth="1"/>
    <col min="12" max="12" width="15.77734375" bestFit="1" customWidth="1"/>
    <col min="13" max="13" width="14" bestFit="1" customWidth="1"/>
    <col min="14" max="14" width="18.44140625" bestFit="1" customWidth="1"/>
    <col min="15" max="15" width="17.77734375" bestFit="1" customWidth="1"/>
    <col min="16" max="16" width="18" bestFit="1" customWidth="1"/>
    <col min="17" max="17" width="14.88671875" bestFit="1" customWidth="1"/>
    <col min="18" max="18" width="16.6640625" bestFit="1" customWidth="1"/>
    <col min="19" max="19" width="20.33203125" bestFit="1" customWidth="1"/>
    <col min="20" max="20" width="7.5546875" bestFit="1" customWidth="1"/>
    <col min="21" max="21" width="20.5546875" bestFit="1" customWidth="1"/>
    <col min="22" max="22" width="11.21875" bestFit="1" customWidth="1"/>
    <col min="23" max="23" width="25.44140625" bestFit="1" customWidth="1"/>
    <col min="24" max="24" width="17.6640625" bestFit="1" customWidth="1"/>
    <col min="25" max="25" width="25.5546875" bestFit="1" customWidth="1"/>
    <col min="26" max="26" width="16.6640625" bestFit="1" customWidth="1"/>
    <col min="27" max="27" width="15.6640625" customWidth="1"/>
    <col min="29" max="29" width="9.109375" bestFit="1" customWidth="1"/>
    <col min="30" max="30" width="32.5546875" bestFit="1" customWidth="1"/>
    <col min="31" max="31" width="19.6640625" bestFit="1" customWidth="1"/>
    <col min="32" max="32" width="12.88671875" bestFit="1" customWidth="1"/>
    <col min="33" max="33" width="12.6640625" bestFit="1" customWidth="1"/>
    <col min="34" max="34" width="11.21875" bestFit="1" customWidth="1"/>
    <col min="35" max="36" width="7.109375" bestFit="1" customWidth="1"/>
    <col min="37" max="37" width="15.44140625" bestFit="1" customWidth="1"/>
    <col min="38" max="38" width="13.33203125" bestFit="1" customWidth="1"/>
    <col min="39" max="39" width="14.5546875" bestFit="1" customWidth="1"/>
    <col min="40" max="40" width="11.77734375" bestFit="1" customWidth="1"/>
    <col min="41" max="41" width="21.109375" bestFit="1" customWidth="1"/>
    <col min="42" max="42" width="15.44140625" bestFit="1" customWidth="1"/>
    <col min="43" max="43" width="23.33203125" bestFit="1" customWidth="1"/>
    <col min="44" max="44" width="13.33203125" bestFit="1" customWidth="1"/>
    <col min="45" max="45" width="9.21875" bestFit="1" customWidth="1"/>
    <col min="46" max="46" width="14" bestFit="1" customWidth="1"/>
    <col min="47" max="47" width="9.6640625" bestFit="1" customWidth="1"/>
    <col min="48" max="48" width="21.44140625" bestFit="1" customWidth="1"/>
    <col min="49" max="49" width="24.77734375" bestFit="1" customWidth="1"/>
    <col min="50" max="50" width="20.5546875" bestFit="1" customWidth="1"/>
    <col min="51" max="51" width="18.109375" bestFit="1" customWidth="1"/>
    <col min="52" max="52" width="12.21875" bestFit="1" customWidth="1"/>
    <col min="53" max="53" width="19.21875" bestFit="1" customWidth="1"/>
    <col min="54" max="54" width="2.33203125" bestFit="1" customWidth="1"/>
    <col min="55" max="55" width="12.6640625" bestFit="1" customWidth="1"/>
    <col min="56" max="56" width="30.109375" bestFit="1" customWidth="1"/>
    <col min="57" max="57" width="22.6640625" bestFit="1" customWidth="1"/>
    <col min="58" max="58" width="10.88671875" bestFit="1" customWidth="1"/>
    <col min="59" max="59" width="12.6640625" bestFit="1" customWidth="1"/>
    <col min="60" max="60" width="16.6640625" bestFit="1" customWidth="1"/>
    <col min="62" max="62" width="11.88671875" bestFit="1" customWidth="1"/>
    <col min="63" max="63" width="19.33203125" bestFit="1" customWidth="1"/>
    <col min="64" max="64" width="9.109375" bestFit="1" customWidth="1"/>
    <col min="65" max="65" width="14" bestFit="1" customWidth="1"/>
    <col min="66" max="66" width="23.88671875" bestFit="1" customWidth="1"/>
    <col min="67" max="67" width="18.109375" bestFit="1" customWidth="1"/>
    <col min="68" max="68" width="20.5546875" bestFit="1" customWidth="1"/>
    <col min="69" max="69" width="22.6640625" bestFit="1" customWidth="1"/>
    <col min="70" max="70" width="24.77734375" bestFit="1" customWidth="1"/>
    <col min="71" max="71" width="13.33203125" bestFit="1" customWidth="1"/>
    <col min="72" max="72" width="16.6640625" bestFit="1" customWidth="1"/>
    <col min="73" max="73" width="17.21875" bestFit="1" customWidth="1"/>
    <col min="74" max="74" width="10.33203125" bestFit="1" customWidth="1"/>
    <col min="75" max="75" width="18.44140625" bestFit="1" customWidth="1"/>
    <col min="76" max="76" width="12.6640625" bestFit="1" customWidth="1"/>
    <col min="77" max="77" width="16.6640625" bestFit="1" customWidth="1"/>
  </cols>
  <sheetData>
    <row r="1" spans="1:77" x14ac:dyDescent="0.3">
      <c r="A1" s="2" t="s">
        <v>25</v>
      </c>
      <c r="B1" s="2" t="s">
        <v>26</v>
      </c>
      <c r="AC1" s="2" t="s">
        <v>27</v>
      </c>
      <c r="AD1" s="2" t="s">
        <v>28</v>
      </c>
      <c r="BJ1" s="2" t="s">
        <v>56</v>
      </c>
      <c r="BK1" s="2" t="s">
        <v>57</v>
      </c>
    </row>
    <row r="2" spans="1:77" x14ac:dyDescent="0.3">
      <c r="A2" s="1" t="s">
        <v>67</v>
      </c>
      <c r="B2" s="1" t="s">
        <v>1</v>
      </c>
      <c r="C2" s="1" t="s">
        <v>2</v>
      </c>
      <c r="D2" s="1" t="s">
        <v>3</v>
      </c>
      <c r="E2" s="1" t="s">
        <v>4</v>
      </c>
      <c r="F2" s="20" t="s">
        <v>157</v>
      </c>
      <c r="G2" s="1" t="s">
        <v>5</v>
      </c>
      <c r="H2" s="1" t="s">
        <v>6</v>
      </c>
      <c r="I2" s="1" t="s">
        <v>7</v>
      </c>
      <c r="J2" s="1" t="s">
        <v>8</v>
      </c>
      <c r="K2" s="1" t="s">
        <v>9</v>
      </c>
      <c r="L2" s="1" t="s">
        <v>10</v>
      </c>
      <c r="M2" s="1" t="s">
        <v>11</v>
      </c>
      <c r="N2" s="1" t="s">
        <v>12</v>
      </c>
      <c r="O2" s="1" t="s">
        <v>13</v>
      </c>
      <c r="P2" s="1" t="s">
        <v>14</v>
      </c>
      <c r="Q2" s="1" t="s">
        <v>15</v>
      </c>
      <c r="R2" s="1" t="s">
        <v>16</v>
      </c>
      <c r="S2" s="1" t="s">
        <v>17</v>
      </c>
      <c r="T2" s="1" t="s">
        <v>18</v>
      </c>
      <c r="U2" s="1" t="s">
        <v>19</v>
      </c>
      <c r="V2" s="1" t="s">
        <v>20</v>
      </c>
      <c r="W2" s="1" t="s">
        <v>21</v>
      </c>
      <c r="X2" s="1" t="s">
        <v>22</v>
      </c>
      <c r="Y2" s="1" t="s">
        <v>23</v>
      </c>
      <c r="Z2" s="1" t="s">
        <v>24</v>
      </c>
      <c r="AA2" s="1"/>
      <c r="AB2" s="1"/>
      <c r="AC2" s="1" t="s">
        <v>29</v>
      </c>
      <c r="AD2" s="1" t="s">
        <v>0</v>
      </c>
      <c r="AE2" s="1" t="s">
        <v>30</v>
      </c>
      <c r="AF2" s="1" t="s">
        <v>3</v>
      </c>
      <c r="AG2" s="1" t="s">
        <v>31</v>
      </c>
      <c r="AH2" s="1" t="s">
        <v>20</v>
      </c>
      <c r="AI2" s="1" t="s">
        <v>32</v>
      </c>
      <c r="AJ2" s="1" t="s">
        <v>33</v>
      </c>
      <c r="AK2" s="1" t="s">
        <v>34</v>
      </c>
      <c r="AL2" s="1" t="s">
        <v>35</v>
      </c>
      <c r="AM2" s="1" t="s">
        <v>36</v>
      </c>
      <c r="AN2" s="1" t="s">
        <v>37</v>
      </c>
      <c r="AO2" s="1" t="s">
        <v>38</v>
      </c>
      <c r="AP2" s="1" t="s">
        <v>39</v>
      </c>
      <c r="AQ2" s="1" t="s">
        <v>40</v>
      </c>
      <c r="AR2" s="1" t="s">
        <v>41</v>
      </c>
      <c r="AS2" s="1" t="s">
        <v>42</v>
      </c>
      <c r="AT2" s="1" t="s">
        <v>43</v>
      </c>
      <c r="AU2" s="1" t="s">
        <v>44</v>
      </c>
      <c r="AV2" s="1" t="s">
        <v>45</v>
      </c>
      <c r="AW2" s="1" t="s">
        <v>46</v>
      </c>
      <c r="AX2" s="1" t="s">
        <v>47</v>
      </c>
      <c r="AY2" s="1" t="s">
        <v>48</v>
      </c>
      <c r="AZ2" s="1" t="s">
        <v>49</v>
      </c>
      <c r="BA2" s="1" t="s">
        <v>50</v>
      </c>
      <c r="BB2" s="1" t="s">
        <v>51</v>
      </c>
      <c r="BC2" s="1" t="s">
        <v>52</v>
      </c>
      <c r="BD2" s="1" t="s">
        <v>53</v>
      </c>
      <c r="BE2" s="1" t="s">
        <v>54</v>
      </c>
      <c r="BF2" s="1" t="s">
        <v>55</v>
      </c>
      <c r="BG2" s="1" t="s">
        <v>23</v>
      </c>
      <c r="BH2" s="1" t="s">
        <v>24</v>
      </c>
      <c r="BJ2" s="1" t="s">
        <v>58</v>
      </c>
      <c r="BK2" s="1" t="s">
        <v>0</v>
      </c>
      <c r="BL2" s="1" t="s">
        <v>29</v>
      </c>
      <c r="BM2" s="1" t="s">
        <v>59</v>
      </c>
      <c r="BN2" s="1" t="s">
        <v>60</v>
      </c>
      <c r="BO2" s="1" t="s">
        <v>48</v>
      </c>
      <c r="BP2" s="1" t="s">
        <v>47</v>
      </c>
      <c r="BQ2" s="1" t="s">
        <v>61</v>
      </c>
      <c r="BR2" s="1" t="s">
        <v>46</v>
      </c>
      <c r="BS2" s="1" t="s">
        <v>62</v>
      </c>
      <c r="BT2" s="1" t="s">
        <v>63</v>
      </c>
      <c r="BU2" s="1" t="s">
        <v>64</v>
      </c>
      <c r="BV2" s="1" t="s">
        <v>65</v>
      </c>
      <c r="BW2" s="1" t="s">
        <v>66</v>
      </c>
      <c r="BX2" s="1" t="s">
        <v>23</v>
      </c>
      <c r="BY2" s="1" t="s">
        <v>24</v>
      </c>
    </row>
    <row r="3" spans="1:77" ht="72" x14ac:dyDescent="0.3">
      <c r="A3" s="4" t="s">
        <v>69</v>
      </c>
      <c r="B3" s="4" t="s">
        <v>70</v>
      </c>
      <c r="C3" s="3" t="s">
        <v>71</v>
      </c>
      <c r="D3" s="3" t="s">
        <v>72</v>
      </c>
      <c r="E3" s="4" t="s">
        <v>73</v>
      </c>
      <c r="F3" s="4"/>
      <c r="G3" s="3" t="s">
        <v>74</v>
      </c>
      <c r="H3" s="3" t="s">
        <v>75</v>
      </c>
      <c r="I3" s="3" t="s">
        <v>76</v>
      </c>
      <c r="J3" s="4" t="s">
        <v>77</v>
      </c>
      <c r="K3" s="3">
        <v>2</v>
      </c>
      <c r="L3" s="3" t="s">
        <v>78</v>
      </c>
      <c r="M3" s="3" t="s">
        <v>79</v>
      </c>
      <c r="N3" s="3" t="s">
        <v>80</v>
      </c>
      <c r="O3" s="3" t="s">
        <v>74</v>
      </c>
      <c r="P3" s="3" t="s">
        <v>81</v>
      </c>
      <c r="Q3" s="3" t="s">
        <v>82</v>
      </c>
      <c r="R3" s="3" t="s">
        <v>83</v>
      </c>
      <c r="S3" s="4" t="s">
        <v>84</v>
      </c>
      <c r="T3" s="3" t="s">
        <v>74</v>
      </c>
      <c r="U3" s="3" t="s">
        <v>74</v>
      </c>
      <c r="V3" s="4" t="s">
        <v>85</v>
      </c>
      <c r="W3" s="3" t="s">
        <v>86</v>
      </c>
      <c r="X3" s="3" t="s">
        <v>87</v>
      </c>
      <c r="Y3" s="3" t="s">
        <v>88</v>
      </c>
      <c r="Z3" s="3"/>
      <c r="AA3" s="3"/>
    </row>
    <row r="4" spans="1:77" ht="72" x14ac:dyDescent="0.3">
      <c r="A4" s="4" t="s">
        <v>110</v>
      </c>
      <c r="B4" s="4" t="s">
        <v>89</v>
      </c>
      <c r="C4" s="3" t="s">
        <v>90</v>
      </c>
      <c r="D4" s="3" t="s">
        <v>91</v>
      </c>
      <c r="E4" s="3" t="s">
        <v>92</v>
      </c>
      <c r="F4" s="3"/>
      <c r="G4" s="3" t="s">
        <v>74</v>
      </c>
      <c r="H4" s="3" t="s">
        <v>93</v>
      </c>
      <c r="I4" s="3" t="s">
        <v>94</v>
      </c>
      <c r="J4" s="4" t="s">
        <v>95</v>
      </c>
      <c r="K4" s="3">
        <v>2</v>
      </c>
      <c r="L4" s="3" t="s">
        <v>78</v>
      </c>
      <c r="M4" s="3" t="s">
        <v>79</v>
      </c>
      <c r="N4" s="3" t="s">
        <v>80</v>
      </c>
      <c r="O4" s="3" t="s">
        <v>74</v>
      </c>
      <c r="P4" s="3" t="s">
        <v>81</v>
      </c>
      <c r="Q4" s="3" t="s">
        <v>82</v>
      </c>
      <c r="R4" s="3" t="s">
        <v>96</v>
      </c>
      <c r="S4" s="4" t="s">
        <v>97</v>
      </c>
      <c r="T4" s="3" t="s">
        <v>74</v>
      </c>
      <c r="U4" s="3" t="s">
        <v>74</v>
      </c>
      <c r="V4" s="4" t="s">
        <v>85</v>
      </c>
      <c r="W4" s="3" t="s">
        <v>86</v>
      </c>
      <c r="X4" s="3" t="s">
        <v>98</v>
      </c>
      <c r="Y4" s="3" t="s">
        <v>88</v>
      </c>
      <c r="Z4" s="3"/>
      <c r="AA4" s="3"/>
    </row>
    <row r="5" spans="1:77" ht="72" x14ac:dyDescent="0.3">
      <c r="A5" s="4" t="s">
        <v>111</v>
      </c>
      <c r="B5" s="4" t="s">
        <v>99</v>
      </c>
      <c r="C5" s="3" t="s">
        <v>74</v>
      </c>
      <c r="D5" s="3" t="s">
        <v>100</v>
      </c>
      <c r="E5" s="4" t="s">
        <v>101</v>
      </c>
      <c r="F5" s="4"/>
      <c r="G5" s="3" t="s">
        <v>74</v>
      </c>
      <c r="H5" s="3" t="s">
        <v>102</v>
      </c>
      <c r="I5" s="3" t="s">
        <v>103</v>
      </c>
      <c r="J5" s="3" t="s">
        <v>104</v>
      </c>
      <c r="K5" s="3" t="s">
        <v>74</v>
      </c>
      <c r="L5" s="3" t="s">
        <v>105</v>
      </c>
      <c r="M5" s="3" t="s">
        <v>106</v>
      </c>
      <c r="N5" s="3" t="s">
        <v>74</v>
      </c>
      <c r="O5" s="3" t="s">
        <v>74</v>
      </c>
      <c r="P5" s="3" t="s">
        <v>81</v>
      </c>
      <c r="Q5" s="3" t="s">
        <v>107</v>
      </c>
      <c r="R5" s="3" t="s">
        <v>74</v>
      </c>
      <c r="S5" s="3" t="s">
        <v>74</v>
      </c>
      <c r="T5" s="3" t="s">
        <v>74</v>
      </c>
      <c r="U5" s="3" t="s">
        <v>74</v>
      </c>
      <c r="V5" s="4" t="s">
        <v>85</v>
      </c>
      <c r="W5" s="3" t="s">
        <v>108</v>
      </c>
      <c r="X5" s="4" t="s">
        <v>109</v>
      </c>
      <c r="Y5" s="3" t="s">
        <v>88</v>
      </c>
      <c r="Z5" s="3"/>
      <c r="AA5" s="3"/>
    </row>
    <row r="6" spans="1:77" x14ac:dyDescent="0.3">
      <c r="A6" s="4" t="s">
        <v>159</v>
      </c>
      <c r="B6" s="4" t="s">
        <v>182</v>
      </c>
      <c r="C6" s="3"/>
      <c r="D6" s="3"/>
      <c r="E6" s="4"/>
      <c r="F6" s="4"/>
      <c r="G6" s="3"/>
      <c r="H6" s="3"/>
      <c r="I6" s="3"/>
      <c r="J6" s="3"/>
      <c r="K6" s="3"/>
      <c r="L6" s="3"/>
      <c r="M6" s="3"/>
      <c r="N6" s="3"/>
      <c r="O6" s="3"/>
      <c r="P6" s="3"/>
      <c r="Q6" s="3"/>
      <c r="R6" s="3"/>
      <c r="S6" s="3"/>
      <c r="T6" s="3"/>
      <c r="U6" s="3"/>
      <c r="V6" s="4"/>
      <c r="W6" s="3"/>
      <c r="X6" s="4"/>
      <c r="Y6" s="3"/>
      <c r="Z6" s="3"/>
      <c r="AA6" s="3"/>
    </row>
    <row r="7" spans="1:77" x14ac:dyDescent="0.3">
      <c r="A7" s="4" t="s">
        <v>163</v>
      </c>
      <c r="B7" s="4" t="s">
        <v>164</v>
      </c>
      <c r="C7" s="3"/>
      <c r="D7" s="3"/>
      <c r="E7" s="4"/>
      <c r="F7" s="4"/>
      <c r="G7" s="3"/>
      <c r="H7" s="3"/>
      <c r="I7" s="3"/>
      <c r="J7" s="3"/>
      <c r="K7" s="3"/>
      <c r="L7" s="3"/>
      <c r="M7" s="3"/>
      <c r="N7" s="3"/>
      <c r="O7" s="3"/>
      <c r="P7" s="3"/>
      <c r="Q7" s="3"/>
      <c r="R7" s="3"/>
      <c r="S7" s="3"/>
      <c r="T7" s="3"/>
      <c r="U7" s="3"/>
      <c r="V7" s="4"/>
      <c r="W7" s="3"/>
      <c r="X7" s="4"/>
      <c r="Y7" s="3"/>
      <c r="Z7" s="3"/>
      <c r="AA7" s="3"/>
    </row>
    <row r="8" spans="1:77" x14ac:dyDescent="0.3">
      <c r="A8" s="4" t="s">
        <v>165</v>
      </c>
      <c r="B8" s="3" t="s">
        <v>162</v>
      </c>
      <c r="C8" s="3"/>
      <c r="D8" s="3"/>
      <c r="E8" s="3"/>
      <c r="F8" s="3"/>
      <c r="G8" s="3"/>
      <c r="H8" s="3"/>
      <c r="I8" s="3"/>
      <c r="J8" s="3"/>
      <c r="K8" s="3"/>
      <c r="L8" s="3"/>
      <c r="M8" s="3"/>
      <c r="N8" s="3"/>
      <c r="O8" s="3"/>
      <c r="P8" s="3"/>
      <c r="Q8" s="3"/>
      <c r="R8" s="3"/>
      <c r="S8" s="3"/>
      <c r="T8" s="3"/>
      <c r="U8" s="3"/>
      <c r="V8" s="3"/>
      <c r="W8" s="3"/>
      <c r="X8" s="3"/>
      <c r="Y8" s="3"/>
      <c r="Z8" s="3"/>
      <c r="AA8" s="3"/>
    </row>
    <row r="9" spans="1:77" x14ac:dyDescent="0.3">
      <c r="A9" s="4" t="s">
        <v>166</v>
      </c>
      <c r="B9" s="3" t="s">
        <v>164</v>
      </c>
      <c r="C9" s="3"/>
      <c r="D9" s="3"/>
      <c r="E9" s="3"/>
      <c r="F9" s="3"/>
      <c r="G9" s="3"/>
      <c r="H9" s="3"/>
      <c r="I9" s="3"/>
      <c r="J9" s="3"/>
      <c r="K9" s="3"/>
      <c r="L9" s="3"/>
      <c r="M9" s="3"/>
      <c r="N9" s="3"/>
      <c r="O9" s="3"/>
      <c r="P9" s="3"/>
      <c r="Q9" s="3"/>
      <c r="R9" s="3"/>
      <c r="S9" s="3"/>
      <c r="T9" s="3"/>
      <c r="U9" s="3"/>
      <c r="V9" s="3"/>
      <c r="W9" s="3"/>
      <c r="X9" s="3"/>
      <c r="Y9" s="3"/>
      <c r="Z9" s="3"/>
      <c r="AA9" s="3"/>
    </row>
    <row r="10" spans="1:77" x14ac:dyDescent="0.3">
      <c r="A10" s="4" t="s">
        <v>167</v>
      </c>
      <c r="B10" s="3" t="s">
        <v>162</v>
      </c>
      <c r="C10" s="3"/>
      <c r="D10" s="3"/>
      <c r="E10" s="3"/>
      <c r="F10" s="3"/>
      <c r="G10" s="3"/>
      <c r="H10" s="3"/>
      <c r="I10" s="3"/>
      <c r="J10" s="3"/>
      <c r="K10" s="3"/>
      <c r="L10" s="3"/>
      <c r="M10" s="3"/>
      <c r="N10" s="3"/>
      <c r="O10" s="3"/>
      <c r="P10" s="3"/>
      <c r="Q10" s="3"/>
      <c r="R10" s="3"/>
      <c r="S10" s="3"/>
      <c r="T10" s="3"/>
      <c r="U10" s="3"/>
      <c r="V10" s="3"/>
      <c r="W10" s="3"/>
      <c r="X10" s="3"/>
      <c r="Y10" s="3"/>
      <c r="Z10" s="3"/>
      <c r="AA10" s="3"/>
    </row>
    <row r="11" spans="1:77" x14ac:dyDescent="0.3">
      <c r="A11" s="4" t="s">
        <v>168</v>
      </c>
      <c r="B11" s="3" t="s">
        <v>179</v>
      </c>
      <c r="C11" s="3"/>
      <c r="D11" s="3"/>
      <c r="E11" s="3"/>
      <c r="F11" s="3"/>
      <c r="G11" s="3"/>
      <c r="H11" s="3"/>
      <c r="I11" s="3"/>
      <c r="J11" s="3"/>
      <c r="K11" s="3"/>
      <c r="L11" s="3"/>
      <c r="M11" s="3"/>
      <c r="N11" s="3"/>
      <c r="O11" s="3"/>
      <c r="P11" s="3"/>
      <c r="Q11" s="3"/>
      <c r="R11" s="3"/>
      <c r="S11" s="3"/>
      <c r="T11" s="3"/>
      <c r="U11" s="3"/>
      <c r="V11" s="3"/>
      <c r="W11" s="3"/>
      <c r="X11" s="3"/>
      <c r="Y11" s="3"/>
      <c r="Z11" s="3"/>
      <c r="AA11" s="3"/>
    </row>
    <row r="12" spans="1:77" x14ac:dyDescent="0.3">
      <c r="A12" s="4" t="s">
        <v>169</v>
      </c>
      <c r="B12" s="3" t="s">
        <v>180</v>
      </c>
      <c r="C12" s="3"/>
      <c r="D12" s="3"/>
      <c r="E12" s="3"/>
      <c r="F12" s="3"/>
      <c r="G12" s="3"/>
      <c r="H12" s="3"/>
      <c r="I12" s="3"/>
      <c r="J12" s="3"/>
      <c r="K12" s="3"/>
      <c r="L12" s="3"/>
      <c r="M12" s="3"/>
      <c r="N12" s="3"/>
      <c r="O12" s="3"/>
      <c r="P12" s="3"/>
      <c r="Q12" s="3"/>
      <c r="R12" s="3"/>
      <c r="S12" s="3"/>
      <c r="T12" s="3"/>
      <c r="U12" s="3"/>
      <c r="V12" s="3"/>
      <c r="W12" s="3"/>
      <c r="X12" s="3"/>
      <c r="Y12" s="3"/>
      <c r="Z12" s="3"/>
      <c r="AA12" s="3"/>
    </row>
    <row r="13" spans="1:77" x14ac:dyDescent="0.3">
      <c r="A13" s="4" t="s">
        <v>170</v>
      </c>
      <c r="B13" s="3" t="s">
        <v>162</v>
      </c>
      <c r="C13" s="3"/>
      <c r="D13" s="3"/>
      <c r="E13" s="3"/>
      <c r="F13" s="3"/>
      <c r="G13" s="3"/>
      <c r="H13" s="3"/>
      <c r="I13" s="3"/>
      <c r="J13" s="3"/>
      <c r="K13" s="3"/>
      <c r="L13" s="3"/>
      <c r="M13" s="3"/>
      <c r="N13" s="3"/>
      <c r="O13" s="3"/>
      <c r="P13" s="3"/>
      <c r="Q13" s="3"/>
      <c r="R13" s="3"/>
      <c r="S13" s="3"/>
      <c r="T13" s="3"/>
      <c r="U13" s="3"/>
      <c r="V13" s="3"/>
      <c r="W13" s="3"/>
      <c r="X13" s="3"/>
      <c r="Y13" s="3"/>
      <c r="Z13" s="3"/>
      <c r="AA13" s="3"/>
    </row>
    <row r="14" spans="1:77" x14ac:dyDescent="0.3">
      <c r="A14" s="4" t="s">
        <v>171</v>
      </c>
      <c r="B14" t="s">
        <v>179</v>
      </c>
    </row>
  </sheetData>
  <phoneticPr fontId="2"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465DE-5671-4127-A648-FD486FFE647B}">
  <dimension ref="A1:BE878"/>
  <sheetViews>
    <sheetView topLeftCell="AF1" zoomScale="69" zoomScaleNormal="34" workbookViewId="0">
      <selection activeCell="AL2" sqref="A2:XFD2"/>
    </sheetView>
  </sheetViews>
  <sheetFormatPr defaultColWidth="33" defaultRowHeight="14.4" x14ac:dyDescent="0.3"/>
  <cols>
    <col min="1" max="1" width="13.5546875" bestFit="1" customWidth="1"/>
    <col min="2" max="2" width="22.77734375" bestFit="1" customWidth="1"/>
    <col min="3" max="3" width="36.33203125" bestFit="1" customWidth="1"/>
    <col min="4" max="4" width="51.21875" bestFit="1" customWidth="1"/>
    <col min="5" max="5" width="28.6640625" bestFit="1" customWidth="1"/>
    <col min="6" max="6" width="24.88671875" style="43" bestFit="1" customWidth="1"/>
    <col min="7" max="7" width="24.88671875" customWidth="1"/>
    <col min="8" max="8" width="48.5546875" style="11" bestFit="1" customWidth="1"/>
    <col min="9" max="9" width="119.21875" style="39" bestFit="1" customWidth="1"/>
    <col min="10" max="10" width="50.88671875" bestFit="1" customWidth="1"/>
    <col min="11" max="11" width="47.88671875" bestFit="1" customWidth="1"/>
    <col min="12" max="12" width="27.5546875" bestFit="1" customWidth="1"/>
    <col min="13" max="13" width="49.33203125" bestFit="1" customWidth="1"/>
    <col min="14" max="14" width="22.109375" bestFit="1" customWidth="1"/>
    <col min="15" max="15" width="40.33203125" bestFit="1" customWidth="1"/>
    <col min="16" max="16" width="12.88671875" bestFit="1" customWidth="1"/>
    <col min="17" max="17" width="31.5546875" bestFit="1" customWidth="1"/>
    <col min="18" max="18" width="24.6640625" bestFit="1" customWidth="1"/>
    <col min="19" max="19" width="22.5546875" bestFit="1" customWidth="1"/>
    <col min="20" max="20" width="32.44140625" bestFit="1" customWidth="1"/>
    <col min="21" max="21" width="33.6640625" bestFit="1" customWidth="1"/>
    <col min="22" max="22" width="28.44140625" bestFit="1" customWidth="1"/>
    <col min="23" max="23" width="24.21875" bestFit="1" customWidth="1"/>
    <col min="24" max="24" width="24.44140625" bestFit="1" customWidth="1"/>
    <col min="26" max="26" width="28.6640625" bestFit="1" customWidth="1"/>
    <col min="27" max="27" width="31.5546875" bestFit="1" customWidth="1"/>
    <col min="28" max="28" width="36.77734375" bestFit="1" customWidth="1"/>
    <col min="29" max="29" width="41" bestFit="1" customWidth="1"/>
    <col min="30" max="30" width="46.21875" bestFit="1" customWidth="1"/>
    <col min="31" max="31" width="15.77734375" bestFit="1" customWidth="1"/>
    <col min="32" max="32" width="32.77734375" bestFit="1" customWidth="1"/>
    <col min="33" max="33" width="15.21875" bestFit="1" customWidth="1"/>
    <col min="34" max="34" width="33.6640625" style="11" bestFit="1" customWidth="1"/>
    <col min="35" max="35" width="39.77734375" style="11" bestFit="1" customWidth="1"/>
    <col min="36" max="36" width="36.33203125" style="11" bestFit="1" customWidth="1"/>
    <col min="37" max="37" width="35.33203125" style="11" bestFit="1" customWidth="1"/>
    <col min="38" max="38" width="44.109375" style="11" bestFit="1" customWidth="1"/>
    <col min="39" max="39" width="14.5546875" style="63" bestFit="1" customWidth="1"/>
    <col min="40" max="40" width="17.5546875" style="63" bestFit="1" customWidth="1"/>
    <col min="41" max="41" width="30.109375" style="11" bestFit="1" customWidth="1"/>
    <col min="42" max="42" width="51.44140625" style="78" bestFit="1" customWidth="1"/>
    <col min="43" max="43" width="27.5546875" style="79" bestFit="1" customWidth="1"/>
    <col min="44" max="44" width="29.44140625" style="79" bestFit="1" customWidth="1"/>
    <col min="45" max="45" width="73.88671875" bestFit="1" customWidth="1"/>
    <col min="46" max="46" width="34.109375" bestFit="1" customWidth="1"/>
    <col min="47" max="47" width="28.21875" bestFit="1" customWidth="1"/>
    <col min="48" max="48" width="16.21875" bestFit="1" customWidth="1"/>
    <col min="49" max="49" width="20" bestFit="1" customWidth="1"/>
    <col min="50" max="50" width="12.21875" bestFit="1" customWidth="1"/>
    <col min="51" max="51" width="21.109375" bestFit="1" customWidth="1"/>
    <col min="52" max="52" width="49.5546875" bestFit="1" customWidth="1"/>
    <col min="53" max="53" width="49" bestFit="1" customWidth="1"/>
    <col min="54" max="54" width="40.109375" style="11" bestFit="1" customWidth="1"/>
    <col min="55" max="55" width="102.6640625" bestFit="1" customWidth="1"/>
    <col min="56" max="56" width="44.109375" bestFit="1" customWidth="1"/>
    <col min="57" max="57" width="21.88671875" bestFit="1" customWidth="1"/>
    <col min="62" max="66" width="33" customWidth="1"/>
  </cols>
  <sheetData>
    <row r="1" spans="1:57" ht="15" customHeight="1" thickBot="1" x14ac:dyDescent="0.35">
      <c r="A1" s="17" t="s">
        <v>56</v>
      </c>
      <c r="B1" s="17" t="s">
        <v>57</v>
      </c>
      <c r="C1" s="84"/>
      <c r="D1" s="84"/>
      <c r="E1" s="84"/>
      <c r="F1" s="84"/>
      <c r="G1" s="91"/>
      <c r="H1" s="84"/>
      <c r="I1" s="85"/>
      <c r="J1" s="84"/>
      <c r="K1" s="84"/>
      <c r="L1" s="84"/>
      <c r="M1" s="84"/>
      <c r="N1" s="84"/>
      <c r="O1" s="84"/>
      <c r="P1" s="22"/>
      <c r="Q1" s="22"/>
      <c r="R1" s="22"/>
      <c r="S1" s="22"/>
      <c r="T1" s="22"/>
      <c r="U1" s="22"/>
      <c r="V1" s="22"/>
      <c r="W1" s="22"/>
      <c r="X1" s="22"/>
      <c r="Y1" s="22"/>
      <c r="Z1" s="22"/>
      <c r="AA1" s="22"/>
      <c r="AB1" s="22"/>
      <c r="AC1" s="22"/>
      <c r="AD1" s="22"/>
      <c r="AE1" s="22"/>
      <c r="AF1" s="22"/>
      <c r="AG1" s="22"/>
      <c r="AH1" s="81"/>
      <c r="AI1" s="81"/>
      <c r="AJ1" s="81"/>
      <c r="AK1" s="81"/>
      <c r="AL1" s="81"/>
      <c r="AM1" s="82"/>
      <c r="AN1" s="82"/>
      <c r="AO1" s="81"/>
      <c r="AP1" s="65"/>
      <c r="AQ1" s="66"/>
      <c r="AR1" s="66"/>
      <c r="AS1" s="11"/>
      <c r="AT1" s="11"/>
      <c r="AU1" s="11"/>
      <c r="AV1" s="11"/>
      <c r="AW1" s="11"/>
      <c r="AX1" s="11"/>
      <c r="AY1" s="11"/>
      <c r="AZ1" s="11"/>
      <c r="BA1" s="84"/>
      <c r="BB1" s="84"/>
      <c r="BC1" s="84"/>
      <c r="BD1" s="11"/>
      <c r="BE1" s="11"/>
    </row>
    <row r="2" spans="1:57" x14ac:dyDescent="0.3">
      <c r="A2" s="18" t="s">
        <v>58</v>
      </c>
      <c r="B2" s="18" t="s">
        <v>67</v>
      </c>
      <c r="C2" s="18" t="s">
        <v>1</v>
      </c>
      <c r="D2" s="18" t="s">
        <v>240</v>
      </c>
      <c r="E2" s="18" t="s">
        <v>260</v>
      </c>
      <c r="F2" s="40" t="s">
        <v>249</v>
      </c>
      <c r="G2" s="18" t="s">
        <v>452</v>
      </c>
      <c r="H2" s="18" t="s">
        <v>248</v>
      </c>
      <c r="I2" s="38" t="s">
        <v>247</v>
      </c>
      <c r="J2" s="18" t="s">
        <v>244</v>
      </c>
      <c r="K2" s="18" t="s">
        <v>386</v>
      </c>
      <c r="L2" s="18" t="s">
        <v>237</v>
      </c>
      <c r="M2" s="18" t="s">
        <v>387</v>
      </c>
      <c r="N2" s="18" t="s">
        <v>183</v>
      </c>
      <c r="O2" s="18" t="s">
        <v>239</v>
      </c>
      <c r="P2" s="18" t="s">
        <v>191</v>
      </c>
      <c r="Q2" s="18" t="s">
        <v>264</v>
      </c>
      <c r="R2" s="18" t="s">
        <v>357</v>
      </c>
      <c r="S2" s="18" t="s">
        <v>36</v>
      </c>
      <c r="T2" s="18" t="s">
        <v>45</v>
      </c>
      <c r="U2" s="18" t="s">
        <v>358</v>
      </c>
      <c r="V2" s="18" t="s">
        <v>269</v>
      </c>
      <c r="W2" s="18" t="s">
        <v>271</v>
      </c>
      <c r="X2" s="18" t="s">
        <v>273</v>
      </c>
      <c r="Y2" s="18" t="s">
        <v>275</v>
      </c>
      <c r="Z2" s="18" t="s">
        <v>277</v>
      </c>
      <c r="AA2" s="18" t="s">
        <v>279</v>
      </c>
      <c r="AB2" s="18" t="s">
        <v>281</v>
      </c>
      <c r="AC2" s="18" t="s">
        <v>283</v>
      </c>
      <c r="AD2" s="18" t="s">
        <v>286</v>
      </c>
      <c r="AE2" s="18" t="s">
        <v>433</v>
      </c>
      <c r="AF2" s="18" t="s">
        <v>43</v>
      </c>
      <c r="AG2" s="18" t="s">
        <v>299</v>
      </c>
      <c r="AH2" s="18" t="s">
        <v>425</v>
      </c>
      <c r="AI2" s="18" t="s">
        <v>428</v>
      </c>
      <c r="AJ2" s="18" t="s">
        <v>427</v>
      </c>
      <c r="AK2" s="18" t="s">
        <v>429</v>
      </c>
      <c r="AL2" s="18" t="s">
        <v>430</v>
      </c>
      <c r="AM2" s="64" t="s">
        <v>154</v>
      </c>
      <c r="AN2" s="64" t="s">
        <v>431</v>
      </c>
      <c r="AO2" s="18" t="s">
        <v>432</v>
      </c>
      <c r="AP2" s="67" t="s">
        <v>160</v>
      </c>
      <c r="AQ2" s="68" t="s">
        <v>426</v>
      </c>
      <c r="AR2" s="69" t="s">
        <v>47</v>
      </c>
      <c r="AS2" s="15" t="s">
        <v>185</v>
      </c>
      <c r="AT2" s="15" t="s">
        <v>152</v>
      </c>
      <c r="AU2" s="12" t="s">
        <v>47</v>
      </c>
      <c r="AV2" s="18" t="s">
        <v>155</v>
      </c>
      <c r="AW2" s="18" t="s">
        <v>64</v>
      </c>
      <c r="AX2" s="18" t="s">
        <v>65</v>
      </c>
      <c r="AY2" s="18" t="s">
        <v>66</v>
      </c>
      <c r="AZ2" s="18" t="s">
        <v>382</v>
      </c>
      <c r="BA2" s="18" t="s">
        <v>394</v>
      </c>
      <c r="BB2" s="18" t="s">
        <v>390</v>
      </c>
      <c r="BC2" s="18" t="s">
        <v>392</v>
      </c>
      <c r="BD2" s="18" t="s">
        <v>23</v>
      </c>
      <c r="BE2" s="18" t="s">
        <v>24</v>
      </c>
    </row>
    <row r="3" spans="1:57" ht="216" x14ac:dyDescent="0.3">
      <c r="A3" s="11"/>
      <c r="B3" s="11" t="s">
        <v>69</v>
      </c>
      <c r="C3" s="4" t="s">
        <v>70</v>
      </c>
      <c r="D3" s="28" t="s">
        <v>241</v>
      </c>
      <c r="E3" s="28" t="e" vm="1">
        <v>#VALUE!</v>
      </c>
      <c r="F3" s="41" t="s">
        <v>385</v>
      </c>
      <c r="G3" s="90" t="s">
        <v>453</v>
      </c>
      <c r="H3" s="37">
        <v>918.31</v>
      </c>
      <c r="I3" s="36">
        <f>((K3)*1000)/H3</f>
        <v>48.785268591216479</v>
      </c>
      <c r="J3" s="4" t="s">
        <v>245</v>
      </c>
      <c r="K3" s="4">
        <v>44.8</v>
      </c>
      <c r="L3" s="4">
        <v>3.1</v>
      </c>
      <c r="M3" s="4">
        <f>K3/L3</f>
        <v>14.451612903225804</v>
      </c>
      <c r="N3" t="s">
        <v>238</v>
      </c>
      <c r="O3" t="s">
        <v>118</v>
      </c>
      <c r="P3" s="4" t="s">
        <v>258</v>
      </c>
      <c r="Q3" s="4" t="s">
        <v>360</v>
      </c>
      <c r="R3" s="4" t="s">
        <v>113</v>
      </c>
      <c r="S3" s="4" t="s">
        <v>361</v>
      </c>
      <c r="T3" s="4" t="s">
        <v>362</v>
      </c>
      <c r="U3" s="4" t="s">
        <v>363</v>
      </c>
      <c r="V3" s="4" t="s">
        <v>366</v>
      </c>
      <c r="W3" s="4" t="s">
        <v>368</v>
      </c>
      <c r="X3" s="4" t="s">
        <v>122</v>
      </c>
      <c r="Y3" s="4" t="s">
        <v>369</v>
      </c>
      <c r="Z3" s="4" t="s">
        <v>371</v>
      </c>
      <c r="AA3" s="4">
        <v>298</v>
      </c>
      <c r="AB3" s="4" t="s">
        <v>373</v>
      </c>
      <c r="AC3" s="4" t="s">
        <v>376</v>
      </c>
      <c r="AD3" s="4" t="s">
        <v>378</v>
      </c>
      <c r="AE3" s="4">
        <v>30</v>
      </c>
      <c r="AF3" s="4" t="s">
        <v>140</v>
      </c>
      <c r="AG3" s="4"/>
      <c r="AH3" s="59">
        <v>0.45</v>
      </c>
      <c r="AI3" s="83">
        <v>3</v>
      </c>
      <c r="AJ3" s="83">
        <v>33.518000000000001</v>
      </c>
      <c r="AK3" s="83">
        <v>133.51</v>
      </c>
      <c r="AL3" s="83">
        <v>59.696950000000001</v>
      </c>
      <c r="AM3" s="63">
        <v>0.18568665377176</v>
      </c>
      <c r="AN3" s="63">
        <v>298</v>
      </c>
      <c r="AO3" s="11">
        <v>298</v>
      </c>
      <c r="AP3" s="70"/>
      <c r="AQ3" s="66"/>
      <c r="AR3" s="71"/>
      <c r="AS3" s="11" t="s">
        <v>186</v>
      </c>
      <c r="AT3" s="11"/>
      <c r="AU3" s="13"/>
      <c r="AV3" s="11"/>
      <c r="AW3" s="11"/>
      <c r="AX3" s="11"/>
      <c r="AY3" s="11"/>
      <c r="AZ3" s="11"/>
      <c r="BA3" s="59" t="s">
        <v>395</v>
      </c>
      <c r="BB3" s="11">
        <v>1</v>
      </c>
      <c r="BC3" s="59" t="s">
        <v>391</v>
      </c>
      <c r="BD3" s="19" t="s">
        <v>68</v>
      </c>
      <c r="BE3" s="11" t="s">
        <v>380</v>
      </c>
    </row>
    <row r="4" spans="1:57" x14ac:dyDescent="0.3">
      <c r="A4" s="11"/>
      <c r="B4" s="11" t="s">
        <v>69</v>
      </c>
      <c r="C4" s="4" t="s">
        <v>70</v>
      </c>
      <c r="D4" s="28" t="s">
        <v>241</v>
      </c>
      <c r="E4" s="28"/>
      <c r="F4" s="41" t="s">
        <v>385</v>
      </c>
      <c r="G4" s="28"/>
      <c r="H4" s="37">
        <v>918.31</v>
      </c>
      <c r="I4" s="36">
        <f>((K4)*1000)/H4</f>
        <v>48.785268591216479</v>
      </c>
      <c r="J4" s="4" t="s">
        <v>245</v>
      </c>
      <c r="K4" s="4">
        <v>44.8</v>
      </c>
      <c r="L4" s="4">
        <v>3.1</v>
      </c>
      <c r="M4" s="4">
        <f t="shared" ref="M4:M38" si="0">K4/L4</f>
        <v>14.451612903225804</v>
      </c>
      <c r="N4" t="s">
        <v>238</v>
      </c>
      <c r="O4" t="s">
        <v>118</v>
      </c>
      <c r="P4" s="4" t="s">
        <v>258</v>
      </c>
      <c r="Q4" s="4" t="s">
        <v>360</v>
      </c>
      <c r="R4" s="4" t="s">
        <v>113</v>
      </c>
      <c r="S4" s="4" t="s">
        <v>361</v>
      </c>
      <c r="T4" s="4" t="s">
        <v>362</v>
      </c>
      <c r="U4" s="4" t="s">
        <v>363</v>
      </c>
      <c r="V4" s="4" t="s">
        <v>366</v>
      </c>
      <c r="W4" s="4" t="s">
        <v>368</v>
      </c>
      <c r="X4" s="4" t="s">
        <v>122</v>
      </c>
      <c r="Y4" s="4" t="s">
        <v>369</v>
      </c>
      <c r="Z4" s="4" t="s">
        <v>371</v>
      </c>
      <c r="AA4" s="4">
        <v>298</v>
      </c>
      <c r="AB4" s="4" t="s">
        <v>373</v>
      </c>
      <c r="AC4" s="4" t="s">
        <v>376</v>
      </c>
      <c r="AD4" s="4" t="s">
        <v>378</v>
      </c>
      <c r="AE4" s="4">
        <v>30</v>
      </c>
      <c r="AF4" s="4" t="s">
        <v>140</v>
      </c>
      <c r="AG4" s="4"/>
      <c r="AH4" s="59">
        <v>0.45</v>
      </c>
      <c r="AI4" s="83">
        <v>4.5</v>
      </c>
      <c r="AJ4" s="83">
        <v>48.258000000000003</v>
      </c>
      <c r="AK4" s="83">
        <v>131.05000000000001</v>
      </c>
      <c r="AL4" s="83">
        <v>82.834220000000002</v>
      </c>
      <c r="AM4" s="63">
        <v>0.20116054158607299</v>
      </c>
      <c r="AN4" s="63">
        <v>298</v>
      </c>
      <c r="AO4" s="11">
        <v>298</v>
      </c>
      <c r="AP4" s="70"/>
      <c r="AQ4" s="66"/>
      <c r="AR4" s="71"/>
      <c r="AS4" s="11"/>
      <c r="AT4" s="11"/>
      <c r="AU4" s="13"/>
      <c r="AV4" s="11"/>
      <c r="AW4" s="11"/>
      <c r="AX4" s="11"/>
      <c r="AY4" s="11"/>
      <c r="AZ4" s="11"/>
      <c r="BA4" s="11" t="s">
        <v>383</v>
      </c>
      <c r="BC4" s="11"/>
      <c r="BD4" s="19" t="s">
        <v>68</v>
      </c>
      <c r="BE4" s="11" t="s">
        <v>380</v>
      </c>
    </row>
    <row r="5" spans="1:57" x14ac:dyDescent="0.3">
      <c r="A5" s="11"/>
      <c r="B5" s="11" t="s">
        <v>69</v>
      </c>
      <c r="C5" s="4" t="s">
        <v>70</v>
      </c>
      <c r="D5" s="28" t="s">
        <v>241</v>
      </c>
      <c r="E5" s="28"/>
      <c r="F5" s="41" t="s">
        <v>385</v>
      </c>
      <c r="G5" s="28"/>
      <c r="H5" s="37">
        <v>918.31</v>
      </c>
      <c r="I5" s="36">
        <f t="shared" ref="I5:I20" si="1">((K5)*1000)/H5</f>
        <v>48.785268591216479</v>
      </c>
      <c r="J5" s="4" t="s">
        <v>245</v>
      </c>
      <c r="K5" s="4">
        <v>44.8</v>
      </c>
      <c r="L5" s="4">
        <v>3.1</v>
      </c>
      <c r="M5" s="4">
        <f t="shared" si="0"/>
        <v>14.451612903225804</v>
      </c>
      <c r="N5" t="s">
        <v>238</v>
      </c>
      <c r="O5" t="s">
        <v>118</v>
      </c>
      <c r="P5" s="4" t="s">
        <v>258</v>
      </c>
      <c r="Q5" s="4" t="s">
        <v>360</v>
      </c>
      <c r="R5" s="4" t="s">
        <v>113</v>
      </c>
      <c r="S5" s="4" t="s">
        <v>361</v>
      </c>
      <c r="T5" s="4" t="s">
        <v>362</v>
      </c>
      <c r="U5" s="4" t="s">
        <v>363</v>
      </c>
      <c r="V5" s="4" t="s">
        <v>366</v>
      </c>
      <c r="W5" s="4" t="s">
        <v>368</v>
      </c>
      <c r="X5" s="4" t="s">
        <v>122</v>
      </c>
      <c r="Y5" s="4" t="s">
        <v>369</v>
      </c>
      <c r="Z5" s="4" t="s">
        <v>371</v>
      </c>
      <c r="AA5" s="4">
        <v>298</v>
      </c>
      <c r="AB5" s="4" t="s">
        <v>373</v>
      </c>
      <c r="AC5" s="4" t="s">
        <v>376</v>
      </c>
      <c r="AD5" s="4" t="s">
        <v>378</v>
      </c>
      <c r="AE5" s="4">
        <v>30</v>
      </c>
      <c r="AF5" s="4" t="s">
        <v>140</v>
      </c>
      <c r="AG5" s="4"/>
      <c r="AH5" s="59">
        <v>0.45</v>
      </c>
      <c r="AI5" s="83">
        <v>6</v>
      </c>
      <c r="AJ5" s="83">
        <v>70.215999999999994</v>
      </c>
      <c r="AK5" s="83">
        <v>129.81</v>
      </c>
      <c r="AL5" s="83">
        <v>118.26285</v>
      </c>
      <c r="AM5" s="63">
        <v>0.21663442940038599</v>
      </c>
      <c r="AN5" s="63">
        <v>298</v>
      </c>
      <c r="AO5" s="11">
        <v>298</v>
      </c>
      <c r="AP5" s="70"/>
      <c r="AQ5" s="66"/>
      <c r="AR5" s="71"/>
      <c r="AS5" s="11"/>
      <c r="AT5" s="11"/>
      <c r="AU5" s="13"/>
      <c r="AV5" s="11"/>
      <c r="AW5" s="11"/>
      <c r="AX5" s="11"/>
      <c r="AY5" s="11"/>
      <c r="AZ5" s="11"/>
      <c r="BA5" s="11" t="s">
        <v>383</v>
      </c>
      <c r="BC5" s="11"/>
      <c r="BD5" s="19" t="s">
        <v>68</v>
      </c>
      <c r="BE5" s="11" t="s">
        <v>380</v>
      </c>
    </row>
    <row r="6" spans="1:57" x14ac:dyDescent="0.3">
      <c r="A6" s="11"/>
      <c r="B6" s="11" t="s">
        <v>69</v>
      </c>
      <c r="C6" s="4" t="s">
        <v>70</v>
      </c>
      <c r="D6" s="28" t="s">
        <v>241</v>
      </c>
      <c r="E6" s="28"/>
      <c r="F6" s="41" t="s">
        <v>385</v>
      </c>
      <c r="G6" s="28"/>
      <c r="H6" s="37">
        <v>918.31</v>
      </c>
      <c r="I6" s="36">
        <f>((K6)*1000)/H6</f>
        <v>48.785268591216479</v>
      </c>
      <c r="J6" s="4" t="s">
        <v>245</v>
      </c>
      <c r="K6" s="4">
        <v>44.8</v>
      </c>
      <c r="L6" s="4">
        <v>3.1</v>
      </c>
      <c r="M6" s="4">
        <f t="shared" si="0"/>
        <v>14.451612903225804</v>
      </c>
      <c r="N6" t="s">
        <v>238</v>
      </c>
      <c r="O6" t="s">
        <v>118</v>
      </c>
      <c r="P6" s="4" t="s">
        <v>258</v>
      </c>
      <c r="Q6" s="4" t="s">
        <v>360</v>
      </c>
      <c r="R6" s="4" t="s">
        <v>113</v>
      </c>
      <c r="S6" s="4" t="s">
        <v>361</v>
      </c>
      <c r="T6" s="4" t="s">
        <v>362</v>
      </c>
      <c r="U6" s="4" t="s">
        <v>363</v>
      </c>
      <c r="V6" s="4" t="s">
        <v>366</v>
      </c>
      <c r="W6" s="4" t="s">
        <v>368</v>
      </c>
      <c r="X6" s="4" t="s">
        <v>122</v>
      </c>
      <c r="Y6" s="4" t="s">
        <v>369</v>
      </c>
      <c r="Z6" s="4" t="s">
        <v>371</v>
      </c>
      <c r="AA6" s="4">
        <v>298</v>
      </c>
      <c r="AB6" s="4" t="s">
        <v>373</v>
      </c>
      <c r="AC6" s="4" t="s">
        <v>376</v>
      </c>
      <c r="AD6" s="4" t="s">
        <v>378</v>
      </c>
      <c r="AE6" s="4">
        <v>30</v>
      </c>
      <c r="AF6" s="4" t="s">
        <v>140</v>
      </c>
      <c r="AG6" s="4"/>
      <c r="AH6" s="59">
        <v>0.45</v>
      </c>
      <c r="AI6" s="83">
        <v>7.5</v>
      </c>
      <c r="AJ6" s="83">
        <v>85.617999999999995</v>
      </c>
      <c r="AK6" s="83">
        <v>127.21</v>
      </c>
      <c r="AL6" s="83">
        <v>138.48994999999999</v>
      </c>
      <c r="AM6" s="63">
        <v>0.24139264990328799</v>
      </c>
      <c r="AN6" s="63">
        <v>298</v>
      </c>
      <c r="AO6" s="11">
        <v>298</v>
      </c>
      <c r="AP6" s="70"/>
      <c r="AQ6" s="66"/>
      <c r="AR6" s="71"/>
      <c r="AS6" s="11"/>
      <c r="AT6" s="11"/>
      <c r="AU6" s="13"/>
      <c r="AV6" s="11"/>
      <c r="AW6" s="11"/>
      <c r="AX6" s="11"/>
      <c r="AY6" s="11"/>
      <c r="AZ6" s="11"/>
      <c r="BA6" s="11" t="s">
        <v>383</v>
      </c>
      <c r="BC6" s="11"/>
      <c r="BD6" s="19" t="s">
        <v>68</v>
      </c>
      <c r="BE6" s="11" t="s">
        <v>380</v>
      </c>
    </row>
    <row r="7" spans="1:57" x14ac:dyDescent="0.3">
      <c r="A7" s="11"/>
      <c r="B7" s="11" t="s">
        <v>69</v>
      </c>
      <c r="C7" s="4" t="s">
        <v>70</v>
      </c>
      <c r="D7" s="28" t="s">
        <v>241</v>
      </c>
      <c r="E7" s="28"/>
      <c r="F7" s="41" t="s">
        <v>385</v>
      </c>
      <c r="G7" s="28"/>
      <c r="H7" s="37">
        <v>918.31</v>
      </c>
      <c r="I7" s="36">
        <f t="shared" si="1"/>
        <v>48.785268591216479</v>
      </c>
      <c r="J7" s="4" t="s">
        <v>245</v>
      </c>
      <c r="K7" s="4">
        <v>44.8</v>
      </c>
      <c r="L7" s="4">
        <v>3.1</v>
      </c>
      <c r="M7" s="4">
        <f t="shared" si="0"/>
        <v>14.451612903225804</v>
      </c>
      <c r="N7" t="s">
        <v>238</v>
      </c>
      <c r="O7" t="s">
        <v>118</v>
      </c>
      <c r="P7" s="4" t="s">
        <v>258</v>
      </c>
      <c r="Q7" s="4" t="s">
        <v>360</v>
      </c>
      <c r="R7" s="4" t="s">
        <v>113</v>
      </c>
      <c r="S7" s="4" t="s">
        <v>361</v>
      </c>
      <c r="T7" s="4" t="s">
        <v>362</v>
      </c>
      <c r="U7" s="4" t="s">
        <v>363</v>
      </c>
      <c r="V7" s="4" t="s">
        <v>366</v>
      </c>
      <c r="W7" s="4" t="s">
        <v>368</v>
      </c>
      <c r="X7" s="4" t="s">
        <v>122</v>
      </c>
      <c r="Y7" s="4" t="s">
        <v>369</v>
      </c>
      <c r="Z7" s="4" t="s">
        <v>371</v>
      </c>
      <c r="AA7" s="4">
        <v>298</v>
      </c>
      <c r="AB7" s="4" t="s">
        <v>373</v>
      </c>
      <c r="AC7" s="4" t="s">
        <v>376</v>
      </c>
      <c r="AD7" s="4" t="s">
        <v>378</v>
      </c>
      <c r="AE7" s="4">
        <v>30</v>
      </c>
      <c r="AF7" s="4" t="s">
        <v>140</v>
      </c>
      <c r="AG7" s="4"/>
      <c r="AH7" s="59">
        <v>0.45</v>
      </c>
      <c r="AI7" s="83">
        <v>9</v>
      </c>
      <c r="AJ7" s="83">
        <v>112.83135</v>
      </c>
      <c r="AK7" s="83">
        <v>125.19172</v>
      </c>
      <c r="AL7" s="83">
        <v>176.80599000000001</v>
      </c>
      <c r="AM7" s="63">
        <v>0.25996131528046401</v>
      </c>
      <c r="AN7" s="63">
        <v>298</v>
      </c>
      <c r="AO7" s="11">
        <v>298</v>
      </c>
      <c r="AP7" s="70"/>
      <c r="AQ7" s="66"/>
      <c r="AR7" s="71"/>
      <c r="AS7" s="11"/>
      <c r="AT7" s="11"/>
      <c r="AU7" s="13"/>
      <c r="AV7" s="11"/>
      <c r="AW7" s="11"/>
      <c r="AX7" s="11"/>
      <c r="AY7" s="11"/>
      <c r="AZ7" s="11"/>
      <c r="BA7" s="11" t="s">
        <v>383</v>
      </c>
      <c r="BC7" s="11"/>
      <c r="BD7" s="19" t="s">
        <v>68</v>
      </c>
      <c r="BE7" s="11" t="s">
        <v>380</v>
      </c>
    </row>
    <row r="8" spans="1:57" x14ac:dyDescent="0.3">
      <c r="A8" s="11"/>
      <c r="B8" s="11" t="s">
        <v>69</v>
      </c>
      <c r="C8" s="4" t="s">
        <v>70</v>
      </c>
      <c r="D8" s="28" t="s">
        <v>241</v>
      </c>
      <c r="E8" s="28"/>
      <c r="F8" s="41" t="s">
        <v>385</v>
      </c>
      <c r="G8" s="28"/>
      <c r="H8" s="37">
        <v>918.31</v>
      </c>
      <c r="I8" s="36">
        <f t="shared" si="1"/>
        <v>48.785268591216479</v>
      </c>
      <c r="J8" s="4" t="s">
        <v>245</v>
      </c>
      <c r="K8" s="4">
        <v>44.8</v>
      </c>
      <c r="L8" s="4">
        <v>3.1</v>
      </c>
      <c r="M8" s="4">
        <f t="shared" si="0"/>
        <v>14.451612903225804</v>
      </c>
      <c r="N8" t="s">
        <v>238</v>
      </c>
      <c r="O8" t="s">
        <v>118</v>
      </c>
      <c r="P8" s="4" t="s">
        <v>258</v>
      </c>
      <c r="Q8" s="4" t="s">
        <v>360</v>
      </c>
      <c r="R8" s="4" t="s">
        <v>113</v>
      </c>
      <c r="S8" s="4" t="s">
        <v>361</v>
      </c>
      <c r="T8" s="4" t="s">
        <v>362</v>
      </c>
      <c r="U8" s="4" t="s">
        <v>363</v>
      </c>
      <c r="V8" s="4" t="s">
        <v>366</v>
      </c>
      <c r="W8" s="4" t="s">
        <v>368</v>
      </c>
      <c r="X8" s="4" t="s">
        <v>122</v>
      </c>
      <c r="Y8" s="4" t="s">
        <v>369</v>
      </c>
      <c r="Z8" s="4" t="s">
        <v>371</v>
      </c>
      <c r="AA8" s="4">
        <v>298</v>
      </c>
      <c r="AB8" s="4" t="s">
        <v>373</v>
      </c>
      <c r="AC8" s="4" t="s">
        <v>376</v>
      </c>
      <c r="AD8" s="4" t="s">
        <v>378</v>
      </c>
      <c r="AE8" s="4">
        <v>30</v>
      </c>
      <c r="AF8" s="4" t="s">
        <v>140</v>
      </c>
      <c r="AG8" s="4"/>
      <c r="AH8" s="59">
        <v>0.45</v>
      </c>
      <c r="AI8" s="83">
        <v>10.5</v>
      </c>
      <c r="AJ8" s="83">
        <v>159.78874999999999</v>
      </c>
      <c r="AK8" s="83">
        <v>122.71033</v>
      </c>
      <c r="AL8" s="83">
        <v>240.59234000000001</v>
      </c>
      <c r="AM8" s="63">
        <v>0.28162475822050298</v>
      </c>
      <c r="AN8" s="63">
        <v>298</v>
      </c>
      <c r="AO8" s="11">
        <v>298</v>
      </c>
      <c r="AP8" s="70"/>
      <c r="AQ8" s="66"/>
      <c r="AR8" s="71"/>
      <c r="AS8" s="11"/>
      <c r="AT8" s="11"/>
      <c r="AU8" s="13"/>
      <c r="AV8" s="11"/>
      <c r="AW8" s="11"/>
      <c r="AX8" s="11"/>
      <c r="AY8" s="11"/>
      <c r="AZ8" s="11"/>
      <c r="BA8" s="11" t="s">
        <v>383</v>
      </c>
      <c r="BC8" s="11"/>
      <c r="BD8" s="19" t="s">
        <v>68</v>
      </c>
      <c r="BE8" s="11" t="s">
        <v>380</v>
      </c>
    </row>
    <row r="9" spans="1:57" x14ac:dyDescent="0.3">
      <c r="A9" s="11"/>
      <c r="B9" s="11" t="s">
        <v>69</v>
      </c>
      <c r="C9" s="4" t="s">
        <v>70</v>
      </c>
      <c r="D9" s="28" t="s">
        <v>241</v>
      </c>
      <c r="E9" s="28"/>
      <c r="F9" s="41" t="s">
        <v>385</v>
      </c>
      <c r="G9" s="28"/>
      <c r="H9" s="37">
        <v>918.31</v>
      </c>
      <c r="I9" s="36">
        <f t="shared" si="1"/>
        <v>48.785268591216479</v>
      </c>
      <c r="J9" s="4" t="s">
        <v>245</v>
      </c>
      <c r="K9" s="4">
        <v>44.8</v>
      </c>
      <c r="L9" s="4">
        <v>3.1</v>
      </c>
      <c r="M9" s="4">
        <f t="shared" si="0"/>
        <v>14.451612903225804</v>
      </c>
      <c r="N9" t="s">
        <v>238</v>
      </c>
      <c r="O9" t="s">
        <v>118</v>
      </c>
      <c r="P9" s="4" t="s">
        <v>258</v>
      </c>
      <c r="Q9" s="4" t="s">
        <v>360</v>
      </c>
      <c r="R9" s="4" t="s">
        <v>113</v>
      </c>
      <c r="S9" s="4" t="s">
        <v>361</v>
      </c>
      <c r="T9" s="4" t="s">
        <v>362</v>
      </c>
      <c r="U9" s="4" t="s">
        <v>363</v>
      </c>
      <c r="V9" s="4" t="s">
        <v>366</v>
      </c>
      <c r="W9" s="4" t="s">
        <v>368</v>
      </c>
      <c r="X9" s="4" t="s">
        <v>122</v>
      </c>
      <c r="Y9" s="4" t="s">
        <v>369</v>
      </c>
      <c r="Z9" s="4" t="s">
        <v>371</v>
      </c>
      <c r="AA9" s="4">
        <v>298</v>
      </c>
      <c r="AB9" s="4" t="s">
        <v>373</v>
      </c>
      <c r="AC9" s="4" t="s">
        <v>376</v>
      </c>
      <c r="AD9" s="4" t="s">
        <v>378</v>
      </c>
      <c r="AE9" s="4">
        <v>30</v>
      </c>
      <c r="AF9" s="4" t="s">
        <v>140</v>
      </c>
      <c r="AG9" s="4"/>
      <c r="AH9" s="59">
        <v>0.45</v>
      </c>
      <c r="AI9" s="83">
        <v>12</v>
      </c>
      <c r="AJ9" s="83">
        <v>209.93563</v>
      </c>
      <c r="AK9" s="83">
        <v>115.65706</v>
      </c>
      <c r="AL9" s="83">
        <v>280.70006000000001</v>
      </c>
      <c r="AM9" s="63">
        <v>0.303288201160541</v>
      </c>
      <c r="AN9" s="63">
        <v>298</v>
      </c>
      <c r="AO9" s="11">
        <v>298</v>
      </c>
      <c r="AP9" s="70"/>
      <c r="AQ9" s="66"/>
      <c r="AR9" s="71"/>
      <c r="AS9" s="11"/>
      <c r="AT9" s="11"/>
      <c r="AU9" s="13"/>
      <c r="AV9" s="11"/>
      <c r="AW9" s="11"/>
      <c r="AX9" s="11"/>
      <c r="AY9" s="11"/>
      <c r="AZ9" s="11"/>
      <c r="BA9" s="11" t="s">
        <v>383</v>
      </c>
      <c r="BC9" s="11"/>
      <c r="BD9" s="19" t="s">
        <v>68</v>
      </c>
      <c r="BE9" s="11" t="s">
        <v>380</v>
      </c>
    </row>
    <row r="10" spans="1:57" x14ac:dyDescent="0.3">
      <c r="A10" s="11"/>
      <c r="B10" s="11" t="s">
        <v>69</v>
      </c>
      <c r="C10" s="4" t="s">
        <v>70</v>
      </c>
      <c r="D10" s="28" t="s">
        <v>241</v>
      </c>
      <c r="E10" s="28"/>
      <c r="F10" s="41" t="s">
        <v>385</v>
      </c>
      <c r="G10" s="28"/>
      <c r="H10" s="37">
        <v>918.31</v>
      </c>
      <c r="I10" s="36"/>
      <c r="J10" s="4" t="s">
        <v>245</v>
      </c>
      <c r="K10" s="4">
        <v>44.8</v>
      </c>
      <c r="L10" s="4">
        <v>3.1</v>
      </c>
      <c r="M10" s="4">
        <f t="shared" si="0"/>
        <v>14.451612903225804</v>
      </c>
      <c r="N10" t="s">
        <v>238</v>
      </c>
      <c r="O10" t="s">
        <v>118</v>
      </c>
      <c r="P10" s="4" t="s">
        <v>258</v>
      </c>
      <c r="Q10" s="4" t="s">
        <v>360</v>
      </c>
      <c r="R10" s="4" t="s">
        <v>113</v>
      </c>
      <c r="S10" s="4" t="s">
        <v>361</v>
      </c>
      <c r="T10" s="4" t="s">
        <v>362</v>
      </c>
      <c r="U10" s="4"/>
      <c r="V10" s="4"/>
      <c r="W10" s="4"/>
      <c r="X10" s="4"/>
      <c r="Y10" s="4"/>
      <c r="Z10" s="4"/>
      <c r="AA10" s="4"/>
      <c r="AB10" s="4"/>
      <c r="AC10" s="4"/>
      <c r="AD10" s="4"/>
      <c r="AE10" s="4">
        <v>30</v>
      </c>
      <c r="AF10" s="4" t="s">
        <v>140</v>
      </c>
      <c r="AG10" s="4"/>
      <c r="AH10" s="59">
        <v>0.45</v>
      </c>
      <c r="AI10" s="83">
        <v>12</v>
      </c>
      <c r="AJ10" s="83"/>
      <c r="AK10" s="83"/>
      <c r="AL10" s="83">
        <f t="shared" ref="AL10:AL18" si="2">((AM10*AH10)/AN10)*10^6</f>
        <v>278.71308724832215</v>
      </c>
      <c r="AM10" s="63">
        <v>0.18457000000000001</v>
      </c>
      <c r="AN10" s="63">
        <v>298</v>
      </c>
      <c r="AP10" s="70"/>
      <c r="AQ10" s="66"/>
      <c r="AR10" s="71"/>
      <c r="AS10" s="11"/>
      <c r="AT10" s="11"/>
      <c r="AU10" s="13"/>
      <c r="AV10" s="11"/>
      <c r="AW10" s="11"/>
      <c r="AX10" s="11"/>
      <c r="AY10" s="11"/>
      <c r="AZ10" s="11"/>
      <c r="BA10" s="11"/>
      <c r="BC10" s="11"/>
      <c r="BD10" s="19"/>
      <c r="BE10" s="11"/>
    </row>
    <row r="11" spans="1:57" x14ac:dyDescent="0.3">
      <c r="A11" s="11"/>
      <c r="B11" s="11" t="s">
        <v>69</v>
      </c>
      <c r="C11" s="4" t="s">
        <v>70</v>
      </c>
      <c r="D11" s="28" t="s">
        <v>241</v>
      </c>
      <c r="E11" s="28"/>
      <c r="F11" s="41" t="s">
        <v>385</v>
      </c>
      <c r="G11" s="28"/>
      <c r="H11" s="37">
        <v>918.31</v>
      </c>
      <c r="I11" s="36"/>
      <c r="J11" s="4" t="s">
        <v>245</v>
      </c>
      <c r="K11" s="4">
        <v>44.8</v>
      </c>
      <c r="L11" s="4">
        <v>3.1</v>
      </c>
      <c r="M11" s="4">
        <f t="shared" si="0"/>
        <v>14.451612903225804</v>
      </c>
      <c r="N11" t="s">
        <v>238</v>
      </c>
      <c r="O11" t="s">
        <v>118</v>
      </c>
      <c r="P11" s="4" t="s">
        <v>258</v>
      </c>
      <c r="Q11" s="4" t="s">
        <v>360</v>
      </c>
      <c r="R11" s="4" t="s">
        <v>113</v>
      </c>
      <c r="S11" s="4" t="s">
        <v>361</v>
      </c>
      <c r="T11" s="4" t="s">
        <v>362</v>
      </c>
      <c r="U11" s="4"/>
      <c r="V11" s="4"/>
      <c r="W11" s="4"/>
      <c r="X11" s="4"/>
      <c r="Y11" s="4"/>
      <c r="Z11" s="4"/>
      <c r="AA11" s="4"/>
      <c r="AB11" s="4"/>
      <c r="AC11" s="4"/>
      <c r="AD11" s="4"/>
      <c r="AE11" s="4">
        <v>30</v>
      </c>
      <c r="AF11" s="4" t="s">
        <v>140</v>
      </c>
      <c r="AG11" s="4"/>
      <c r="AH11" s="59">
        <v>0.45</v>
      </c>
      <c r="AI11" s="83">
        <v>12</v>
      </c>
      <c r="AJ11" s="83"/>
      <c r="AK11" s="83"/>
      <c r="AL11" s="83">
        <f t="shared" si="2"/>
        <v>291.93019480519479</v>
      </c>
      <c r="AM11" s="63">
        <v>0.19980999999999999</v>
      </c>
      <c r="AN11" s="63">
        <v>308</v>
      </c>
      <c r="AP11" s="70"/>
      <c r="AQ11" s="66"/>
      <c r="AR11" s="71"/>
      <c r="AS11" s="11"/>
      <c r="AT11" s="11"/>
      <c r="AU11" s="13"/>
      <c r="AV11" s="11"/>
      <c r="AW11" s="11"/>
      <c r="AX11" s="11"/>
      <c r="AY11" s="11"/>
      <c r="AZ11" s="11"/>
      <c r="BA11" s="11"/>
      <c r="BC11" s="11"/>
      <c r="BD11" s="19"/>
      <c r="BE11" s="11"/>
    </row>
    <row r="12" spans="1:57" x14ac:dyDescent="0.3">
      <c r="A12" s="11"/>
      <c r="B12" s="11" t="s">
        <v>69</v>
      </c>
      <c r="C12" s="4" t="s">
        <v>70</v>
      </c>
      <c r="D12" s="28" t="s">
        <v>241</v>
      </c>
      <c r="E12" s="28"/>
      <c r="F12" s="41" t="s">
        <v>385</v>
      </c>
      <c r="G12" s="28"/>
      <c r="H12" s="37">
        <v>918.31</v>
      </c>
      <c r="I12" s="36"/>
      <c r="J12" s="4" t="s">
        <v>245</v>
      </c>
      <c r="K12" s="4">
        <v>44.8</v>
      </c>
      <c r="L12" s="4">
        <v>3.1</v>
      </c>
      <c r="M12" s="4">
        <f t="shared" si="0"/>
        <v>14.451612903225804</v>
      </c>
      <c r="N12" t="s">
        <v>238</v>
      </c>
      <c r="O12" t="s">
        <v>118</v>
      </c>
      <c r="P12" s="4" t="s">
        <v>258</v>
      </c>
      <c r="Q12" s="4" t="s">
        <v>360</v>
      </c>
      <c r="R12" s="4" t="s">
        <v>113</v>
      </c>
      <c r="S12" s="4" t="s">
        <v>361</v>
      </c>
      <c r="T12" s="4" t="s">
        <v>362</v>
      </c>
      <c r="U12" s="4"/>
      <c r="V12" s="4"/>
      <c r="W12" s="4"/>
      <c r="X12" s="4"/>
      <c r="Y12" s="4"/>
      <c r="Z12" s="4"/>
      <c r="AA12" s="4"/>
      <c r="AB12" s="4"/>
      <c r="AC12" s="4"/>
      <c r="AD12" s="4"/>
      <c r="AE12" s="4">
        <v>30</v>
      </c>
      <c r="AF12" s="4" t="s">
        <v>140</v>
      </c>
      <c r="AG12" s="4"/>
      <c r="AH12" s="59">
        <v>0.45</v>
      </c>
      <c r="AI12" s="83">
        <v>12</v>
      </c>
      <c r="AJ12" s="83"/>
      <c r="AK12" s="83"/>
      <c r="AL12" s="83">
        <f t="shared" si="2"/>
        <v>307.34433962264148</v>
      </c>
      <c r="AM12" s="63">
        <v>0.21718999999999999</v>
      </c>
      <c r="AN12" s="63">
        <v>318</v>
      </c>
      <c r="AP12" s="70"/>
      <c r="AQ12" s="66"/>
      <c r="AR12" s="71"/>
      <c r="AS12" s="11"/>
      <c r="AT12" s="11"/>
      <c r="AU12" s="13"/>
      <c r="AV12" s="11"/>
      <c r="AW12" s="11"/>
      <c r="AX12" s="11"/>
      <c r="AY12" s="11"/>
      <c r="AZ12" s="11"/>
      <c r="BA12" s="11"/>
      <c r="BC12" s="11"/>
      <c r="BD12" s="19"/>
      <c r="BE12" s="11"/>
    </row>
    <row r="13" spans="1:57" x14ac:dyDescent="0.3">
      <c r="A13" s="11"/>
      <c r="B13" s="11" t="s">
        <v>69</v>
      </c>
      <c r="C13" s="4" t="s">
        <v>70</v>
      </c>
      <c r="D13" s="28" t="s">
        <v>241</v>
      </c>
      <c r="E13" s="28"/>
      <c r="F13" s="41" t="s">
        <v>385</v>
      </c>
      <c r="G13" s="28"/>
      <c r="H13" s="37">
        <v>918.31</v>
      </c>
      <c r="I13" s="36"/>
      <c r="J13" s="4" t="s">
        <v>245</v>
      </c>
      <c r="K13" s="4">
        <v>44.8</v>
      </c>
      <c r="L13" s="4">
        <v>3.1</v>
      </c>
      <c r="M13" s="4">
        <f t="shared" si="0"/>
        <v>14.451612903225804</v>
      </c>
      <c r="N13" t="s">
        <v>238</v>
      </c>
      <c r="O13" t="s">
        <v>118</v>
      </c>
      <c r="P13" s="4" t="s">
        <v>258</v>
      </c>
      <c r="Q13" s="4" t="s">
        <v>360</v>
      </c>
      <c r="R13" s="4" t="s">
        <v>113</v>
      </c>
      <c r="S13" s="4" t="s">
        <v>361</v>
      </c>
      <c r="T13" s="4" t="s">
        <v>362</v>
      </c>
      <c r="U13" s="4"/>
      <c r="V13" s="4"/>
      <c r="W13" s="4"/>
      <c r="X13" s="4"/>
      <c r="Y13" s="4"/>
      <c r="Z13" s="4"/>
      <c r="AA13" s="4"/>
      <c r="AB13" s="4"/>
      <c r="AC13" s="4"/>
      <c r="AD13" s="4"/>
      <c r="AE13" s="4">
        <v>30</v>
      </c>
      <c r="AF13" s="4" t="s">
        <v>140</v>
      </c>
      <c r="AG13" s="4"/>
      <c r="AH13" s="59">
        <v>0.45</v>
      </c>
      <c r="AI13" s="83">
        <v>12</v>
      </c>
      <c r="AJ13" s="83"/>
      <c r="AK13" s="83"/>
      <c r="AL13" s="83">
        <f t="shared" si="2"/>
        <v>330.05030487804879</v>
      </c>
      <c r="AM13" s="63">
        <v>0.24057000000000001</v>
      </c>
      <c r="AN13" s="63">
        <v>328</v>
      </c>
      <c r="AP13" s="70"/>
      <c r="AQ13" s="66"/>
      <c r="AR13" s="71"/>
      <c r="AS13" s="11"/>
      <c r="AT13" s="11"/>
      <c r="AU13" s="13"/>
      <c r="AV13" s="11"/>
      <c r="AW13" s="11"/>
      <c r="AX13" s="11"/>
      <c r="AY13" s="11"/>
      <c r="AZ13" s="11"/>
      <c r="BA13" s="11"/>
      <c r="BC13" s="11"/>
      <c r="BD13" s="19"/>
      <c r="BE13" s="11"/>
    </row>
    <row r="14" spans="1:57" x14ac:dyDescent="0.3">
      <c r="A14" s="11"/>
      <c r="B14" s="11" t="s">
        <v>69</v>
      </c>
      <c r="C14" s="4" t="s">
        <v>70</v>
      </c>
      <c r="D14" s="28" t="s">
        <v>241</v>
      </c>
      <c r="E14" s="28"/>
      <c r="F14" s="41" t="s">
        <v>385</v>
      </c>
      <c r="G14" s="28"/>
      <c r="H14" s="37">
        <v>918.31</v>
      </c>
      <c r="I14" s="36"/>
      <c r="J14" s="4" t="s">
        <v>245</v>
      </c>
      <c r="K14" s="4">
        <v>44.8</v>
      </c>
      <c r="L14" s="4">
        <v>3.1</v>
      </c>
      <c r="M14" s="4">
        <f t="shared" si="0"/>
        <v>14.451612903225804</v>
      </c>
      <c r="N14" t="s">
        <v>238</v>
      </c>
      <c r="O14" t="s">
        <v>118</v>
      </c>
      <c r="P14" s="4" t="s">
        <v>258</v>
      </c>
      <c r="Q14" s="4" t="s">
        <v>360</v>
      </c>
      <c r="R14" s="4" t="s">
        <v>113</v>
      </c>
      <c r="S14" s="4" t="s">
        <v>361</v>
      </c>
      <c r="T14" s="4" t="s">
        <v>362</v>
      </c>
      <c r="U14" s="4"/>
      <c r="V14" s="4"/>
      <c r="W14" s="4"/>
      <c r="X14" s="4"/>
      <c r="Y14" s="4"/>
      <c r="Z14" s="4"/>
      <c r="AA14" s="4"/>
      <c r="AB14" s="4"/>
      <c r="AC14" s="4"/>
      <c r="AD14" s="4"/>
      <c r="AE14" s="4">
        <v>30</v>
      </c>
      <c r="AF14" s="4" t="s">
        <v>140</v>
      </c>
      <c r="AG14" s="4"/>
      <c r="AH14" s="59">
        <v>0.45</v>
      </c>
      <c r="AI14" s="83">
        <v>12</v>
      </c>
      <c r="AJ14" s="83"/>
      <c r="AK14" s="83"/>
      <c r="AL14" s="83">
        <f t="shared" si="2"/>
        <v>347.93786982248525</v>
      </c>
      <c r="AM14" s="63">
        <v>0.26134000000000002</v>
      </c>
      <c r="AN14" s="63">
        <v>338</v>
      </c>
      <c r="AP14" s="70"/>
      <c r="AQ14" s="66"/>
      <c r="AR14" s="71"/>
      <c r="AS14" s="11"/>
      <c r="AT14" s="11"/>
      <c r="AU14" s="13"/>
      <c r="AV14" s="11"/>
      <c r="AW14" s="11"/>
      <c r="AX14" s="11"/>
      <c r="AY14" s="11"/>
      <c r="AZ14" s="11"/>
      <c r="BA14" s="11"/>
      <c r="BC14" s="11"/>
      <c r="BD14" s="19"/>
      <c r="BE14" s="11"/>
    </row>
    <row r="15" spans="1:57" x14ac:dyDescent="0.3">
      <c r="A15" s="11"/>
      <c r="B15" s="11" t="s">
        <v>69</v>
      </c>
      <c r="C15" s="4" t="s">
        <v>70</v>
      </c>
      <c r="D15" s="28" t="s">
        <v>241</v>
      </c>
      <c r="E15" s="28"/>
      <c r="F15" s="41" t="s">
        <v>385</v>
      </c>
      <c r="G15" s="28"/>
      <c r="H15" s="37">
        <v>918.31</v>
      </c>
      <c r="I15" s="36"/>
      <c r="J15" s="4" t="s">
        <v>245</v>
      </c>
      <c r="K15" s="4">
        <v>44.8</v>
      </c>
      <c r="L15" s="4">
        <v>3.1</v>
      </c>
      <c r="M15" s="4">
        <f t="shared" si="0"/>
        <v>14.451612903225804</v>
      </c>
      <c r="N15" t="s">
        <v>238</v>
      </c>
      <c r="O15" t="s">
        <v>118</v>
      </c>
      <c r="P15" s="4" t="s">
        <v>258</v>
      </c>
      <c r="Q15" s="4" t="s">
        <v>360</v>
      </c>
      <c r="R15" s="4" t="s">
        <v>113</v>
      </c>
      <c r="S15" s="4" t="s">
        <v>361</v>
      </c>
      <c r="T15" s="4" t="s">
        <v>362</v>
      </c>
      <c r="U15" s="4"/>
      <c r="V15" s="4"/>
      <c r="W15" s="4"/>
      <c r="X15" s="4"/>
      <c r="Y15" s="4"/>
      <c r="Z15" s="4"/>
      <c r="AA15" s="4"/>
      <c r="AB15" s="4"/>
      <c r="AC15" s="4"/>
      <c r="AD15" s="4"/>
      <c r="AE15" s="4">
        <v>30</v>
      </c>
      <c r="AF15" s="4" t="s">
        <v>140</v>
      </c>
      <c r="AG15" s="4"/>
      <c r="AH15" s="59">
        <v>0.45</v>
      </c>
      <c r="AI15" s="83">
        <v>12</v>
      </c>
      <c r="AJ15" s="83"/>
      <c r="AK15" s="83"/>
      <c r="AL15" s="83">
        <f t="shared" si="2"/>
        <v>365.28879310344831</v>
      </c>
      <c r="AM15" s="63">
        <v>0.28249000000000002</v>
      </c>
      <c r="AN15" s="63">
        <v>348</v>
      </c>
      <c r="AP15" s="70"/>
      <c r="AQ15" s="66"/>
      <c r="AR15" s="71"/>
      <c r="AS15" s="11"/>
      <c r="AT15" s="11"/>
      <c r="AU15" s="13"/>
      <c r="AV15" s="11"/>
      <c r="AW15" s="11"/>
      <c r="AX15" s="11"/>
      <c r="AY15" s="11"/>
      <c r="AZ15" s="11"/>
      <c r="BA15" s="11"/>
      <c r="BC15" s="11"/>
      <c r="BD15" s="19"/>
      <c r="BE15" s="11"/>
    </row>
    <row r="16" spans="1:57" x14ac:dyDescent="0.3">
      <c r="A16" s="11"/>
      <c r="B16" s="11" t="s">
        <v>69</v>
      </c>
      <c r="C16" s="4" t="s">
        <v>70</v>
      </c>
      <c r="D16" s="28" t="s">
        <v>241</v>
      </c>
      <c r="E16" s="28"/>
      <c r="F16" s="41" t="s">
        <v>385</v>
      </c>
      <c r="G16" s="28"/>
      <c r="H16" s="37">
        <v>918.31</v>
      </c>
      <c r="I16" s="36"/>
      <c r="J16" s="4" t="s">
        <v>245</v>
      </c>
      <c r="K16" s="4">
        <v>44.8</v>
      </c>
      <c r="L16" s="4">
        <v>3.1</v>
      </c>
      <c r="M16" s="4">
        <f t="shared" si="0"/>
        <v>14.451612903225804</v>
      </c>
      <c r="N16" t="s">
        <v>238</v>
      </c>
      <c r="O16" t="s">
        <v>118</v>
      </c>
      <c r="P16" s="4" t="s">
        <v>258</v>
      </c>
      <c r="Q16" s="4" t="s">
        <v>360</v>
      </c>
      <c r="R16" s="4" t="s">
        <v>113</v>
      </c>
      <c r="S16" s="4" t="s">
        <v>361</v>
      </c>
      <c r="T16" s="4" t="s">
        <v>362</v>
      </c>
      <c r="U16" s="4"/>
      <c r="V16" s="4"/>
      <c r="W16" s="4"/>
      <c r="X16" s="4"/>
      <c r="Y16" s="4"/>
      <c r="Z16" s="4"/>
      <c r="AA16" s="4"/>
      <c r="AB16" s="4"/>
      <c r="AC16" s="4"/>
      <c r="AD16" s="4"/>
      <c r="AE16" s="4">
        <v>30</v>
      </c>
      <c r="AF16" s="4" t="s">
        <v>140</v>
      </c>
      <c r="AG16" s="4"/>
      <c r="AH16" s="59">
        <v>0.45</v>
      </c>
      <c r="AI16" s="83">
        <v>12</v>
      </c>
      <c r="AJ16" s="83"/>
      <c r="AK16" s="83"/>
      <c r="AL16" s="83">
        <f t="shared" si="2"/>
        <v>386.40921787709499</v>
      </c>
      <c r="AM16" s="63">
        <v>0.30741000000000002</v>
      </c>
      <c r="AN16" s="63">
        <v>358</v>
      </c>
      <c r="AP16" s="70"/>
      <c r="AQ16" s="66"/>
      <c r="AR16" s="71"/>
      <c r="AS16" s="11"/>
      <c r="AT16" s="11"/>
      <c r="AU16" s="13"/>
      <c r="AV16" s="11"/>
      <c r="AW16" s="11"/>
      <c r="AX16" s="11"/>
      <c r="AY16" s="11"/>
      <c r="AZ16" s="11"/>
      <c r="BA16" s="11"/>
      <c r="BC16" s="11"/>
      <c r="BD16" s="19"/>
      <c r="BE16" s="11"/>
    </row>
    <row r="17" spans="1:57" x14ac:dyDescent="0.3">
      <c r="A17" s="11"/>
      <c r="B17" s="11" t="s">
        <v>69</v>
      </c>
      <c r="C17" s="4" t="s">
        <v>70</v>
      </c>
      <c r="D17" s="28" t="s">
        <v>241</v>
      </c>
      <c r="E17" s="28"/>
      <c r="F17" s="41" t="s">
        <v>385</v>
      </c>
      <c r="G17" s="28"/>
      <c r="H17" s="37">
        <v>918.31</v>
      </c>
      <c r="I17" s="36"/>
      <c r="J17" s="4" t="s">
        <v>245</v>
      </c>
      <c r="K17" s="4">
        <v>44.8</v>
      </c>
      <c r="L17" s="4">
        <v>3.1</v>
      </c>
      <c r="M17" s="4">
        <f t="shared" si="0"/>
        <v>14.451612903225804</v>
      </c>
      <c r="N17" t="s">
        <v>238</v>
      </c>
      <c r="O17" t="s">
        <v>118</v>
      </c>
      <c r="P17" s="4" t="s">
        <v>258</v>
      </c>
      <c r="Q17" s="4" t="s">
        <v>360</v>
      </c>
      <c r="R17" s="4" t="s">
        <v>113</v>
      </c>
      <c r="S17" s="4" t="s">
        <v>361</v>
      </c>
      <c r="T17" s="4" t="s">
        <v>362</v>
      </c>
      <c r="U17" s="4"/>
      <c r="V17" s="4"/>
      <c r="W17" s="4"/>
      <c r="X17" s="4"/>
      <c r="Y17" s="4"/>
      <c r="Z17" s="4"/>
      <c r="AA17" s="4"/>
      <c r="AB17" s="4"/>
      <c r="AC17" s="4"/>
      <c r="AD17" s="4"/>
      <c r="AE17" s="4">
        <v>30</v>
      </c>
      <c r="AF17" s="4" t="s">
        <v>140</v>
      </c>
      <c r="AG17" s="4"/>
      <c r="AH17" s="59">
        <v>0.45</v>
      </c>
      <c r="AI17" s="83">
        <v>12</v>
      </c>
      <c r="AJ17" s="83"/>
      <c r="AK17" s="83"/>
      <c r="AL17" s="83">
        <f t="shared" si="2"/>
        <v>408.99864130434781</v>
      </c>
      <c r="AM17" s="63">
        <v>0.33446999999999999</v>
      </c>
      <c r="AN17" s="63">
        <v>368</v>
      </c>
      <c r="AP17" s="70"/>
      <c r="AQ17" s="66"/>
      <c r="AR17" s="71"/>
      <c r="AS17" s="11"/>
      <c r="AT17" s="11"/>
      <c r="AU17" s="13"/>
      <c r="AV17" s="11"/>
      <c r="AW17" s="11"/>
      <c r="AX17" s="11"/>
      <c r="AY17" s="11"/>
      <c r="AZ17" s="11"/>
      <c r="BA17" s="11"/>
      <c r="BC17" s="11"/>
      <c r="BD17" s="19"/>
      <c r="BE17" s="11"/>
    </row>
    <row r="18" spans="1:57" x14ac:dyDescent="0.3">
      <c r="A18" s="11"/>
      <c r="B18" s="11" t="s">
        <v>69</v>
      </c>
      <c r="C18" s="4" t="s">
        <v>70</v>
      </c>
      <c r="D18" s="28" t="s">
        <v>241</v>
      </c>
      <c r="E18" s="28"/>
      <c r="F18" s="41" t="s">
        <v>385</v>
      </c>
      <c r="G18" s="28"/>
      <c r="H18" s="37">
        <v>918.31</v>
      </c>
      <c r="I18" s="36"/>
      <c r="J18" s="4" t="s">
        <v>245</v>
      </c>
      <c r="K18" s="4">
        <v>44.8</v>
      </c>
      <c r="L18" s="4">
        <v>3.1</v>
      </c>
      <c r="M18" s="4">
        <f t="shared" si="0"/>
        <v>14.451612903225804</v>
      </c>
      <c r="N18" t="s">
        <v>238</v>
      </c>
      <c r="O18" t="s">
        <v>118</v>
      </c>
      <c r="P18" s="4" t="s">
        <v>258</v>
      </c>
      <c r="Q18" s="4" t="s">
        <v>360</v>
      </c>
      <c r="R18" s="4" t="s">
        <v>113</v>
      </c>
      <c r="S18" s="4" t="s">
        <v>361</v>
      </c>
      <c r="T18" s="4" t="s">
        <v>362</v>
      </c>
      <c r="U18" s="4"/>
      <c r="V18" s="4"/>
      <c r="W18" s="4"/>
      <c r="X18" s="4"/>
      <c r="Y18" s="4"/>
      <c r="Z18" s="4"/>
      <c r="AA18" s="4"/>
      <c r="AB18" s="4"/>
      <c r="AC18" s="4"/>
      <c r="AD18" s="4"/>
      <c r="AE18" s="4">
        <v>30</v>
      </c>
      <c r="AF18" s="4" t="s">
        <v>140</v>
      </c>
      <c r="AG18" s="4"/>
      <c r="AH18" s="59">
        <v>0.45</v>
      </c>
      <c r="AI18" s="83">
        <v>12</v>
      </c>
      <c r="AJ18" s="83"/>
      <c r="AK18" s="83"/>
      <c r="AL18" s="83">
        <f t="shared" si="2"/>
        <v>395.45238095238096</v>
      </c>
      <c r="AM18" s="63">
        <v>0.33217999999999998</v>
      </c>
      <c r="AN18" s="63">
        <v>378</v>
      </c>
      <c r="AP18" s="70"/>
      <c r="AQ18" s="66"/>
      <c r="AR18" s="71"/>
      <c r="AS18" s="11"/>
      <c r="AT18" s="11"/>
      <c r="AU18" s="13"/>
      <c r="AV18" s="11"/>
      <c r="AW18" s="11"/>
      <c r="AX18" s="11"/>
      <c r="AY18" s="11"/>
      <c r="AZ18" s="11"/>
      <c r="BA18" s="11"/>
      <c r="BC18" s="11"/>
      <c r="BD18" s="19"/>
      <c r="BE18" s="11"/>
    </row>
    <row r="19" spans="1:57" x14ac:dyDescent="0.3">
      <c r="A19" s="11"/>
      <c r="B19" s="11" t="s">
        <v>69</v>
      </c>
      <c r="C19" s="4" t="s">
        <v>70</v>
      </c>
      <c r="D19" s="28" t="s">
        <v>241</v>
      </c>
      <c r="E19" s="28"/>
      <c r="F19" s="41" t="s">
        <v>385</v>
      </c>
      <c r="G19" s="28"/>
      <c r="H19" s="37">
        <v>918.31</v>
      </c>
      <c r="I19" s="36">
        <f t="shared" si="1"/>
        <v>48.785268591216479</v>
      </c>
      <c r="J19" s="4" t="s">
        <v>245</v>
      </c>
      <c r="K19" s="4">
        <v>44.8</v>
      </c>
      <c r="L19" s="4">
        <v>3.1</v>
      </c>
      <c r="M19" s="4">
        <f t="shared" si="0"/>
        <v>14.451612903225804</v>
      </c>
      <c r="N19" t="s">
        <v>238</v>
      </c>
      <c r="O19" t="s">
        <v>118</v>
      </c>
      <c r="P19" s="4" t="s">
        <v>258</v>
      </c>
      <c r="Q19" s="4" t="s">
        <v>360</v>
      </c>
      <c r="R19" s="4" t="s">
        <v>113</v>
      </c>
      <c r="S19" s="4" t="s">
        <v>361</v>
      </c>
      <c r="T19" s="4" t="s">
        <v>362</v>
      </c>
      <c r="U19" s="4" t="s">
        <v>363</v>
      </c>
      <c r="V19" s="4" t="s">
        <v>366</v>
      </c>
      <c r="W19" s="4" t="s">
        <v>368</v>
      </c>
      <c r="X19" s="4" t="s">
        <v>122</v>
      </c>
      <c r="Y19" s="4" t="s">
        <v>369</v>
      </c>
      <c r="Z19" s="4" t="s">
        <v>371</v>
      </c>
      <c r="AA19" s="4">
        <v>298</v>
      </c>
      <c r="AB19" s="4" t="s">
        <v>373</v>
      </c>
      <c r="AC19" s="4" t="s">
        <v>376</v>
      </c>
      <c r="AD19" s="4" t="s">
        <v>378</v>
      </c>
      <c r="AE19" s="4">
        <v>30</v>
      </c>
      <c r="AF19" s="4" t="s">
        <v>140</v>
      </c>
      <c r="AG19" s="4"/>
      <c r="AH19" s="59">
        <v>0.45</v>
      </c>
      <c r="AI19" s="83">
        <v>13.5</v>
      </c>
      <c r="AJ19" s="83">
        <v>333.69227000000001</v>
      </c>
      <c r="AK19" s="83">
        <v>87.884820000000005</v>
      </c>
      <c r="AL19" s="83">
        <v>257.40771000000001</v>
      </c>
      <c r="AM19" s="63">
        <v>0.33114119922630503</v>
      </c>
      <c r="AN19" s="63">
        <v>298</v>
      </c>
      <c r="AO19" s="11">
        <v>298</v>
      </c>
      <c r="AP19" s="70"/>
      <c r="AQ19" s="66"/>
      <c r="AR19" s="71"/>
      <c r="AS19" s="11"/>
      <c r="AT19" s="11"/>
      <c r="AU19" s="13"/>
      <c r="AV19" s="11"/>
      <c r="AW19" s="11"/>
      <c r="AX19" s="11"/>
      <c r="AY19" s="11"/>
      <c r="AZ19" s="11"/>
      <c r="BA19" s="11" t="s">
        <v>383</v>
      </c>
      <c r="BC19" s="11"/>
      <c r="BD19" s="19" t="s">
        <v>68</v>
      </c>
      <c r="BE19" s="11" t="s">
        <v>380</v>
      </c>
    </row>
    <row r="20" spans="1:57" ht="15" thickBot="1" x14ac:dyDescent="0.35">
      <c r="A20" s="11"/>
      <c r="B20" s="11" t="s">
        <v>69</v>
      </c>
      <c r="C20" s="4" t="s">
        <v>70</v>
      </c>
      <c r="D20" s="28" t="s">
        <v>241</v>
      </c>
      <c r="E20" s="28"/>
      <c r="F20" s="41" t="s">
        <v>385</v>
      </c>
      <c r="G20" s="28"/>
      <c r="H20" s="37">
        <v>918.31</v>
      </c>
      <c r="I20" s="36">
        <f t="shared" si="1"/>
        <v>48.785268591216479</v>
      </c>
      <c r="J20" s="4" t="s">
        <v>245</v>
      </c>
      <c r="K20" s="4">
        <v>44.8</v>
      </c>
      <c r="L20" s="4">
        <v>3.1</v>
      </c>
      <c r="M20" s="4">
        <f t="shared" si="0"/>
        <v>14.451612903225804</v>
      </c>
      <c r="N20" t="s">
        <v>238</v>
      </c>
      <c r="O20" t="s">
        <v>118</v>
      </c>
      <c r="P20" s="4" t="s">
        <v>258</v>
      </c>
      <c r="Q20" s="4" t="s">
        <v>360</v>
      </c>
      <c r="R20" s="4" t="s">
        <v>113</v>
      </c>
      <c r="S20" s="4" t="s">
        <v>361</v>
      </c>
      <c r="T20" s="4" t="s">
        <v>362</v>
      </c>
      <c r="U20" s="4" t="s">
        <v>363</v>
      </c>
      <c r="V20" s="4" t="s">
        <v>366</v>
      </c>
      <c r="W20" s="4" t="s">
        <v>368</v>
      </c>
      <c r="X20" s="4" t="s">
        <v>122</v>
      </c>
      <c r="Y20" s="4" t="s">
        <v>369</v>
      </c>
      <c r="Z20" s="4" t="s">
        <v>371</v>
      </c>
      <c r="AA20" s="4">
        <v>298</v>
      </c>
      <c r="AB20" s="4" t="s">
        <v>373</v>
      </c>
      <c r="AC20" s="4" t="s">
        <v>376</v>
      </c>
      <c r="AD20" s="4" t="s">
        <v>378</v>
      </c>
      <c r="AE20" s="4">
        <v>30</v>
      </c>
      <c r="AF20" s="4" t="s">
        <v>140</v>
      </c>
      <c r="AG20" s="4"/>
      <c r="AH20" s="59">
        <v>0.45</v>
      </c>
      <c r="AI20" s="83">
        <v>15</v>
      </c>
      <c r="AJ20" s="83">
        <v>521.26990000000001</v>
      </c>
      <c r="AK20" s="83">
        <v>65.223219999999998</v>
      </c>
      <c r="AL20" s="83">
        <v>221.66159999999999</v>
      </c>
      <c r="AM20" s="63">
        <v>0.334235976789168</v>
      </c>
      <c r="AN20" s="63">
        <v>298</v>
      </c>
      <c r="AO20" s="11">
        <v>298</v>
      </c>
      <c r="AP20" s="72"/>
      <c r="AQ20" s="73"/>
      <c r="AR20" s="74"/>
      <c r="AS20" s="16"/>
      <c r="AT20" s="16"/>
      <c r="AU20" s="14"/>
      <c r="AV20" s="11"/>
      <c r="AW20" s="11"/>
      <c r="AX20" s="11"/>
      <c r="AY20" s="11"/>
      <c r="AZ20" s="11"/>
      <c r="BA20" s="11" t="s">
        <v>383</v>
      </c>
      <c r="BC20" s="11"/>
      <c r="BD20" s="19" t="s">
        <v>68</v>
      </c>
      <c r="BE20" s="11" t="s">
        <v>380</v>
      </c>
    </row>
    <row r="21" spans="1:57" ht="73.2" customHeight="1" x14ac:dyDescent="0.3">
      <c r="A21" s="11"/>
      <c r="B21" s="11" t="s">
        <v>110</v>
      </c>
      <c r="C21" s="4" t="s">
        <v>89</v>
      </c>
      <c r="D21" s="4" t="s">
        <v>242</v>
      </c>
      <c r="E21" s="4" t="e" vm="2">
        <v>#VALUE!</v>
      </c>
      <c r="F21" s="42" t="s">
        <v>250</v>
      </c>
      <c r="G21" s="4"/>
      <c r="H21" s="4">
        <v>695.19799999999998</v>
      </c>
      <c r="I21" s="36">
        <f>((K21)*1000)/H21</f>
        <v>43.297017540326642</v>
      </c>
      <c r="J21" s="4" t="s">
        <v>245</v>
      </c>
      <c r="K21" s="4">
        <v>30.1</v>
      </c>
      <c r="L21" s="4">
        <v>2.1</v>
      </c>
      <c r="M21" s="4">
        <f t="shared" si="0"/>
        <v>14.333333333333334</v>
      </c>
      <c r="N21" t="s">
        <v>238</v>
      </c>
      <c r="O21" t="s">
        <v>118</v>
      </c>
      <c r="P21" s="4" t="s">
        <v>258</v>
      </c>
      <c r="Q21" s="4" t="s">
        <v>360</v>
      </c>
      <c r="R21" s="4" t="s">
        <v>113</v>
      </c>
      <c r="S21" s="4" t="s">
        <v>361</v>
      </c>
      <c r="T21" s="4" t="s">
        <v>362</v>
      </c>
      <c r="U21" s="4" t="s">
        <v>363</v>
      </c>
      <c r="V21" s="4" t="s">
        <v>366</v>
      </c>
      <c r="W21" s="4" t="s">
        <v>368</v>
      </c>
      <c r="X21" s="4" t="s">
        <v>133</v>
      </c>
      <c r="Y21" s="4" t="s">
        <v>369</v>
      </c>
      <c r="Z21" s="4" t="s">
        <v>371</v>
      </c>
      <c r="AA21" s="4">
        <v>298</v>
      </c>
      <c r="AB21" s="4" t="s">
        <v>374</v>
      </c>
      <c r="AC21" s="4" t="s">
        <v>376</v>
      </c>
      <c r="AD21" s="4" t="s">
        <v>378</v>
      </c>
      <c r="AE21" s="4">
        <v>30</v>
      </c>
      <c r="AF21" s="4" t="s">
        <v>140</v>
      </c>
      <c r="AG21" s="4"/>
      <c r="AH21" s="59">
        <v>0.79</v>
      </c>
      <c r="AI21" s="83">
        <v>3</v>
      </c>
      <c r="AJ21" s="83">
        <v>86.852000000000004</v>
      </c>
      <c r="AK21" s="83">
        <v>50.05</v>
      </c>
      <c r="AL21" s="83">
        <v>21.72861</v>
      </c>
      <c r="AM21" s="63">
        <v>2.1663442940038601E-2</v>
      </c>
      <c r="AN21" s="63">
        <v>298</v>
      </c>
      <c r="AO21" s="11">
        <v>298</v>
      </c>
      <c r="AP21" s="65"/>
      <c r="AQ21" s="66"/>
      <c r="AR21" s="66"/>
      <c r="AS21" s="11"/>
      <c r="AT21" s="11"/>
      <c r="AU21" s="11"/>
      <c r="AV21" s="11"/>
      <c r="AW21" s="11"/>
      <c r="AX21" s="11"/>
      <c r="AY21" s="11"/>
      <c r="AZ21" s="11"/>
      <c r="BA21" s="11" t="s">
        <v>383</v>
      </c>
      <c r="BB21" s="11">
        <v>1</v>
      </c>
      <c r="BC21" s="11" t="s">
        <v>393</v>
      </c>
      <c r="BD21" s="19" t="s">
        <v>68</v>
      </c>
      <c r="BE21" s="11" t="s">
        <v>380</v>
      </c>
    </row>
    <row r="22" spans="1:57" x14ac:dyDescent="0.3">
      <c r="A22" s="11"/>
      <c r="B22" s="11" t="s">
        <v>110</v>
      </c>
      <c r="C22" s="4" t="s">
        <v>89</v>
      </c>
      <c r="D22" s="4" t="s">
        <v>242</v>
      </c>
      <c r="E22" s="4"/>
      <c r="F22" s="42" t="s">
        <v>250</v>
      </c>
      <c r="G22" s="4"/>
      <c r="H22" s="4">
        <v>695.19799999999998</v>
      </c>
      <c r="I22" s="36">
        <f t="shared" ref="I22:I38" si="3">((K22)*1000)/H22</f>
        <v>43.297017540326642</v>
      </c>
      <c r="J22" s="4" t="s">
        <v>245</v>
      </c>
      <c r="K22" s="4">
        <v>30.1</v>
      </c>
      <c r="L22" s="4">
        <v>2.1</v>
      </c>
      <c r="M22" s="4">
        <f t="shared" si="0"/>
        <v>14.333333333333334</v>
      </c>
      <c r="N22" t="s">
        <v>238</v>
      </c>
      <c r="O22" t="s">
        <v>118</v>
      </c>
      <c r="P22" s="4" t="s">
        <v>258</v>
      </c>
      <c r="Q22" s="4" t="s">
        <v>360</v>
      </c>
      <c r="R22" s="4" t="s">
        <v>113</v>
      </c>
      <c r="S22" s="4" t="s">
        <v>361</v>
      </c>
      <c r="T22" s="4" t="s">
        <v>362</v>
      </c>
      <c r="U22" s="4" t="s">
        <v>363</v>
      </c>
      <c r="V22" s="4" t="s">
        <v>366</v>
      </c>
      <c r="W22" s="4" t="s">
        <v>368</v>
      </c>
      <c r="X22" s="4" t="s">
        <v>133</v>
      </c>
      <c r="Y22" s="4" t="s">
        <v>369</v>
      </c>
      <c r="Z22" s="4" t="s">
        <v>371</v>
      </c>
      <c r="AA22" s="4">
        <v>298</v>
      </c>
      <c r="AB22" s="4" t="s">
        <v>374</v>
      </c>
      <c r="AC22" s="4" t="s">
        <v>376</v>
      </c>
      <c r="AD22" s="4" t="s">
        <v>378</v>
      </c>
      <c r="AE22" s="4">
        <v>30</v>
      </c>
      <c r="AF22" s="4" t="s">
        <v>140</v>
      </c>
      <c r="AG22" s="4"/>
      <c r="AH22" s="59">
        <v>0.79</v>
      </c>
      <c r="AI22" s="83">
        <v>4.5</v>
      </c>
      <c r="AJ22" s="83">
        <v>142.351</v>
      </c>
      <c r="AK22" s="83">
        <v>46.89</v>
      </c>
      <c r="AL22" s="83">
        <v>31.256409999999999</v>
      </c>
      <c r="AM22" s="63">
        <v>2.4758220502901399E-2</v>
      </c>
      <c r="AN22" s="63">
        <v>298</v>
      </c>
      <c r="AO22" s="11">
        <v>298</v>
      </c>
      <c r="AP22" s="65"/>
      <c r="AQ22" s="66"/>
      <c r="AR22" s="66"/>
      <c r="AS22" s="11"/>
      <c r="AT22" s="11"/>
      <c r="AU22" s="11"/>
      <c r="AV22" s="11"/>
      <c r="AW22" s="11"/>
      <c r="AX22" s="11"/>
      <c r="AY22" s="11"/>
      <c r="AZ22" s="11"/>
      <c r="BA22" s="11" t="s">
        <v>383</v>
      </c>
      <c r="BC22" s="11"/>
      <c r="BD22" s="19" t="s">
        <v>68</v>
      </c>
      <c r="BE22" s="11" t="s">
        <v>380</v>
      </c>
    </row>
    <row r="23" spans="1:57" x14ac:dyDescent="0.3">
      <c r="A23" s="11"/>
      <c r="B23" s="11" t="s">
        <v>110</v>
      </c>
      <c r="C23" s="4" t="s">
        <v>89</v>
      </c>
      <c r="D23" s="4" t="s">
        <v>242</v>
      </c>
      <c r="E23" s="4"/>
      <c r="F23" s="42" t="s">
        <v>250</v>
      </c>
      <c r="G23" s="4"/>
      <c r="H23" s="4">
        <v>695.19799999999998</v>
      </c>
      <c r="I23" s="36">
        <f t="shared" si="3"/>
        <v>43.297017540326642</v>
      </c>
      <c r="J23" s="4" t="s">
        <v>245</v>
      </c>
      <c r="K23" s="4">
        <v>30.1</v>
      </c>
      <c r="L23" s="4">
        <v>2.1</v>
      </c>
      <c r="M23" s="4">
        <f t="shared" si="0"/>
        <v>14.333333333333334</v>
      </c>
      <c r="N23" t="s">
        <v>238</v>
      </c>
      <c r="O23" t="s">
        <v>118</v>
      </c>
      <c r="P23" s="4" t="s">
        <v>258</v>
      </c>
      <c r="Q23" s="4" t="s">
        <v>360</v>
      </c>
      <c r="R23" s="4" t="s">
        <v>113</v>
      </c>
      <c r="S23" s="4" t="s">
        <v>361</v>
      </c>
      <c r="T23" s="4" t="s">
        <v>362</v>
      </c>
      <c r="U23" s="4" t="s">
        <v>363</v>
      </c>
      <c r="V23" s="4" t="s">
        <v>366</v>
      </c>
      <c r="W23" s="4" t="s">
        <v>368</v>
      </c>
      <c r="X23" s="4" t="s">
        <v>133</v>
      </c>
      <c r="Y23" s="4" t="s">
        <v>369</v>
      </c>
      <c r="Z23" s="4" t="s">
        <v>371</v>
      </c>
      <c r="AA23" s="4">
        <v>298</v>
      </c>
      <c r="AB23" s="4" t="s">
        <v>374</v>
      </c>
      <c r="AC23" s="4" t="s">
        <v>376</v>
      </c>
      <c r="AD23" s="4" t="s">
        <v>378</v>
      </c>
      <c r="AE23" s="4">
        <v>30</v>
      </c>
      <c r="AF23" s="4" t="s">
        <v>140</v>
      </c>
      <c r="AG23" s="4"/>
      <c r="AH23" s="59">
        <v>0.79</v>
      </c>
      <c r="AI23" s="83">
        <v>6</v>
      </c>
      <c r="AJ23" s="83">
        <v>168.351</v>
      </c>
      <c r="AK23" s="83">
        <v>43.21</v>
      </c>
      <c r="AL23" s="83">
        <v>31.404109999999999</v>
      </c>
      <c r="AM23" s="63">
        <v>2.4758220502901399E-2</v>
      </c>
      <c r="AN23" s="63">
        <v>298</v>
      </c>
      <c r="AO23" s="11">
        <v>298</v>
      </c>
      <c r="AP23" s="65"/>
      <c r="AQ23" s="66"/>
      <c r="AR23" s="66"/>
      <c r="AS23" s="11"/>
      <c r="AT23" s="11"/>
      <c r="AU23" s="11"/>
      <c r="AV23" s="11"/>
      <c r="AW23" s="11"/>
      <c r="AX23" s="11"/>
      <c r="AY23" s="11"/>
      <c r="AZ23" s="11"/>
      <c r="BA23" s="11" t="s">
        <v>383</v>
      </c>
      <c r="BC23" s="11"/>
      <c r="BD23" s="19" t="s">
        <v>68</v>
      </c>
      <c r="BE23" s="11" t="s">
        <v>380</v>
      </c>
    </row>
    <row r="24" spans="1:57" x14ac:dyDescent="0.3">
      <c r="A24" s="11"/>
      <c r="B24" s="11" t="s">
        <v>110</v>
      </c>
      <c r="C24" s="4" t="s">
        <v>89</v>
      </c>
      <c r="D24" s="4" t="s">
        <v>242</v>
      </c>
      <c r="E24" s="4"/>
      <c r="F24" s="42" t="s">
        <v>250</v>
      </c>
      <c r="G24" s="4"/>
      <c r="H24" s="4">
        <v>695.19799999999998</v>
      </c>
      <c r="I24" s="36">
        <f t="shared" si="3"/>
        <v>43.297017540326642</v>
      </c>
      <c r="J24" s="4" t="s">
        <v>245</v>
      </c>
      <c r="K24" s="4">
        <v>30.1</v>
      </c>
      <c r="L24" s="4">
        <v>2.1</v>
      </c>
      <c r="M24" s="4">
        <f t="shared" si="0"/>
        <v>14.333333333333334</v>
      </c>
      <c r="N24" t="s">
        <v>238</v>
      </c>
      <c r="O24" t="s">
        <v>118</v>
      </c>
      <c r="P24" s="4" t="s">
        <v>258</v>
      </c>
      <c r="Q24" s="4" t="s">
        <v>360</v>
      </c>
      <c r="R24" s="4" t="s">
        <v>113</v>
      </c>
      <c r="S24" s="4" t="s">
        <v>361</v>
      </c>
      <c r="T24" s="4" t="s">
        <v>362</v>
      </c>
      <c r="U24" s="4" t="s">
        <v>363</v>
      </c>
      <c r="V24" s="4" t="s">
        <v>366</v>
      </c>
      <c r="W24" s="4" t="s">
        <v>368</v>
      </c>
      <c r="X24" s="4" t="s">
        <v>133</v>
      </c>
      <c r="Y24" s="4" t="s">
        <v>369</v>
      </c>
      <c r="Z24" s="4" t="s">
        <v>371</v>
      </c>
      <c r="AA24" s="4">
        <v>298</v>
      </c>
      <c r="AB24" s="4" t="s">
        <v>374</v>
      </c>
      <c r="AC24" s="4" t="s">
        <v>376</v>
      </c>
      <c r="AD24" s="4" t="s">
        <v>378</v>
      </c>
      <c r="AE24" s="4">
        <v>30</v>
      </c>
      <c r="AF24" s="4" t="s">
        <v>140</v>
      </c>
      <c r="AG24" s="4"/>
      <c r="AH24" s="59">
        <v>0.79</v>
      </c>
      <c r="AI24" s="83">
        <v>7.5</v>
      </c>
      <c r="AJ24" s="83">
        <v>216.23500000000001</v>
      </c>
      <c r="AK24" s="83">
        <v>39.56</v>
      </c>
      <c r="AL24" s="83">
        <v>33.821289999999998</v>
      </c>
      <c r="AM24" s="63">
        <v>2.4758220502901399E-2</v>
      </c>
      <c r="AN24" s="63">
        <v>298</v>
      </c>
      <c r="AO24" s="11">
        <v>298</v>
      </c>
      <c r="AP24" s="65"/>
      <c r="AQ24" s="66"/>
      <c r="AR24" s="66"/>
      <c r="AS24" s="11"/>
      <c r="AT24" s="11"/>
      <c r="AU24" s="11"/>
      <c r="AV24" s="11"/>
      <c r="AW24" s="11"/>
      <c r="AX24" s="11"/>
      <c r="AY24" s="11"/>
      <c r="AZ24" s="11"/>
      <c r="BA24" s="11" t="s">
        <v>383</v>
      </c>
      <c r="BC24" s="11"/>
      <c r="BD24" s="19" t="s">
        <v>68</v>
      </c>
      <c r="BE24" s="11" t="s">
        <v>380</v>
      </c>
    </row>
    <row r="25" spans="1:57" x14ac:dyDescent="0.3">
      <c r="A25" s="11"/>
      <c r="B25" s="11" t="s">
        <v>110</v>
      </c>
      <c r="C25" s="4" t="s">
        <v>89</v>
      </c>
      <c r="D25" s="4" t="s">
        <v>242</v>
      </c>
      <c r="E25" s="4"/>
      <c r="F25" s="42" t="s">
        <v>250</v>
      </c>
      <c r="G25" s="4"/>
      <c r="H25" s="4">
        <v>695.19799999999998</v>
      </c>
      <c r="I25" s="36">
        <f>((K25)*1000)/H25</f>
        <v>43.297017540326642</v>
      </c>
      <c r="J25" s="4" t="s">
        <v>245</v>
      </c>
      <c r="K25" s="4">
        <v>30.1</v>
      </c>
      <c r="L25" s="4">
        <v>2.1</v>
      </c>
      <c r="M25" s="4">
        <f t="shared" si="0"/>
        <v>14.333333333333334</v>
      </c>
      <c r="N25" t="s">
        <v>238</v>
      </c>
      <c r="O25" t="s">
        <v>118</v>
      </c>
      <c r="P25" s="4" t="s">
        <v>258</v>
      </c>
      <c r="Q25" s="4" t="s">
        <v>360</v>
      </c>
      <c r="R25" s="4" t="s">
        <v>113</v>
      </c>
      <c r="S25" s="4" t="s">
        <v>361</v>
      </c>
      <c r="T25" s="4" t="s">
        <v>362</v>
      </c>
      <c r="U25" s="4" t="s">
        <v>363</v>
      </c>
      <c r="V25" s="4" t="s">
        <v>366</v>
      </c>
      <c r="W25" s="4" t="s">
        <v>368</v>
      </c>
      <c r="X25" s="4" t="s">
        <v>133</v>
      </c>
      <c r="Y25" s="4" t="s">
        <v>369</v>
      </c>
      <c r="Z25" s="4" t="s">
        <v>371</v>
      </c>
      <c r="AA25" s="4">
        <v>298</v>
      </c>
      <c r="AB25" s="4" t="s">
        <v>374</v>
      </c>
      <c r="AC25" s="4" t="s">
        <v>376</v>
      </c>
      <c r="AD25" s="4" t="s">
        <v>378</v>
      </c>
      <c r="AE25" s="4">
        <v>30</v>
      </c>
      <c r="AF25" s="4" t="s">
        <v>140</v>
      </c>
      <c r="AG25" s="4"/>
      <c r="AH25" s="59">
        <v>0.79</v>
      </c>
      <c r="AI25" s="83">
        <v>9</v>
      </c>
      <c r="AJ25" s="83">
        <v>331.40604000000002</v>
      </c>
      <c r="AK25" s="83">
        <v>36.119999999999997</v>
      </c>
      <c r="AL25" s="83">
        <v>43.211100000000002</v>
      </c>
      <c r="AM25" s="63">
        <v>2.4758220502901399E-2</v>
      </c>
      <c r="AN25" s="63">
        <v>298</v>
      </c>
      <c r="AO25" s="11">
        <v>298</v>
      </c>
      <c r="AP25" s="65"/>
      <c r="AQ25" s="66"/>
      <c r="AR25" s="66"/>
      <c r="AS25" s="11"/>
      <c r="AT25" s="11"/>
      <c r="AU25" s="11"/>
      <c r="AV25" s="11"/>
      <c r="AW25" s="11"/>
      <c r="AX25" s="11"/>
      <c r="AY25" s="11"/>
      <c r="AZ25" s="11"/>
      <c r="BA25" s="11" t="s">
        <v>383</v>
      </c>
      <c r="BC25" s="11"/>
      <c r="BD25" s="19" t="s">
        <v>68</v>
      </c>
      <c r="BE25" s="11" t="s">
        <v>380</v>
      </c>
    </row>
    <row r="26" spans="1:57" x14ac:dyDescent="0.3">
      <c r="A26" s="11"/>
      <c r="B26" s="11" t="s">
        <v>110</v>
      </c>
      <c r="C26" s="4" t="s">
        <v>89</v>
      </c>
      <c r="D26" s="4" t="s">
        <v>242</v>
      </c>
      <c r="E26" s="4"/>
      <c r="F26" s="42" t="s">
        <v>250</v>
      </c>
      <c r="G26" s="4"/>
      <c r="H26" s="4">
        <v>695.19799999999998</v>
      </c>
      <c r="I26" s="36">
        <f t="shared" si="3"/>
        <v>43.297017540326642</v>
      </c>
      <c r="J26" s="4" t="s">
        <v>245</v>
      </c>
      <c r="K26" s="4">
        <v>30.1</v>
      </c>
      <c r="L26" s="4">
        <v>2.1</v>
      </c>
      <c r="M26" s="4">
        <f t="shared" si="0"/>
        <v>14.333333333333334</v>
      </c>
      <c r="N26" t="s">
        <v>238</v>
      </c>
      <c r="O26" t="s">
        <v>118</v>
      </c>
      <c r="P26" s="4" t="s">
        <v>258</v>
      </c>
      <c r="Q26" s="4" t="s">
        <v>360</v>
      </c>
      <c r="R26" s="4" t="s">
        <v>113</v>
      </c>
      <c r="S26" s="4" t="s">
        <v>361</v>
      </c>
      <c r="T26" s="4" t="s">
        <v>362</v>
      </c>
      <c r="U26" s="4" t="s">
        <v>363</v>
      </c>
      <c r="V26" s="4" t="s">
        <v>366</v>
      </c>
      <c r="W26" s="4" t="s">
        <v>368</v>
      </c>
      <c r="X26" s="4" t="s">
        <v>133</v>
      </c>
      <c r="Y26" s="4" t="s">
        <v>369</v>
      </c>
      <c r="Z26" s="4" t="s">
        <v>371</v>
      </c>
      <c r="AA26" s="4">
        <v>298</v>
      </c>
      <c r="AB26" s="4" t="s">
        <v>374</v>
      </c>
      <c r="AC26" s="4" t="s">
        <v>376</v>
      </c>
      <c r="AD26" s="4" t="s">
        <v>378</v>
      </c>
      <c r="AE26" s="4">
        <v>30</v>
      </c>
      <c r="AF26" s="4" t="s">
        <v>140</v>
      </c>
      <c r="AG26" s="4"/>
      <c r="AH26" s="59">
        <v>0.79</v>
      </c>
      <c r="AI26" s="83">
        <v>10.5</v>
      </c>
      <c r="AJ26" s="83">
        <v>458.71559999999999</v>
      </c>
      <c r="AK26" s="83">
        <v>33.61</v>
      </c>
      <c r="AL26" s="83">
        <v>51.815750000000001</v>
      </c>
      <c r="AM26" s="63">
        <v>2.7852998065764099E-2</v>
      </c>
      <c r="AN26" s="63">
        <v>298</v>
      </c>
      <c r="AO26" s="11">
        <v>298</v>
      </c>
      <c r="AP26" s="65"/>
      <c r="AQ26" s="66"/>
      <c r="AR26" s="66"/>
      <c r="AS26" s="11"/>
      <c r="AT26" s="11"/>
      <c r="AU26" s="11"/>
      <c r="AV26" s="11"/>
      <c r="AW26" s="11"/>
      <c r="AX26" s="11"/>
      <c r="AY26" s="11"/>
      <c r="AZ26" s="11"/>
      <c r="BA26" s="11" t="s">
        <v>383</v>
      </c>
      <c r="BC26" s="11"/>
      <c r="BD26" s="19" t="s">
        <v>68</v>
      </c>
      <c r="BE26" s="11" t="s">
        <v>380</v>
      </c>
    </row>
    <row r="27" spans="1:57" x14ac:dyDescent="0.3">
      <c r="A27" s="11"/>
      <c r="B27" s="11" t="s">
        <v>110</v>
      </c>
      <c r="C27" s="4" t="s">
        <v>89</v>
      </c>
      <c r="D27" s="4" t="s">
        <v>242</v>
      </c>
      <c r="E27" s="4"/>
      <c r="F27" s="42" t="s">
        <v>250</v>
      </c>
      <c r="G27" s="4"/>
      <c r="H27" s="4">
        <v>695.19799999999998</v>
      </c>
      <c r="I27" s="36">
        <f>((K27)*1000)/H27</f>
        <v>43.297017540326642</v>
      </c>
      <c r="J27" s="4" t="s">
        <v>245</v>
      </c>
      <c r="K27" s="4">
        <v>30.1</v>
      </c>
      <c r="L27" s="4">
        <v>2.1</v>
      </c>
      <c r="M27" s="4">
        <f t="shared" si="0"/>
        <v>14.333333333333334</v>
      </c>
      <c r="N27" t="s">
        <v>238</v>
      </c>
      <c r="O27" t="s">
        <v>118</v>
      </c>
      <c r="P27" s="4" t="s">
        <v>258</v>
      </c>
      <c r="Q27" s="4" t="s">
        <v>360</v>
      </c>
      <c r="R27" s="4" t="s">
        <v>113</v>
      </c>
      <c r="S27" s="4" t="s">
        <v>361</v>
      </c>
      <c r="T27" s="4" t="s">
        <v>362</v>
      </c>
      <c r="U27" s="4" t="s">
        <v>363</v>
      </c>
      <c r="V27" s="4" t="s">
        <v>366</v>
      </c>
      <c r="W27" s="4" t="s">
        <v>368</v>
      </c>
      <c r="X27" s="4" t="s">
        <v>133</v>
      </c>
      <c r="Y27" s="4" t="s">
        <v>369</v>
      </c>
      <c r="Z27" s="4" t="s">
        <v>371</v>
      </c>
      <c r="AA27" s="4">
        <v>298</v>
      </c>
      <c r="AB27" s="4" t="s">
        <v>374</v>
      </c>
      <c r="AC27" s="4" t="s">
        <v>376</v>
      </c>
      <c r="AD27" s="4" t="s">
        <v>378</v>
      </c>
      <c r="AE27" s="4">
        <v>30</v>
      </c>
      <c r="AF27" s="4" t="s">
        <v>140</v>
      </c>
      <c r="AG27" s="4"/>
      <c r="AH27" s="59">
        <v>0.79</v>
      </c>
      <c r="AI27" s="83">
        <v>12</v>
      </c>
      <c r="AJ27" s="83">
        <v>529.10053000000005</v>
      </c>
      <c r="AK27" s="83">
        <v>31.96</v>
      </c>
      <c r="AL27" s="83">
        <v>54.044539999999998</v>
      </c>
      <c r="AM27" s="63">
        <v>3.0947775628626599E-2</v>
      </c>
      <c r="AN27" s="63">
        <v>298</v>
      </c>
      <c r="AO27" s="11">
        <v>298</v>
      </c>
      <c r="AP27" s="65"/>
      <c r="AQ27" s="66"/>
      <c r="AR27" s="66"/>
      <c r="AS27" s="11"/>
      <c r="AT27" s="11"/>
      <c r="AU27" s="11"/>
      <c r="AV27" s="11"/>
      <c r="AW27" s="11"/>
      <c r="AX27" s="11"/>
      <c r="AY27" s="11"/>
      <c r="AZ27" s="11"/>
      <c r="BA27" s="11" t="s">
        <v>383</v>
      </c>
      <c r="BC27" s="11"/>
      <c r="BD27" s="19" t="s">
        <v>68</v>
      </c>
      <c r="BE27" s="11" t="s">
        <v>380</v>
      </c>
    </row>
    <row r="28" spans="1:57" x14ac:dyDescent="0.3">
      <c r="A28" s="11"/>
      <c r="B28" s="11" t="s">
        <v>110</v>
      </c>
      <c r="C28" s="4" t="s">
        <v>89</v>
      </c>
      <c r="D28" s="4" t="s">
        <v>242</v>
      </c>
      <c r="E28" s="4"/>
      <c r="F28" s="42" t="s">
        <v>250</v>
      </c>
      <c r="G28" s="4"/>
      <c r="H28" s="4">
        <v>695.19799999999998</v>
      </c>
      <c r="I28" s="36"/>
      <c r="J28" s="4" t="s">
        <v>245</v>
      </c>
      <c r="K28" s="4">
        <v>30.1</v>
      </c>
      <c r="L28" s="4">
        <v>2.1</v>
      </c>
      <c r="M28" s="4">
        <f t="shared" si="0"/>
        <v>14.333333333333334</v>
      </c>
      <c r="P28" s="4" t="s">
        <v>258</v>
      </c>
      <c r="Q28" s="4" t="s">
        <v>360</v>
      </c>
      <c r="R28" s="4" t="s">
        <v>113</v>
      </c>
      <c r="S28" s="4" t="s">
        <v>361</v>
      </c>
      <c r="T28" s="4" t="s">
        <v>362</v>
      </c>
      <c r="U28" s="4"/>
      <c r="V28" s="4"/>
      <c r="W28" s="4"/>
      <c r="X28" s="4"/>
      <c r="Y28" s="4"/>
      <c r="Z28" s="4"/>
      <c r="AA28" s="4"/>
      <c r="AB28" s="4"/>
      <c r="AC28" s="4"/>
      <c r="AD28" s="4"/>
      <c r="AE28" s="4"/>
      <c r="AF28" s="4"/>
      <c r="AG28" s="4"/>
      <c r="AH28" s="59">
        <v>0.79</v>
      </c>
      <c r="AI28" s="83">
        <v>12</v>
      </c>
      <c r="AJ28" s="83"/>
      <c r="AK28" s="83"/>
      <c r="AL28" s="83">
        <f t="shared" ref="AL28:AL36" si="4">((AM28*AH28)/AN28)*10^6</f>
        <v>54.955369127516782</v>
      </c>
      <c r="AM28" s="63">
        <v>2.0729999999999998E-2</v>
      </c>
      <c r="AN28" s="63">
        <v>298</v>
      </c>
      <c r="AP28" s="65"/>
      <c r="AQ28" s="66"/>
      <c r="AR28" s="66"/>
      <c r="AS28" s="11"/>
      <c r="AT28" s="11"/>
      <c r="AU28" s="11"/>
      <c r="AV28" s="11"/>
      <c r="AW28" s="11"/>
      <c r="AX28" s="11"/>
      <c r="AY28" s="11"/>
      <c r="AZ28" s="11"/>
      <c r="BA28" s="11"/>
      <c r="BC28" s="11"/>
      <c r="BD28" s="19"/>
      <c r="BE28" s="11"/>
    </row>
    <row r="29" spans="1:57" x14ac:dyDescent="0.3">
      <c r="A29" s="11"/>
      <c r="B29" s="11" t="s">
        <v>110</v>
      </c>
      <c r="C29" s="4" t="s">
        <v>89</v>
      </c>
      <c r="D29" s="4" t="s">
        <v>242</v>
      </c>
      <c r="E29" s="4"/>
      <c r="F29" s="42" t="s">
        <v>250</v>
      </c>
      <c r="G29" s="4"/>
      <c r="H29" s="4">
        <v>695.19799999999998</v>
      </c>
      <c r="I29" s="36"/>
      <c r="J29" s="4" t="s">
        <v>245</v>
      </c>
      <c r="K29" s="4">
        <v>30.1</v>
      </c>
      <c r="L29" s="4">
        <v>2.1</v>
      </c>
      <c r="M29" s="4">
        <f t="shared" si="0"/>
        <v>14.333333333333334</v>
      </c>
      <c r="P29" s="4" t="s">
        <v>258</v>
      </c>
      <c r="Q29" s="4" t="s">
        <v>360</v>
      </c>
      <c r="R29" s="4" t="s">
        <v>113</v>
      </c>
      <c r="S29" s="4" t="s">
        <v>361</v>
      </c>
      <c r="T29" s="4" t="s">
        <v>362</v>
      </c>
      <c r="U29" s="4"/>
      <c r="V29" s="4"/>
      <c r="W29" s="4"/>
      <c r="X29" s="4"/>
      <c r="Y29" s="4"/>
      <c r="Z29" s="4"/>
      <c r="AA29" s="4"/>
      <c r="AB29" s="4"/>
      <c r="AC29" s="4"/>
      <c r="AD29" s="4"/>
      <c r="AE29" s="4"/>
      <c r="AF29" s="4"/>
      <c r="AG29" s="4"/>
      <c r="AH29" s="59">
        <v>0.79</v>
      </c>
      <c r="AI29" s="83">
        <v>12</v>
      </c>
      <c r="AJ29" s="83"/>
      <c r="AK29" s="83"/>
      <c r="AL29" s="83">
        <f t="shared" si="4"/>
        <v>61.763636363636373</v>
      </c>
      <c r="AM29" s="63">
        <v>2.4080000000000001E-2</v>
      </c>
      <c r="AN29" s="63">
        <v>308</v>
      </c>
      <c r="AP29" s="65"/>
      <c r="AQ29" s="66"/>
      <c r="AR29" s="66"/>
      <c r="AS29" s="11"/>
      <c r="AT29" s="11"/>
      <c r="AU29" s="11"/>
      <c r="AV29" s="11"/>
      <c r="AW29" s="11"/>
      <c r="AX29" s="11"/>
      <c r="AY29" s="11"/>
      <c r="AZ29" s="11"/>
      <c r="BA29" s="11"/>
      <c r="BC29" s="11"/>
      <c r="BD29" s="19"/>
      <c r="BE29" s="11"/>
    </row>
    <row r="30" spans="1:57" x14ac:dyDescent="0.3">
      <c r="A30" s="11"/>
      <c r="B30" s="11" t="s">
        <v>110</v>
      </c>
      <c r="C30" s="4" t="s">
        <v>89</v>
      </c>
      <c r="D30" s="4" t="s">
        <v>242</v>
      </c>
      <c r="E30" s="4"/>
      <c r="F30" s="42" t="s">
        <v>250</v>
      </c>
      <c r="G30" s="4"/>
      <c r="H30" s="4">
        <v>695.19799999999998</v>
      </c>
      <c r="J30" s="4" t="s">
        <v>245</v>
      </c>
      <c r="K30" s="4">
        <v>30.1</v>
      </c>
      <c r="L30" s="4">
        <v>2.1</v>
      </c>
      <c r="M30" s="4">
        <f t="shared" si="0"/>
        <v>14.333333333333334</v>
      </c>
      <c r="P30" s="4" t="s">
        <v>258</v>
      </c>
      <c r="Q30" s="4" t="s">
        <v>360</v>
      </c>
      <c r="R30" s="4" t="s">
        <v>113</v>
      </c>
      <c r="S30" s="4" t="s">
        <v>361</v>
      </c>
      <c r="T30" s="4" t="s">
        <v>362</v>
      </c>
      <c r="U30" s="4"/>
      <c r="V30" s="4"/>
      <c r="W30" s="4"/>
      <c r="X30" s="4"/>
      <c r="Y30" s="4"/>
      <c r="Z30" s="4"/>
      <c r="AA30" s="4"/>
      <c r="AB30" s="4"/>
      <c r="AC30" s="4"/>
      <c r="AD30" s="4"/>
      <c r="AE30" s="4"/>
      <c r="AF30" s="4"/>
      <c r="AG30" s="4"/>
      <c r="AH30" s="59">
        <v>0.79</v>
      </c>
      <c r="AI30" s="83">
        <v>12</v>
      </c>
      <c r="AJ30" s="83"/>
      <c r="AK30" s="83"/>
      <c r="AL30" s="83">
        <f t="shared" si="4"/>
        <v>63.77138364779875</v>
      </c>
      <c r="AM30" s="63">
        <v>2.5669999999999998E-2</v>
      </c>
      <c r="AN30" s="63">
        <v>318</v>
      </c>
      <c r="AP30" s="65"/>
      <c r="AQ30" s="66"/>
      <c r="AR30" s="66"/>
      <c r="AS30" s="11"/>
      <c r="AT30" s="11"/>
      <c r="AU30" s="11"/>
      <c r="AV30" s="11"/>
      <c r="AW30" s="11"/>
      <c r="AX30" s="11"/>
      <c r="AY30" s="11"/>
      <c r="AZ30" s="11"/>
      <c r="BA30" s="11"/>
      <c r="BC30" s="11"/>
      <c r="BD30" s="19"/>
      <c r="BE30" s="11"/>
    </row>
    <row r="31" spans="1:57" x14ac:dyDescent="0.3">
      <c r="A31" s="11"/>
      <c r="B31" s="11" t="s">
        <v>110</v>
      </c>
      <c r="C31" s="4" t="s">
        <v>89</v>
      </c>
      <c r="D31" s="4" t="s">
        <v>242</v>
      </c>
      <c r="E31" s="4"/>
      <c r="F31" s="42" t="s">
        <v>250</v>
      </c>
      <c r="G31" s="4"/>
      <c r="H31" s="4">
        <v>695.19799999999998</v>
      </c>
      <c r="I31" s="36"/>
      <c r="J31" s="4" t="s">
        <v>245</v>
      </c>
      <c r="K31" s="4">
        <v>30.1</v>
      </c>
      <c r="L31" s="4">
        <v>2.1</v>
      </c>
      <c r="M31" s="4">
        <f t="shared" si="0"/>
        <v>14.333333333333334</v>
      </c>
      <c r="P31" s="4" t="s">
        <v>258</v>
      </c>
      <c r="Q31" s="4" t="s">
        <v>360</v>
      </c>
      <c r="R31" s="4" t="s">
        <v>113</v>
      </c>
      <c r="S31" s="4" t="s">
        <v>361</v>
      </c>
      <c r="T31" s="4" t="s">
        <v>362</v>
      </c>
      <c r="U31" s="4"/>
      <c r="V31" s="4"/>
      <c r="W31" s="4"/>
      <c r="X31" s="4"/>
      <c r="Y31" s="4"/>
      <c r="Z31" s="4"/>
      <c r="AA31" s="4"/>
      <c r="AB31" s="4"/>
      <c r="AC31" s="4"/>
      <c r="AD31" s="4"/>
      <c r="AE31" s="4"/>
      <c r="AF31" s="4"/>
      <c r="AG31" s="4"/>
      <c r="AH31" s="59">
        <v>0.79</v>
      </c>
      <c r="AI31" s="83">
        <v>12</v>
      </c>
      <c r="AJ31" s="83"/>
      <c r="AK31" s="83"/>
      <c r="AL31" s="83">
        <f t="shared" si="4"/>
        <v>63.248170731707326</v>
      </c>
      <c r="AM31" s="63">
        <v>2.6259999999999999E-2</v>
      </c>
      <c r="AN31" s="63">
        <v>328</v>
      </c>
      <c r="AP31" s="65"/>
      <c r="AQ31" s="66"/>
      <c r="AR31" s="66"/>
      <c r="AS31" s="11"/>
      <c r="AT31" s="11"/>
      <c r="AU31" s="11"/>
      <c r="AV31" s="11"/>
      <c r="AW31" s="11"/>
      <c r="AX31" s="11"/>
      <c r="AY31" s="11"/>
      <c r="AZ31" s="11"/>
      <c r="BA31" s="11"/>
      <c r="BC31" s="11"/>
      <c r="BD31" s="19"/>
      <c r="BE31" s="11"/>
    </row>
    <row r="32" spans="1:57" x14ac:dyDescent="0.3">
      <c r="A32" s="11"/>
      <c r="B32" s="11" t="s">
        <v>110</v>
      </c>
      <c r="C32" s="4" t="s">
        <v>89</v>
      </c>
      <c r="D32" s="4" t="s">
        <v>242</v>
      </c>
      <c r="E32" s="4"/>
      <c r="F32" s="42" t="s">
        <v>250</v>
      </c>
      <c r="G32" s="4"/>
      <c r="H32" s="4">
        <v>695.19799999999998</v>
      </c>
      <c r="I32" s="36"/>
      <c r="J32" s="4" t="s">
        <v>245</v>
      </c>
      <c r="K32" s="4">
        <v>30.1</v>
      </c>
      <c r="L32" s="4">
        <v>2.1</v>
      </c>
      <c r="M32" s="4">
        <f t="shared" si="0"/>
        <v>14.333333333333334</v>
      </c>
      <c r="P32" s="4" t="s">
        <v>258</v>
      </c>
      <c r="Q32" s="4" t="s">
        <v>360</v>
      </c>
      <c r="R32" s="4" t="s">
        <v>113</v>
      </c>
      <c r="S32" s="4" t="s">
        <v>361</v>
      </c>
      <c r="T32" s="4" t="s">
        <v>362</v>
      </c>
      <c r="U32" s="4"/>
      <c r="V32" s="4"/>
      <c r="W32" s="4"/>
      <c r="X32" s="4"/>
      <c r="Y32" s="4"/>
      <c r="Z32" s="4"/>
      <c r="AA32" s="4"/>
      <c r="AB32" s="4"/>
      <c r="AC32" s="4"/>
      <c r="AD32" s="4"/>
      <c r="AE32" s="4"/>
      <c r="AF32" s="4"/>
      <c r="AG32" s="4"/>
      <c r="AH32" s="59">
        <v>0.79</v>
      </c>
      <c r="AI32" s="83">
        <v>12</v>
      </c>
      <c r="AJ32" s="83"/>
      <c r="AK32" s="83"/>
      <c r="AL32" s="83">
        <f t="shared" si="4"/>
        <v>61.260059171597639</v>
      </c>
      <c r="AM32" s="63">
        <v>2.6210000000000001E-2</v>
      </c>
      <c r="AN32" s="63">
        <v>338</v>
      </c>
      <c r="AP32" s="65"/>
      <c r="AQ32" s="66"/>
      <c r="AR32" s="66"/>
      <c r="AS32" s="11"/>
      <c r="AT32" s="11"/>
      <c r="AU32" s="11"/>
      <c r="AV32" s="11"/>
      <c r="AW32" s="11"/>
      <c r="AX32" s="11"/>
      <c r="AY32" s="11"/>
      <c r="AZ32" s="11"/>
      <c r="BA32" s="11"/>
      <c r="BC32" s="11"/>
      <c r="BD32" s="19"/>
      <c r="BE32" s="11"/>
    </row>
    <row r="33" spans="1:57" x14ac:dyDescent="0.3">
      <c r="A33" s="11"/>
      <c r="B33" s="11" t="s">
        <v>110</v>
      </c>
      <c r="C33" s="4" t="s">
        <v>89</v>
      </c>
      <c r="D33" s="4" t="s">
        <v>242</v>
      </c>
      <c r="E33" s="4"/>
      <c r="F33" s="42" t="s">
        <v>250</v>
      </c>
      <c r="G33" s="4"/>
      <c r="H33" s="4">
        <v>695.19799999999998</v>
      </c>
      <c r="I33" s="36"/>
      <c r="J33" s="4" t="s">
        <v>245</v>
      </c>
      <c r="K33" s="4">
        <v>30.1</v>
      </c>
      <c r="L33" s="4">
        <v>2.1</v>
      </c>
      <c r="M33" s="4">
        <f t="shared" si="0"/>
        <v>14.333333333333334</v>
      </c>
      <c r="P33" s="4" t="s">
        <v>258</v>
      </c>
      <c r="Q33" s="4" t="s">
        <v>360</v>
      </c>
      <c r="R33" s="4" t="s">
        <v>113</v>
      </c>
      <c r="S33" s="4" t="s">
        <v>361</v>
      </c>
      <c r="T33" s="4" t="s">
        <v>362</v>
      </c>
      <c r="U33" s="4"/>
      <c r="V33" s="4"/>
      <c r="W33" s="4"/>
      <c r="X33" s="4"/>
      <c r="Y33" s="4"/>
      <c r="Z33" s="4"/>
      <c r="AA33" s="4"/>
      <c r="AB33" s="4"/>
      <c r="AC33" s="4"/>
      <c r="AD33" s="4"/>
      <c r="AE33" s="4"/>
      <c r="AF33" s="4"/>
      <c r="AG33" s="4"/>
      <c r="AH33" s="59">
        <v>0.79</v>
      </c>
      <c r="AI33" s="83">
        <v>12</v>
      </c>
      <c r="AJ33" s="83"/>
      <c r="AK33" s="83"/>
      <c r="AL33" s="83">
        <f t="shared" si="4"/>
        <v>65.946839080459768</v>
      </c>
      <c r="AM33" s="63">
        <v>2.9049999999999999E-2</v>
      </c>
      <c r="AN33" s="63">
        <v>348</v>
      </c>
      <c r="AP33" s="65"/>
      <c r="AQ33" s="66"/>
      <c r="AR33" s="66"/>
      <c r="AS33" s="11"/>
      <c r="AT33" s="11"/>
      <c r="AU33" s="11"/>
      <c r="AV33" s="11"/>
      <c r="AW33" s="11"/>
      <c r="AX33" s="11"/>
      <c r="AY33" s="11"/>
      <c r="AZ33" s="11"/>
      <c r="BA33" s="11"/>
      <c r="BC33" s="11"/>
      <c r="BD33" s="19"/>
      <c r="BE33" s="11"/>
    </row>
    <row r="34" spans="1:57" x14ac:dyDescent="0.3">
      <c r="A34" s="11"/>
      <c r="B34" s="11" t="s">
        <v>110</v>
      </c>
      <c r="C34" s="4" t="s">
        <v>89</v>
      </c>
      <c r="D34" s="4" t="s">
        <v>242</v>
      </c>
      <c r="E34" s="4"/>
      <c r="F34" s="42" t="s">
        <v>250</v>
      </c>
      <c r="G34" s="4"/>
      <c r="H34" s="4">
        <v>695.19799999999998</v>
      </c>
      <c r="I34" s="36"/>
      <c r="J34" s="4" t="s">
        <v>245</v>
      </c>
      <c r="K34" s="4">
        <v>30.1</v>
      </c>
      <c r="L34" s="4">
        <v>2.1</v>
      </c>
      <c r="M34" s="4">
        <f t="shared" si="0"/>
        <v>14.333333333333334</v>
      </c>
      <c r="P34" s="4" t="s">
        <v>258</v>
      </c>
      <c r="Q34" s="4" t="s">
        <v>360</v>
      </c>
      <c r="R34" s="4" t="s">
        <v>113</v>
      </c>
      <c r="S34" s="4" t="s">
        <v>361</v>
      </c>
      <c r="T34" s="4" t="s">
        <v>362</v>
      </c>
      <c r="U34" s="4"/>
      <c r="V34" s="4"/>
      <c r="W34" s="4"/>
      <c r="X34" s="4"/>
      <c r="Y34" s="4"/>
      <c r="Z34" s="4"/>
      <c r="AA34" s="4"/>
      <c r="AB34" s="4"/>
      <c r="AC34" s="4"/>
      <c r="AD34" s="4"/>
      <c r="AE34" s="4"/>
      <c r="AF34" s="4"/>
      <c r="AG34" s="4"/>
      <c r="AH34" s="59">
        <v>0.79</v>
      </c>
      <c r="AI34" s="83">
        <v>12</v>
      </c>
      <c r="AJ34" s="83"/>
      <c r="AK34" s="83"/>
      <c r="AL34" s="83">
        <f t="shared" si="4"/>
        <v>74.211452513966478</v>
      </c>
      <c r="AM34" s="63">
        <v>3.363E-2</v>
      </c>
      <c r="AN34" s="63">
        <v>358</v>
      </c>
      <c r="AP34" s="65"/>
      <c r="AQ34" s="66"/>
      <c r="AR34" s="66"/>
      <c r="AS34" s="11"/>
      <c r="AT34" s="11"/>
      <c r="AU34" s="11"/>
      <c r="AV34" s="11"/>
      <c r="AW34" s="11"/>
      <c r="AX34" s="11"/>
      <c r="AY34" s="11"/>
      <c r="AZ34" s="11"/>
      <c r="BA34" s="11"/>
      <c r="BC34" s="11"/>
      <c r="BD34" s="19"/>
      <c r="BE34" s="11"/>
    </row>
    <row r="35" spans="1:57" x14ac:dyDescent="0.3">
      <c r="A35" s="11"/>
      <c r="B35" s="11" t="s">
        <v>110</v>
      </c>
      <c r="C35" s="4" t="s">
        <v>89</v>
      </c>
      <c r="D35" s="4" t="s">
        <v>242</v>
      </c>
      <c r="E35" s="4"/>
      <c r="F35" s="42" t="s">
        <v>250</v>
      </c>
      <c r="G35" s="4"/>
      <c r="H35" s="4">
        <v>695.19799999999998</v>
      </c>
      <c r="I35" s="36"/>
      <c r="J35" s="4" t="s">
        <v>245</v>
      </c>
      <c r="K35" s="4">
        <v>30.1</v>
      </c>
      <c r="L35" s="4">
        <v>2.1</v>
      </c>
      <c r="M35" s="4">
        <f t="shared" si="0"/>
        <v>14.333333333333334</v>
      </c>
      <c r="P35" s="4" t="s">
        <v>258</v>
      </c>
      <c r="Q35" s="4" t="s">
        <v>360</v>
      </c>
      <c r="R35" s="4" t="s">
        <v>113</v>
      </c>
      <c r="S35" s="4" t="s">
        <v>361</v>
      </c>
      <c r="T35" s="4" t="s">
        <v>362</v>
      </c>
      <c r="U35" s="4"/>
      <c r="V35" s="4"/>
      <c r="W35" s="4"/>
      <c r="X35" s="4"/>
      <c r="Y35" s="4"/>
      <c r="Z35" s="4"/>
      <c r="AA35" s="4"/>
      <c r="AB35" s="4"/>
      <c r="AC35" s="4"/>
      <c r="AD35" s="4"/>
      <c r="AE35" s="4"/>
      <c r="AF35" s="4"/>
      <c r="AG35" s="4"/>
      <c r="AH35" s="59">
        <v>0.79</v>
      </c>
      <c r="AI35" s="83">
        <v>12</v>
      </c>
      <c r="AJ35" s="83"/>
      <c r="AK35" s="83"/>
      <c r="AL35" s="83">
        <f t="shared" si="4"/>
        <v>74.234239130434787</v>
      </c>
      <c r="AM35" s="63">
        <v>3.458E-2</v>
      </c>
      <c r="AN35" s="63">
        <v>368</v>
      </c>
      <c r="AP35" s="65"/>
      <c r="AQ35" s="66"/>
      <c r="AR35" s="66"/>
      <c r="AS35" s="11"/>
      <c r="AT35" s="11"/>
      <c r="AU35" s="11"/>
      <c r="AV35" s="11"/>
      <c r="AW35" s="11"/>
      <c r="AX35" s="11"/>
      <c r="AY35" s="11"/>
      <c r="AZ35" s="11"/>
      <c r="BA35" s="11"/>
      <c r="BC35" s="11"/>
      <c r="BD35" s="19"/>
      <c r="BE35" s="11"/>
    </row>
    <row r="36" spans="1:57" x14ac:dyDescent="0.3">
      <c r="A36" s="11"/>
      <c r="B36" s="11" t="s">
        <v>110</v>
      </c>
      <c r="C36" s="4" t="s">
        <v>89</v>
      </c>
      <c r="D36" s="4" t="s">
        <v>242</v>
      </c>
      <c r="E36" s="4"/>
      <c r="F36" s="42" t="s">
        <v>250</v>
      </c>
      <c r="G36" s="4"/>
      <c r="H36" s="4">
        <v>695.19799999999998</v>
      </c>
      <c r="I36" s="36"/>
      <c r="J36" s="4" t="s">
        <v>245</v>
      </c>
      <c r="K36" s="4">
        <v>30.1</v>
      </c>
      <c r="L36" s="4">
        <v>2.1</v>
      </c>
      <c r="M36" s="4">
        <f t="shared" si="0"/>
        <v>14.333333333333334</v>
      </c>
      <c r="P36" s="4" t="s">
        <v>258</v>
      </c>
      <c r="Q36" s="4" t="s">
        <v>360</v>
      </c>
      <c r="R36" s="4" t="s">
        <v>113</v>
      </c>
      <c r="S36" s="4" t="s">
        <v>361</v>
      </c>
      <c r="T36" s="4" t="s">
        <v>362</v>
      </c>
      <c r="U36" s="4"/>
      <c r="V36" s="4"/>
      <c r="W36" s="4"/>
      <c r="X36" s="4"/>
      <c r="Y36" s="4"/>
      <c r="Z36" s="4"/>
      <c r="AA36" s="4"/>
      <c r="AB36" s="4"/>
      <c r="AC36" s="4"/>
      <c r="AD36" s="4"/>
      <c r="AE36" s="4"/>
      <c r="AF36" s="4"/>
      <c r="AG36" s="4"/>
      <c r="AH36" s="59">
        <v>0.79</v>
      </c>
      <c r="AI36" s="83">
        <v>12</v>
      </c>
      <c r="AJ36" s="83"/>
      <c r="AK36" s="83"/>
      <c r="AL36" s="83">
        <f t="shared" si="4"/>
        <v>77.056349206349211</v>
      </c>
      <c r="AM36" s="63">
        <v>3.687E-2</v>
      </c>
      <c r="AN36" s="63">
        <v>378</v>
      </c>
      <c r="AP36" s="65"/>
      <c r="AQ36" s="66"/>
      <c r="AR36" s="66"/>
      <c r="AS36" s="11"/>
      <c r="AT36" s="11"/>
      <c r="AU36" s="11"/>
      <c r="AV36" s="11"/>
      <c r="AW36" s="11"/>
      <c r="AX36" s="11"/>
      <c r="AY36" s="11"/>
      <c r="AZ36" s="11"/>
      <c r="BA36" s="11"/>
      <c r="BC36" s="11"/>
      <c r="BD36" s="19"/>
      <c r="BE36" s="11"/>
    </row>
    <row r="37" spans="1:57" x14ac:dyDescent="0.3">
      <c r="A37" s="11"/>
      <c r="B37" s="11" t="s">
        <v>110</v>
      </c>
      <c r="C37" s="4" t="s">
        <v>89</v>
      </c>
      <c r="D37" s="4" t="s">
        <v>242</v>
      </c>
      <c r="E37" s="4"/>
      <c r="F37" s="42" t="s">
        <v>250</v>
      </c>
      <c r="G37" s="4"/>
      <c r="H37" s="4">
        <v>695.19799999999998</v>
      </c>
      <c r="I37" s="36">
        <f>((K37)*1000)/H37</f>
        <v>43.297017540326642</v>
      </c>
      <c r="J37" s="4" t="s">
        <v>245</v>
      </c>
      <c r="K37" s="4">
        <v>30.1</v>
      </c>
      <c r="L37" s="4">
        <v>2.1</v>
      </c>
      <c r="M37" s="4">
        <f t="shared" si="0"/>
        <v>14.333333333333334</v>
      </c>
      <c r="N37" t="s">
        <v>238</v>
      </c>
      <c r="O37" t="s">
        <v>118</v>
      </c>
      <c r="P37" s="4" t="s">
        <v>258</v>
      </c>
      <c r="Q37" s="4" t="s">
        <v>360</v>
      </c>
      <c r="R37" s="4" t="s">
        <v>113</v>
      </c>
      <c r="S37" s="4" t="s">
        <v>361</v>
      </c>
      <c r="T37" s="4" t="s">
        <v>362</v>
      </c>
      <c r="U37" s="4" t="s">
        <v>363</v>
      </c>
      <c r="V37" s="4" t="s">
        <v>366</v>
      </c>
      <c r="W37" s="4" t="s">
        <v>368</v>
      </c>
      <c r="X37" s="4" t="s">
        <v>133</v>
      </c>
      <c r="Y37" s="4" t="s">
        <v>369</v>
      </c>
      <c r="Z37" s="4" t="s">
        <v>371</v>
      </c>
      <c r="AA37" s="4">
        <v>298</v>
      </c>
      <c r="AB37" s="4" t="s">
        <v>374</v>
      </c>
      <c r="AC37" s="4" t="s">
        <v>376</v>
      </c>
      <c r="AD37" s="4" t="s">
        <v>378</v>
      </c>
      <c r="AE37" s="4">
        <v>30</v>
      </c>
      <c r="AF37" s="4" t="s">
        <v>140</v>
      </c>
      <c r="AG37" s="4"/>
      <c r="AH37" s="59">
        <v>0.79</v>
      </c>
      <c r="AI37" s="83">
        <v>13.5</v>
      </c>
      <c r="AJ37" s="83">
        <v>561.79774999999995</v>
      </c>
      <c r="AK37" s="83">
        <v>30.12</v>
      </c>
      <c r="AL37" s="83">
        <v>50.984520000000003</v>
      </c>
      <c r="AM37" s="63">
        <v>3.40425531914893E-2</v>
      </c>
      <c r="AN37" s="63">
        <v>298</v>
      </c>
      <c r="AO37" s="11">
        <v>298</v>
      </c>
      <c r="AP37" s="65"/>
      <c r="AQ37" s="66"/>
      <c r="AR37" s="66"/>
      <c r="AS37" s="11"/>
      <c r="AT37" s="11"/>
      <c r="AU37" s="11"/>
      <c r="AV37" s="11"/>
      <c r="AW37" s="11"/>
      <c r="AX37" s="11"/>
      <c r="AY37" s="11"/>
      <c r="AZ37" s="11"/>
      <c r="BA37" s="11" t="s">
        <v>383</v>
      </c>
      <c r="BC37" s="11"/>
      <c r="BD37" s="19" t="s">
        <v>68</v>
      </c>
      <c r="BE37" s="11" t="s">
        <v>380</v>
      </c>
    </row>
    <row r="38" spans="1:57" x14ac:dyDescent="0.3">
      <c r="A38" s="11"/>
      <c r="B38" s="11" t="s">
        <v>110</v>
      </c>
      <c r="C38" s="4" t="s">
        <v>89</v>
      </c>
      <c r="D38" s="4" t="s">
        <v>242</v>
      </c>
      <c r="E38" s="4"/>
      <c r="F38" s="42" t="s">
        <v>250</v>
      </c>
      <c r="G38" s="4"/>
      <c r="H38" s="4">
        <v>695.19799999999998</v>
      </c>
      <c r="I38" s="36">
        <f t="shared" si="3"/>
        <v>43.297017540326642</v>
      </c>
      <c r="J38" s="4" t="s">
        <v>245</v>
      </c>
      <c r="K38" s="4">
        <v>30.1</v>
      </c>
      <c r="L38" s="4">
        <v>2.1</v>
      </c>
      <c r="M38" s="4">
        <f t="shared" si="0"/>
        <v>14.333333333333334</v>
      </c>
      <c r="N38" t="s">
        <v>238</v>
      </c>
      <c r="O38" t="s">
        <v>118</v>
      </c>
      <c r="P38" s="4" t="s">
        <v>258</v>
      </c>
      <c r="Q38" s="4" t="s">
        <v>360</v>
      </c>
      <c r="R38" s="4" t="s">
        <v>113</v>
      </c>
      <c r="S38" s="4" t="s">
        <v>361</v>
      </c>
      <c r="T38" s="4" t="s">
        <v>362</v>
      </c>
      <c r="U38" s="4" t="s">
        <v>363</v>
      </c>
      <c r="V38" s="4" t="s">
        <v>366</v>
      </c>
      <c r="W38" s="4" t="s">
        <v>368</v>
      </c>
      <c r="X38" s="4" t="s">
        <v>133</v>
      </c>
      <c r="Y38" s="4" t="s">
        <v>369</v>
      </c>
      <c r="Z38" s="4" t="s">
        <v>371</v>
      </c>
      <c r="AA38" s="4">
        <v>298</v>
      </c>
      <c r="AB38" s="4" t="s">
        <v>374</v>
      </c>
      <c r="AC38" s="4" t="s">
        <v>376</v>
      </c>
      <c r="AD38" s="4" t="s">
        <v>378</v>
      </c>
      <c r="AE38" s="4">
        <v>30</v>
      </c>
      <c r="AF38" s="4" t="s">
        <v>140</v>
      </c>
      <c r="AG38" s="4"/>
      <c r="AH38" s="59">
        <v>0.79</v>
      </c>
      <c r="AI38" s="83">
        <v>15</v>
      </c>
      <c r="AJ38" s="83">
        <v>581.39535000000001</v>
      </c>
      <c r="AK38" s="83">
        <v>27.08</v>
      </c>
      <c r="AL38" s="83">
        <v>42.657400000000003</v>
      </c>
      <c r="AM38" s="63">
        <v>3.7137330754352098E-2</v>
      </c>
      <c r="AN38" s="63">
        <v>298</v>
      </c>
      <c r="AO38" s="11">
        <v>298</v>
      </c>
      <c r="AP38" s="65"/>
      <c r="AQ38" s="66"/>
      <c r="AR38" s="66"/>
      <c r="AS38" s="11"/>
      <c r="AT38" s="11"/>
      <c r="AU38" s="11"/>
      <c r="AV38" s="11"/>
      <c r="AW38" s="11"/>
      <c r="AX38" s="11"/>
      <c r="AY38" s="11"/>
      <c r="AZ38" s="11"/>
      <c r="BA38" s="11" t="s">
        <v>383</v>
      </c>
      <c r="BC38" s="11"/>
      <c r="BD38" s="19" t="s">
        <v>68</v>
      </c>
      <c r="BE38" s="11" t="s">
        <v>380</v>
      </c>
    </row>
    <row r="39" spans="1:57" ht="144" x14ac:dyDescent="0.3">
      <c r="A39" s="11"/>
      <c r="B39" s="11" t="s">
        <v>111</v>
      </c>
      <c r="C39" s="4" t="s">
        <v>99</v>
      </c>
      <c r="D39" s="4" t="s">
        <v>243</v>
      </c>
      <c r="E39" s="4"/>
      <c r="F39" s="42"/>
      <c r="G39" s="4"/>
      <c r="H39" s="4"/>
      <c r="I39" s="36"/>
      <c r="J39" s="4" t="s">
        <v>246</v>
      </c>
      <c r="K39" s="4"/>
      <c r="L39" s="4"/>
      <c r="M39" s="4"/>
      <c r="N39" t="s">
        <v>238</v>
      </c>
      <c r="O39" t="s">
        <v>118</v>
      </c>
      <c r="P39" s="4" t="s">
        <v>258</v>
      </c>
      <c r="Q39" s="4" t="s">
        <v>360</v>
      </c>
      <c r="R39" s="4" t="s">
        <v>113</v>
      </c>
      <c r="S39" s="4" t="s">
        <v>361</v>
      </c>
      <c r="T39" s="4" t="s">
        <v>364</v>
      </c>
      <c r="U39" s="4" t="s">
        <v>365</v>
      </c>
      <c r="V39" s="4" t="s">
        <v>367</v>
      </c>
      <c r="W39" s="4" t="s">
        <v>368</v>
      </c>
      <c r="X39" s="4" t="s">
        <v>139</v>
      </c>
      <c r="Y39" s="4" t="s">
        <v>370</v>
      </c>
      <c r="Z39" s="4" t="s">
        <v>371</v>
      </c>
      <c r="AA39" s="4" t="s">
        <v>372</v>
      </c>
      <c r="AB39" s="4" t="s">
        <v>375</v>
      </c>
      <c r="AC39" s="4" t="s">
        <v>377</v>
      </c>
      <c r="AD39" s="4" t="s">
        <v>379</v>
      </c>
      <c r="AE39" s="4">
        <v>30</v>
      </c>
      <c r="AF39" s="4" t="s">
        <v>140</v>
      </c>
      <c r="AG39" s="4"/>
      <c r="AH39" s="59">
        <v>0.15</v>
      </c>
      <c r="AI39" s="83">
        <v>3</v>
      </c>
      <c r="AJ39" s="83">
        <v>8.0510900000000003</v>
      </c>
      <c r="AK39" s="83">
        <v>307.00312000000002</v>
      </c>
      <c r="AL39" s="83">
        <v>75.572839999999999</v>
      </c>
      <c r="AM39" s="63">
        <v>0.69632495164410002</v>
      </c>
      <c r="AN39" s="63">
        <v>298</v>
      </c>
      <c r="AO39" s="11">
        <v>298</v>
      </c>
      <c r="AP39" s="65"/>
      <c r="AQ39" s="66"/>
      <c r="AR39" s="66"/>
      <c r="AS39" s="11"/>
      <c r="AT39" s="11"/>
      <c r="AU39" s="11"/>
      <c r="AV39" s="11"/>
      <c r="AW39" s="11"/>
      <c r="AX39" s="11"/>
      <c r="AY39" s="11"/>
      <c r="AZ39" s="59" t="s">
        <v>384</v>
      </c>
      <c r="BA39" s="11" t="s">
        <v>383</v>
      </c>
      <c r="BB39" s="59"/>
      <c r="BC39" s="59"/>
      <c r="BD39" s="19" t="s">
        <v>68</v>
      </c>
      <c r="BE39" s="11" t="s">
        <v>381</v>
      </c>
    </row>
    <row r="40" spans="1:57" x14ac:dyDescent="0.3">
      <c r="A40" s="11"/>
      <c r="B40" s="11" t="s">
        <v>111</v>
      </c>
      <c r="C40" s="4" t="s">
        <v>99</v>
      </c>
      <c r="D40" s="4" t="s">
        <v>243</v>
      </c>
      <c r="E40" s="4"/>
      <c r="F40" s="42"/>
      <c r="G40" s="4"/>
      <c r="H40" s="4"/>
      <c r="I40" s="36"/>
      <c r="J40" s="4" t="s">
        <v>246</v>
      </c>
      <c r="K40" s="4"/>
      <c r="L40" s="4"/>
      <c r="M40" s="4"/>
      <c r="N40" t="s">
        <v>238</v>
      </c>
      <c r="O40" t="s">
        <v>118</v>
      </c>
      <c r="P40" s="4" t="s">
        <v>258</v>
      </c>
      <c r="Q40" s="4" t="s">
        <v>360</v>
      </c>
      <c r="R40" s="4" t="s">
        <v>113</v>
      </c>
      <c r="S40" s="4" t="s">
        <v>361</v>
      </c>
      <c r="T40" s="4" t="s">
        <v>364</v>
      </c>
      <c r="U40" s="4" t="s">
        <v>365</v>
      </c>
      <c r="V40" s="4" t="s">
        <v>367</v>
      </c>
      <c r="W40" s="4" t="s">
        <v>368</v>
      </c>
      <c r="X40" s="4" t="s">
        <v>139</v>
      </c>
      <c r="Y40" s="4" t="s">
        <v>370</v>
      </c>
      <c r="Z40" s="4" t="s">
        <v>371</v>
      </c>
      <c r="AA40" s="4" t="s">
        <v>372</v>
      </c>
      <c r="AB40" s="4" t="s">
        <v>375</v>
      </c>
      <c r="AC40" s="4" t="s">
        <v>377</v>
      </c>
      <c r="AD40" s="4" t="s">
        <v>379</v>
      </c>
      <c r="AE40" s="4">
        <v>30</v>
      </c>
      <c r="AF40" s="4" t="s">
        <v>140</v>
      </c>
      <c r="AG40" s="4"/>
      <c r="AH40" s="59">
        <v>0.15</v>
      </c>
      <c r="AI40" s="83">
        <v>4.5</v>
      </c>
      <c r="AJ40" s="83">
        <v>18.218830000000001</v>
      </c>
      <c r="AK40" s="83">
        <v>253.55753999999999</v>
      </c>
      <c r="AL40" s="83">
        <v>116.48508</v>
      </c>
      <c r="AM40" s="63">
        <v>0.74584139264990301</v>
      </c>
      <c r="AN40" s="63">
        <v>298</v>
      </c>
      <c r="AO40" s="11">
        <v>298</v>
      </c>
      <c r="AP40" s="65"/>
      <c r="AQ40" s="66"/>
      <c r="AR40" s="66"/>
      <c r="AS40" s="11"/>
      <c r="AT40" s="11"/>
      <c r="AU40" s="11"/>
      <c r="AV40" s="11"/>
      <c r="AW40" s="11"/>
      <c r="AX40" s="11"/>
      <c r="AY40" s="11"/>
      <c r="AZ40" s="11" t="s">
        <v>383</v>
      </c>
      <c r="BA40" s="11" t="s">
        <v>383</v>
      </c>
      <c r="BC40" s="11"/>
      <c r="BD40" s="19" t="s">
        <v>68</v>
      </c>
      <c r="BE40" s="11" t="s">
        <v>381</v>
      </c>
    </row>
    <row r="41" spans="1:57" x14ac:dyDescent="0.3">
      <c r="A41" s="11"/>
      <c r="B41" s="11" t="s">
        <v>111</v>
      </c>
      <c r="C41" s="4" t="s">
        <v>99</v>
      </c>
      <c r="D41" s="4" t="s">
        <v>243</v>
      </c>
      <c r="E41" s="4"/>
      <c r="F41" s="42"/>
      <c r="G41" s="4"/>
      <c r="H41" s="4"/>
      <c r="I41" s="36"/>
      <c r="J41" s="4" t="s">
        <v>246</v>
      </c>
      <c r="K41" s="4"/>
      <c r="L41" s="4"/>
      <c r="M41" s="4"/>
      <c r="N41" t="s">
        <v>238</v>
      </c>
      <c r="O41" t="s">
        <v>118</v>
      </c>
      <c r="P41" s="4" t="s">
        <v>258</v>
      </c>
      <c r="Q41" s="4" t="s">
        <v>360</v>
      </c>
      <c r="R41" s="4" t="s">
        <v>113</v>
      </c>
      <c r="S41" s="4" t="s">
        <v>361</v>
      </c>
      <c r="T41" s="4" t="s">
        <v>364</v>
      </c>
      <c r="U41" s="4" t="s">
        <v>365</v>
      </c>
      <c r="V41" s="4" t="s">
        <v>367</v>
      </c>
      <c r="W41" s="4" t="s">
        <v>368</v>
      </c>
      <c r="X41" s="4" t="s">
        <v>139</v>
      </c>
      <c r="Y41" s="4" t="s">
        <v>370</v>
      </c>
      <c r="Z41" s="4" t="s">
        <v>371</v>
      </c>
      <c r="AA41" s="4" t="s">
        <v>372</v>
      </c>
      <c r="AB41" s="4" t="s">
        <v>375</v>
      </c>
      <c r="AC41" s="4" t="s">
        <v>377</v>
      </c>
      <c r="AD41" s="4" t="s">
        <v>379</v>
      </c>
      <c r="AE41" s="4">
        <v>30</v>
      </c>
      <c r="AF41" s="4" t="s">
        <v>140</v>
      </c>
      <c r="AG41" s="4"/>
      <c r="AH41" s="59">
        <v>0.15</v>
      </c>
      <c r="AI41" s="83">
        <v>6</v>
      </c>
      <c r="AJ41" s="83">
        <v>29.23545</v>
      </c>
      <c r="AK41" s="83">
        <v>218.60419999999999</v>
      </c>
      <c r="AL41" s="83">
        <v>139.10911999999999</v>
      </c>
      <c r="AM41" s="63">
        <v>0.82630560928433205</v>
      </c>
      <c r="AN41" s="63">
        <v>298</v>
      </c>
      <c r="AO41" s="11">
        <v>298</v>
      </c>
      <c r="AP41" s="65"/>
      <c r="AQ41" s="66"/>
      <c r="AR41" s="66"/>
      <c r="AS41" s="11"/>
      <c r="AT41" s="11"/>
      <c r="AU41" s="11"/>
      <c r="AV41" s="11"/>
      <c r="AW41" s="11"/>
      <c r="AX41" s="11"/>
      <c r="AY41" s="11"/>
      <c r="AZ41" s="11" t="s">
        <v>383</v>
      </c>
      <c r="BA41" s="11" t="s">
        <v>383</v>
      </c>
      <c r="BC41" s="11"/>
      <c r="BD41" s="19" t="s">
        <v>68</v>
      </c>
      <c r="BE41" s="11" t="s">
        <v>381</v>
      </c>
    </row>
    <row r="42" spans="1:57" x14ac:dyDescent="0.3">
      <c r="A42" s="11"/>
      <c r="B42" s="11" t="s">
        <v>111</v>
      </c>
      <c r="C42" s="4" t="s">
        <v>99</v>
      </c>
      <c r="D42" s="4" t="s">
        <v>243</v>
      </c>
      <c r="E42" s="4"/>
      <c r="F42" s="42"/>
      <c r="G42" s="4"/>
      <c r="H42" s="4"/>
      <c r="I42" s="36"/>
      <c r="J42" s="4" t="s">
        <v>246</v>
      </c>
      <c r="K42" s="4"/>
      <c r="L42" s="4"/>
      <c r="M42" s="4"/>
      <c r="N42" t="s">
        <v>238</v>
      </c>
      <c r="O42" t="s">
        <v>118</v>
      </c>
      <c r="P42" s="4" t="s">
        <v>258</v>
      </c>
      <c r="Q42" s="4" t="s">
        <v>360</v>
      </c>
      <c r="R42" s="4" t="s">
        <v>113</v>
      </c>
      <c r="S42" s="4" t="s">
        <v>361</v>
      </c>
      <c r="T42" s="4" t="s">
        <v>364</v>
      </c>
      <c r="U42" s="4" t="s">
        <v>365</v>
      </c>
      <c r="V42" s="4" t="s">
        <v>367</v>
      </c>
      <c r="W42" s="4" t="s">
        <v>368</v>
      </c>
      <c r="X42" s="4" t="s">
        <v>139</v>
      </c>
      <c r="Y42" s="4" t="s">
        <v>370</v>
      </c>
      <c r="Z42" s="4" t="s">
        <v>371</v>
      </c>
      <c r="AA42" s="4" t="s">
        <v>372</v>
      </c>
      <c r="AB42" s="4" t="s">
        <v>375</v>
      </c>
      <c r="AC42" s="4" t="s">
        <v>377</v>
      </c>
      <c r="AD42" s="4" t="s">
        <v>379</v>
      </c>
      <c r="AE42" s="4">
        <v>30</v>
      </c>
      <c r="AF42" s="4" t="s">
        <v>140</v>
      </c>
      <c r="AG42" s="4"/>
      <c r="AH42" s="59">
        <v>0.15</v>
      </c>
      <c r="AI42" s="83">
        <v>7.5</v>
      </c>
      <c r="AJ42" s="83">
        <v>47.143610000000002</v>
      </c>
      <c r="AK42" s="83">
        <v>185.12197</v>
      </c>
      <c r="AL42" s="83">
        <v>161.00638000000001</v>
      </c>
      <c r="AM42" s="63">
        <v>0.87582205029013505</v>
      </c>
      <c r="AN42" s="63">
        <v>298</v>
      </c>
      <c r="AO42" s="11">
        <v>298</v>
      </c>
      <c r="AP42" s="65"/>
      <c r="AQ42" s="66"/>
      <c r="AR42" s="66"/>
      <c r="AS42" s="11"/>
      <c r="AT42" s="11"/>
      <c r="AU42" s="11"/>
      <c r="AV42" s="11"/>
      <c r="AW42" s="11"/>
      <c r="AX42" s="11"/>
      <c r="AY42" s="11"/>
      <c r="AZ42" s="11" t="s">
        <v>383</v>
      </c>
      <c r="BA42" s="11" t="s">
        <v>383</v>
      </c>
      <c r="BC42" s="11"/>
      <c r="BD42" s="19" t="s">
        <v>68</v>
      </c>
      <c r="BE42" s="11" t="s">
        <v>381</v>
      </c>
    </row>
    <row r="43" spans="1:57" x14ac:dyDescent="0.3">
      <c r="A43" s="11"/>
      <c r="B43" s="11" t="s">
        <v>111</v>
      </c>
      <c r="C43" s="4" t="s">
        <v>99</v>
      </c>
      <c r="D43" s="4" t="s">
        <v>243</v>
      </c>
      <c r="E43" s="4"/>
      <c r="F43" s="42"/>
      <c r="G43" s="4"/>
      <c r="H43" s="4"/>
      <c r="I43" s="36"/>
      <c r="J43" s="4" t="s">
        <v>246</v>
      </c>
      <c r="K43" s="4"/>
      <c r="L43" s="4"/>
      <c r="M43" s="4"/>
      <c r="N43" t="s">
        <v>238</v>
      </c>
      <c r="O43" t="s">
        <v>118</v>
      </c>
      <c r="P43" s="4" t="s">
        <v>258</v>
      </c>
      <c r="Q43" s="4" t="s">
        <v>360</v>
      </c>
      <c r="R43" s="4" t="s">
        <v>113</v>
      </c>
      <c r="S43" s="4" t="s">
        <v>361</v>
      </c>
      <c r="T43" s="4" t="s">
        <v>364</v>
      </c>
      <c r="U43" s="4" t="s">
        <v>365</v>
      </c>
      <c r="V43" s="4" t="s">
        <v>367</v>
      </c>
      <c r="W43" s="4" t="s">
        <v>368</v>
      </c>
      <c r="X43" s="4" t="s">
        <v>139</v>
      </c>
      <c r="Y43" s="4" t="s">
        <v>370</v>
      </c>
      <c r="Z43" s="4" t="s">
        <v>371</v>
      </c>
      <c r="AA43" s="4" t="s">
        <v>372</v>
      </c>
      <c r="AB43" s="4" t="s">
        <v>375</v>
      </c>
      <c r="AC43" s="4" t="s">
        <v>377</v>
      </c>
      <c r="AD43" s="4" t="s">
        <v>379</v>
      </c>
      <c r="AE43" s="4">
        <v>30</v>
      </c>
      <c r="AF43" s="4" t="s">
        <v>140</v>
      </c>
      <c r="AG43" s="4"/>
      <c r="AH43" s="59">
        <v>0.15</v>
      </c>
      <c r="AI43" s="83">
        <v>9</v>
      </c>
      <c r="AJ43" s="83">
        <v>72.339089999999999</v>
      </c>
      <c r="AK43" s="83">
        <v>178.86920000000001</v>
      </c>
      <c r="AL43" s="83">
        <v>230.76598999999999</v>
      </c>
      <c r="AM43" s="63">
        <v>0.98723404255319103</v>
      </c>
      <c r="AN43" s="63">
        <v>298</v>
      </c>
      <c r="AO43" s="11">
        <v>298</v>
      </c>
      <c r="AP43" s="65"/>
      <c r="AQ43" s="66"/>
      <c r="AR43" s="66"/>
      <c r="AS43" s="11"/>
      <c r="AT43" s="11"/>
      <c r="AU43" s="11"/>
      <c r="AV43" s="11"/>
      <c r="AW43" s="11"/>
      <c r="AX43" s="11"/>
      <c r="AY43" s="11"/>
      <c r="AZ43" s="11" t="s">
        <v>383</v>
      </c>
      <c r="BA43" s="11" t="s">
        <v>383</v>
      </c>
      <c r="BC43" s="11"/>
      <c r="BD43" s="19" t="s">
        <v>68</v>
      </c>
      <c r="BE43" s="11" t="s">
        <v>381</v>
      </c>
    </row>
    <row r="44" spans="1:57" x14ac:dyDescent="0.3">
      <c r="A44" s="11"/>
      <c r="B44" s="11" t="s">
        <v>111</v>
      </c>
      <c r="C44" s="4" t="s">
        <v>99</v>
      </c>
      <c r="D44" s="4" t="s">
        <v>243</v>
      </c>
      <c r="E44" s="4"/>
      <c r="F44" s="42"/>
      <c r="G44" s="4"/>
      <c r="H44" s="4"/>
      <c r="I44" s="36"/>
      <c r="J44" s="4" t="s">
        <v>246</v>
      </c>
      <c r="K44" s="4"/>
      <c r="L44" s="4"/>
      <c r="M44" s="4"/>
      <c r="N44" t="s">
        <v>238</v>
      </c>
      <c r="O44" t="s">
        <v>118</v>
      </c>
      <c r="P44" s="4" t="s">
        <v>258</v>
      </c>
      <c r="Q44" s="4" t="s">
        <v>360</v>
      </c>
      <c r="R44" s="4" t="s">
        <v>113</v>
      </c>
      <c r="S44" s="4" t="s">
        <v>361</v>
      </c>
      <c r="T44" s="4" t="s">
        <v>364</v>
      </c>
      <c r="U44" s="4" t="s">
        <v>365</v>
      </c>
      <c r="V44" s="4" t="s">
        <v>367</v>
      </c>
      <c r="W44" s="4" t="s">
        <v>368</v>
      </c>
      <c r="X44" s="4" t="s">
        <v>139</v>
      </c>
      <c r="Y44" s="4" t="s">
        <v>370</v>
      </c>
      <c r="Z44" s="4" t="s">
        <v>371</v>
      </c>
      <c r="AA44" s="4" t="s">
        <v>372</v>
      </c>
      <c r="AB44" s="4" t="s">
        <v>375</v>
      </c>
      <c r="AC44" s="4" t="s">
        <v>377</v>
      </c>
      <c r="AD44" s="4" t="s">
        <v>379</v>
      </c>
      <c r="AE44" s="4">
        <v>30</v>
      </c>
      <c r="AF44" s="4" t="s">
        <v>140</v>
      </c>
      <c r="AG44" s="4"/>
      <c r="AH44" s="59">
        <v>0.15</v>
      </c>
      <c r="AI44" s="83">
        <v>10.5</v>
      </c>
      <c r="AJ44" s="83">
        <v>96.984200000000001</v>
      </c>
      <c r="AK44" s="83">
        <v>172.52082999999999</v>
      </c>
      <c r="AL44" s="83">
        <v>287.90361000000001</v>
      </c>
      <c r="AM44" s="63">
        <v>1.05531914893617</v>
      </c>
      <c r="AN44" s="63">
        <v>298</v>
      </c>
      <c r="AO44" s="11">
        <v>298</v>
      </c>
      <c r="AP44" s="65"/>
      <c r="AQ44" s="66"/>
      <c r="AR44" s="66"/>
      <c r="AS44" s="11"/>
      <c r="AT44" s="11"/>
      <c r="AU44" s="11"/>
      <c r="AV44" s="11"/>
      <c r="AW44" s="11"/>
      <c r="AX44" s="11"/>
      <c r="AY44" s="11"/>
      <c r="AZ44" s="11" t="s">
        <v>383</v>
      </c>
      <c r="BA44" s="11" t="s">
        <v>383</v>
      </c>
      <c r="BC44" s="11"/>
      <c r="BD44" s="19" t="s">
        <v>68</v>
      </c>
      <c r="BE44" s="11" t="s">
        <v>381</v>
      </c>
    </row>
    <row r="45" spans="1:57" x14ac:dyDescent="0.3">
      <c r="A45" s="11"/>
      <c r="B45" s="11" t="s">
        <v>111</v>
      </c>
      <c r="C45" s="4" t="s">
        <v>99</v>
      </c>
      <c r="D45" s="4" t="s">
        <v>243</v>
      </c>
      <c r="E45" s="4"/>
      <c r="F45" s="42"/>
      <c r="G45" s="4"/>
      <c r="H45" s="4"/>
      <c r="I45" s="36"/>
      <c r="J45" s="4" t="s">
        <v>246</v>
      </c>
      <c r="K45" s="4"/>
      <c r="L45" s="4"/>
      <c r="M45" s="4"/>
      <c r="N45" t="s">
        <v>238</v>
      </c>
      <c r="O45" t="s">
        <v>118</v>
      </c>
      <c r="P45" s="4" t="s">
        <v>258</v>
      </c>
      <c r="Q45" s="4" t="s">
        <v>360</v>
      </c>
      <c r="R45" s="4" t="s">
        <v>113</v>
      </c>
      <c r="S45" s="4" t="s">
        <v>361</v>
      </c>
      <c r="T45" s="4" t="s">
        <v>364</v>
      </c>
      <c r="U45" s="4" t="s">
        <v>365</v>
      </c>
      <c r="V45" s="4" t="s">
        <v>367</v>
      </c>
      <c r="W45" s="4" t="s">
        <v>368</v>
      </c>
      <c r="X45" s="4" t="s">
        <v>139</v>
      </c>
      <c r="Y45" s="4" t="s">
        <v>370</v>
      </c>
      <c r="Z45" s="4" t="s">
        <v>371</v>
      </c>
      <c r="AA45" s="4" t="s">
        <v>372</v>
      </c>
      <c r="AB45" s="4" t="s">
        <v>375</v>
      </c>
      <c r="AC45" s="4" t="s">
        <v>377</v>
      </c>
      <c r="AD45" s="4" t="s">
        <v>379</v>
      </c>
      <c r="AE45" s="4">
        <v>30</v>
      </c>
      <c r="AF45" s="4" t="s">
        <v>140</v>
      </c>
      <c r="AG45" s="4"/>
      <c r="AH45" s="59">
        <v>0.15</v>
      </c>
      <c r="AI45" s="83">
        <v>12</v>
      </c>
      <c r="AJ45" s="83">
        <v>125.26597</v>
      </c>
      <c r="AK45" s="83">
        <v>157.53541999999999</v>
      </c>
      <c r="AL45" s="83">
        <v>310.08152999999999</v>
      </c>
      <c r="AM45" s="63">
        <v>1.1605415860735</v>
      </c>
      <c r="AN45" s="63">
        <v>298</v>
      </c>
      <c r="AO45" s="11">
        <v>298</v>
      </c>
      <c r="AP45" s="65"/>
      <c r="AQ45" s="66"/>
      <c r="AR45" s="66"/>
      <c r="AS45" s="11"/>
      <c r="AT45" s="11"/>
      <c r="AU45" s="11"/>
      <c r="AV45" s="11"/>
      <c r="AW45" s="11"/>
      <c r="AX45" s="11"/>
      <c r="AY45" s="11"/>
      <c r="AZ45" s="11" t="s">
        <v>383</v>
      </c>
      <c r="BA45" s="11" t="s">
        <v>383</v>
      </c>
      <c r="BC45" s="11"/>
      <c r="BD45" s="19" t="s">
        <v>68</v>
      </c>
      <c r="BE45" s="11" t="s">
        <v>381</v>
      </c>
    </row>
    <row r="46" spans="1:57" x14ac:dyDescent="0.3">
      <c r="A46" s="11"/>
      <c r="B46" s="11" t="s">
        <v>111</v>
      </c>
      <c r="C46" s="4" t="s">
        <v>99</v>
      </c>
      <c r="D46" s="4" t="s">
        <v>243</v>
      </c>
      <c r="E46" s="4"/>
      <c r="F46" s="42"/>
      <c r="G46" s="4"/>
      <c r="H46" s="4"/>
      <c r="I46" s="36"/>
      <c r="J46" s="4" t="s">
        <v>246</v>
      </c>
      <c r="K46" s="4"/>
      <c r="L46" s="4"/>
      <c r="M46" s="4"/>
      <c r="P46" s="4"/>
      <c r="Q46" s="4"/>
      <c r="R46" s="4"/>
      <c r="S46" s="4"/>
      <c r="T46" s="4"/>
      <c r="U46" s="4"/>
      <c r="V46" s="4"/>
      <c r="W46" s="4"/>
      <c r="X46" s="4"/>
      <c r="Y46" s="4"/>
      <c r="Z46" s="4"/>
      <c r="AA46" s="4"/>
      <c r="AB46" s="4"/>
      <c r="AC46" s="4"/>
      <c r="AD46" s="4"/>
      <c r="AE46" s="4"/>
      <c r="AF46" s="4"/>
      <c r="AG46" s="4"/>
      <c r="AH46" s="59">
        <v>0.15</v>
      </c>
      <c r="AI46" s="83">
        <v>12</v>
      </c>
      <c r="AJ46" s="83"/>
      <c r="AK46" s="83"/>
      <c r="AL46" s="83">
        <f>((AM46*AH46)/AN46)*10^6</f>
        <v>348.31208053691273</v>
      </c>
      <c r="AM46" s="63">
        <v>0.69198000000000004</v>
      </c>
      <c r="AN46" s="63">
        <v>298</v>
      </c>
      <c r="AP46" s="65"/>
      <c r="AQ46" s="66"/>
      <c r="AR46" s="66"/>
      <c r="AS46" s="11"/>
      <c r="AT46" s="11"/>
      <c r="AU46" s="11"/>
      <c r="AV46" s="11"/>
      <c r="AW46" s="11"/>
      <c r="AX46" s="11"/>
      <c r="AY46" s="11"/>
      <c r="AZ46" s="11"/>
      <c r="BA46" s="11"/>
      <c r="BC46" s="11"/>
      <c r="BD46" s="19"/>
      <c r="BE46" s="11"/>
    </row>
    <row r="47" spans="1:57" x14ac:dyDescent="0.3">
      <c r="A47" s="11"/>
      <c r="B47" s="11" t="s">
        <v>111</v>
      </c>
      <c r="C47" s="4" t="s">
        <v>99</v>
      </c>
      <c r="D47" s="4" t="s">
        <v>243</v>
      </c>
      <c r="E47" s="4"/>
      <c r="F47" s="42"/>
      <c r="G47" s="4"/>
      <c r="H47" s="4"/>
      <c r="I47" s="36"/>
      <c r="J47" s="4" t="s">
        <v>246</v>
      </c>
      <c r="K47" s="4"/>
      <c r="L47" s="4"/>
      <c r="M47" s="4"/>
      <c r="P47" s="4"/>
      <c r="Q47" s="4"/>
      <c r="R47" s="4"/>
      <c r="S47" s="4"/>
      <c r="T47" s="4"/>
      <c r="U47" s="4"/>
      <c r="V47" s="4"/>
      <c r="W47" s="4"/>
      <c r="X47" s="4"/>
      <c r="Y47" s="4"/>
      <c r="Z47" s="4"/>
      <c r="AA47" s="4"/>
      <c r="AB47" s="4"/>
      <c r="AC47" s="4"/>
      <c r="AD47" s="4"/>
      <c r="AE47" s="4"/>
      <c r="AF47" s="4"/>
      <c r="AG47" s="4"/>
      <c r="AH47" s="59"/>
      <c r="AI47" s="83">
        <v>12</v>
      </c>
      <c r="AJ47" s="83"/>
      <c r="AK47" s="83"/>
      <c r="AL47" s="83"/>
      <c r="AM47" s="63">
        <v>0.74890999999999996</v>
      </c>
      <c r="AN47" s="63">
        <v>308</v>
      </c>
      <c r="AP47" s="65"/>
      <c r="AQ47" s="66"/>
      <c r="AR47" s="66"/>
      <c r="AS47" s="11"/>
      <c r="AT47" s="11"/>
      <c r="AU47" s="11"/>
      <c r="AV47" s="11"/>
      <c r="AW47" s="11"/>
      <c r="AX47" s="11"/>
      <c r="AY47" s="11"/>
      <c r="AZ47" s="11"/>
      <c r="BA47" s="11"/>
      <c r="BC47" s="11"/>
      <c r="BD47" s="19"/>
      <c r="BE47" s="11"/>
    </row>
    <row r="48" spans="1:57" x14ac:dyDescent="0.3">
      <c r="A48" s="11"/>
      <c r="B48" s="11" t="s">
        <v>111</v>
      </c>
      <c r="C48" s="4" t="s">
        <v>99</v>
      </c>
      <c r="D48" s="4" t="s">
        <v>243</v>
      </c>
      <c r="E48" s="4"/>
      <c r="F48" s="42"/>
      <c r="G48" s="4"/>
      <c r="H48" s="4"/>
      <c r="I48" s="36"/>
      <c r="J48" s="4" t="s">
        <v>246</v>
      </c>
      <c r="K48" s="4"/>
      <c r="L48" s="4"/>
      <c r="M48" s="4"/>
      <c r="P48" s="4"/>
      <c r="Q48" s="4"/>
      <c r="R48" s="4"/>
      <c r="S48" s="4"/>
      <c r="T48" s="4"/>
      <c r="U48" s="4"/>
      <c r="V48" s="4"/>
      <c r="W48" s="4"/>
      <c r="X48" s="4"/>
      <c r="Y48" s="4"/>
      <c r="Z48" s="4"/>
      <c r="AA48" s="4"/>
      <c r="AB48" s="4"/>
      <c r="AC48" s="4"/>
      <c r="AD48" s="4"/>
      <c r="AE48" s="4"/>
      <c r="AF48" s="4"/>
      <c r="AG48" s="4"/>
      <c r="AH48" s="59"/>
      <c r="AI48" s="83">
        <v>12</v>
      </c>
      <c r="AJ48" s="83"/>
      <c r="AK48" s="83"/>
      <c r="AL48" s="83"/>
      <c r="AM48" s="63">
        <v>0.82815000000000005</v>
      </c>
      <c r="AN48" s="63">
        <v>318</v>
      </c>
      <c r="AP48" s="65"/>
      <c r="AQ48" s="66"/>
      <c r="AR48" s="66"/>
      <c r="AS48" s="11"/>
      <c r="AT48" s="11"/>
      <c r="AU48" s="11"/>
      <c r="AV48" s="11"/>
      <c r="AW48" s="11"/>
      <c r="AX48" s="11"/>
      <c r="AY48" s="11"/>
      <c r="AZ48" s="11"/>
      <c r="BA48" s="11"/>
      <c r="BC48" s="11"/>
      <c r="BD48" s="19"/>
      <c r="BE48" s="11"/>
    </row>
    <row r="49" spans="1:57" x14ac:dyDescent="0.3">
      <c r="A49" s="11"/>
      <c r="B49" s="11" t="s">
        <v>111</v>
      </c>
      <c r="C49" s="4" t="s">
        <v>99</v>
      </c>
      <c r="D49" s="4" t="s">
        <v>243</v>
      </c>
      <c r="E49" s="4"/>
      <c r="F49" s="42"/>
      <c r="G49" s="4"/>
      <c r="H49" s="4"/>
      <c r="I49" s="36"/>
      <c r="J49" s="4" t="s">
        <v>246</v>
      </c>
      <c r="K49" s="4"/>
      <c r="L49" s="4"/>
      <c r="M49" s="4"/>
      <c r="P49" s="4"/>
      <c r="Q49" s="4"/>
      <c r="R49" s="4"/>
      <c r="S49" s="4"/>
      <c r="T49" s="4"/>
      <c r="U49" s="4"/>
      <c r="V49" s="4"/>
      <c r="W49" s="4"/>
      <c r="X49" s="4"/>
      <c r="Y49" s="4"/>
      <c r="Z49" s="4"/>
      <c r="AA49" s="4"/>
      <c r="AB49" s="4"/>
      <c r="AC49" s="4"/>
      <c r="AD49" s="4"/>
      <c r="AE49" s="4"/>
      <c r="AF49" s="4"/>
      <c r="AG49" s="4"/>
      <c r="AH49" s="59"/>
      <c r="AI49" s="83">
        <v>12</v>
      </c>
      <c r="AJ49" s="83"/>
      <c r="AK49" s="83"/>
      <c r="AL49" s="83"/>
      <c r="AM49" s="63">
        <v>0.87614000000000003</v>
      </c>
      <c r="AN49" s="63">
        <v>328</v>
      </c>
      <c r="AP49" s="65"/>
      <c r="AQ49" s="66"/>
      <c r="AR49" s="66"/>
      <c r="AS49" s="11"/>
      <c r="AT49" s="11"/>
      <c r="AU49" s="11"/>
      <c r="AV49" s="11"/>
      <c r="AW49" s="11"/>
      <c r="AX49" s="11"/>
      <c r="AY49" s="11"/>
      <c r="AZ49" s="11"/>
      <c r="BA49" s="11"/>
      <c r="BC49" s="11"/>
      <c r="BD49" s="19"/>
      <c r="BE49" s="11"/>
    </row>
    <row r="50" spans="1:57" x14ac:dyDescent="0.3">
      <c r="A50" s="11"/>
      <c r="B50" s="11" t="s">
        <v>111</v>
      </c>
      <c r="C50" s="4" t="s">
        <v>99</v>
      </c>
      <c r="D50" s="4" t="s">
        <v>243</v>
      </c>
      <c r="E50" s="4"/>
      <c r="F50" s="42"/>
      <c r="G50" s="4"/>
      <c r="H50" s="4"/>
      <c r="I50" s="36"/>
      <c r="J50" s="4" t="s">
        <v>246</v>
      </c>
      <c r="K50" s="4"/>
      <c r="L50" s="4"/>
      <c r="M50" s="4"/>
      <c r="P50" s="4"/>
      <c r="Q50" s="4"/>
      <c r="R50" s="4"/>
      <c r="S50" s="4"/>
      <c r="T50" s="4"/>
      <c r="U50" s="4"/>
      <c r="V50" s="4"/>
      <c r="W50" s="4"/>
      <c r="X50" s="4"/>
      <c r="Y50" s="4"/>
      <c r="Z50" s="4"/>
      <c r="AA50" s="4"/>
      <c r="AB50" s="4"/>
      <c r="AC50" s="4"/>
      <c r="AD50" s="4"/>
      <c r="AE50" s="4"/>
      <c r="AF50" s="4"/>
      <c r="AG50" s="4"/>
      <c r="AH50" s="59"/>
      <c r="AI50" s="83">
        <v>12</v>
      </c>
      <c r="AJ50" s="83"/>
      <c r="AK50" s="83"/>
      <c r="AL50" s="83"/>
      <c r="AM50" s="63">
        <v>0.98731999999999998</v>
      </c>
      <c r="AN50" s="63">
        <v>338</v>
      </c>
      <c r="AP50" s="65"/>
      <c r="AQ50" s="66"/>
      <c r="AR50" s="66"/>
      <c r="AS50" s="11"/>
      <c r="AT50" s="11"/>
      <c r="AU50" s="11"/>
      <c r="AV50" s="11"/>
      <c r="AW50" s="11"/>
      <c r="AX50" s="11"/>
      <c r="AY50" s="11"/>
      <c r="AZ50" s="11"/>
      <c r="BA50" s="11"/>
      <c r="BC50" s="11"/>
      <c r="BD50" s="19"/>
      <c r="BE50" s="11"/>
    </row>
    <row r="51" spans="1:57" x14ac:dyDescent="0.3">
      <c r="A51" s="11"/>
      <c r="B51" s="11" t="s">
        <v>111</v>
      </c>
      <c r="C51" s="4" t="s">
        <v>99</v>
      </c>
      <c r="D51" s="4" t="s">
        <v>243</v>
      </c>
      <c r="E51" s="4"/>
      <c r="F51" s="42"/>
      <c r="G51" s="4"/>
      <c r="H51" s="4"/>
      <c r="I51" s="36"/>
      <c r="J51" s="4" t="s">
        <v>246</v>
      </c>
      <c r="K51" s="4"/>
      <c r="L51" s="4"/>
      <c r="M51" s="4"/>
      <c r="P51" s="4"/>
      <c r="Q51" s="4"/>
      <c r="R51" s="4"/>
      <c r="S51" s="4"/>
      <c r="T51" s="4"/>
      <c r="U51" s="4"/>
      <c r="V51" s="4"/>
      <c r="W51" s="4"/>
      <c r="X51" s="4"/>
      <c r="Y51" s="4"/>
      <c r="Z51" s="4"/>
      <c r="AA51" s="4"/>
      <c r="AB51" s="4"/>
      <c r="AC51" s="4"/>
      <c r="AD51" s="4"/>
      <c r="AE51" s="4"/>
      <c r="AF51" s="4"/>
      <c r="AG51" s="4"/>
      <c r="AH51" s="59"/>
      <c r="AI51" s="83">
        <v>12</v>
      </c>
      <c r="AJ51" s="83"/>
      <c r="AK51" s="83"/>
      <c r="AL51" s="83"/>
      <c r="AM51" s="63">
        <v>1.0527299999999999</v>
      </c>
      <c r="AN51" s="63">
        <v>348</v>
      </c>
      <c r="AP51" s="65"/>
      <c r="AQ51" s="66"/>
      <c r="AR51" s="66"/>
      <c r="AS51" s="11"/>
      <c r="AT51" s="11"/>
      <c r="AU51" s="11"/>
      <c r="AV51" s="11"/>
      <c r="AW51" s="11"/>
      <c r="AX51" s="11"/>
      <c r="AY51" s="11"/>
      <c r="AZ51" s="11"/>
      <c r="BA51" s="11"/>
      <c r="BC51" s="11"/>
      <c r="BD51" s="19"/>
      <c r="BE51" s="11"/>
    </row>
    <row r="52" spans="1:57" x14ac:dyDescent="0.3">
      <c r="A52" s="11"/>
      <c r="B52" s="11" t="s">
        <v>111</v>
      </c>
      <c r="C52" s="4" t="s">
        <v>99</v>
      </c>
      <c r="D52" s="4" t="s">
        <v>243</v>
      </c>
      <c r="E52" s="4"/>
      <c r="F52" s="42"/>
      <c r="G52" s="4"/>
      <c r="H52" s="4"/>
      <c r="I52" s="36"/>
      <c r="J52" s="4" t="s">
        <v>246</v>
      </c>
      <c r="K52" s="4"/>
      <c r="L52" s="4"/>
      <c r="M52" s="4"/>
      <c r="P52" s="4"/>
      <c r="Q52" s="4"/>
      <c r="R52" s="4"/>
      <c r="S52" s="4"/>
      <c r="T52" s="4"/>
      <c r="U52" s="4"/>
      <c r="V52" s="4"/>
      <c r="W52" s="4"/>
      <c r="X52" s="4"/>
      <c r="Y52" s="4"/>
      <c r="Z52" s="4"/>
      <c r="AA52" s="4"/>
      <c r="AB52" s="4"/>
      <c r="AC52" s="4"/>
      <c r="AD52" s="4"/>
      <c r="AE52" s="4"/>
      <c r="AF52" s="4"/>
      <c r="AG52" s="4"/>
      <c r="AH52" s="59"/>
      <c r="AI52" s="83">
        <v>12</v>
      </c>
      <c r="AJ52" s="83"/>
      <c r="AK52" s="83"/>
      <c r="AL52" s="83"/>
      <c r="AM52" s="63">
        <v>1.1604699999999999</v>
      </c>
      <c r="AN52" s="63">
        <v>358</v>
      </c>
      <c r="AP52" s="65"/>
      <c r="AQ52" s="66"/>
      <c r="AR52" s="66"/>
      <c r="AS52" s="11"/>
      <c r="AT52" s="11"/>
      <c r="AU52" s="11"/>
      <c r="AV52" s="11"/>
      <c r="AW52" s="11"/>
      <c r="AX52" s="11"/>
      <c r="AY52" s="11"/>
      <c r="AZ52" s="11"/>
      <c r="BA52" s="11"/>
      <c r="BC52" s="11"/>
      <c r="BD52" s="19"/>
      <c r="BE52" s="11"/>
    </row>
    <row r="53" spans="1:57" x14ac:dyDescent="0.3">
      <c r="A53" s="11"/>
      <c r="B53" s="11" t="s">
        <v>111</v>
      </c>
      <c r="C53" s="4" t="s">
        <v>99</v>
      </c>
      <c r="D53" s="4" t="s">
        <v>243</v>
      </c>
      <c r="E53" s="4"/>
      <c r="F53" s="42"/>
      <c r="G53" s="4"/>
      <c r="H53" s="4"/>
      <c r="I53" s="36"/>
      <c r="J53" s="4" t="s">
        <v>246</v>
      </c>
      <c r="K53" s="4"/>
      <c r="L53" s="4"/>
      <c r="M53" s="4"/>
      <c r="P53" s="4"/>
      <c r="Q53" s="4"/>
      <c r="R53" s="4"/>
      <c r="S53" s="4"/>
      <c r="T53" s="4"/>
      <c r="U53" s="4"/>
      <c r="V53" s="4"/>
      <c r="W53" s="4"/>
      <c r="X53" s="4"/>
      <c r="Y53" s="4"/>
      <c r="Z53" s="4"/>
      <c r="AA53" s="4"/>
      <c r="AB53" s="4"/>
      <c r="AC53" s="4"/>
      <c r="AD53" s="4"/>
      <c r="AE53" s="4"/>
      <c r="AF53" s="4"/>
      <c r="AG53" s="4"/>
      <c r="AH53" s="59">
        <v>0.18</v>
      </c>
      <c r="AI53" s="83">
        <v>12</v>
      </c>
      <c r="AJ53" s="83"/>
      <c r="AK53" s="83"/>
      <c r="AL53" s="83">
        <f>((AM53*AH53)/AN53)*10^6</f>
        <v>603.02934782608702</v>
      </c>
      <c r="AM53" s="63">
        <v>1.2328600000000001</v>
      </c>
      <c r="AN53" s="63">
        <v>368</v>
      </c>
      <c r="AP53" s="65"/>
      <c r="AQ53" s="66"/>
      <c r="AR53" s="66"/>
      <c r="AS53" s="11"/>
      <c r="AT53" s="11"/>
      <c r="AU53" s="11"/>
      <c r="AV53" s="11"/>
      <c r="AW53" s="11"/>
      <c r="AX53" s="11"/>
      <c r="AY53" s="11"/>
      <c r="AZ53" s="11"/>
      <c r="BA53" s="11"/>
      <c r="BC53" s="11"/>
      <c r="BD53" s="19"/>
      <c r="BE53" s="11"/>
    </row>
    <row r="54" spans="1:57" x14ac:dyDescent="0.3">
      <c r="A54" s="11"/>
      <c r="B54" s="11" t="s">
        <v>111</v>
      </c>
      <c r="C54" s="4" t="s">
        <v>99</v>
      </c>
      <c r="D54" s="4" t="s">
        <v>243</v>
      </c>
      <c r="E54" s="4"/>
      <c r="F54" s="42"/>
      <c r="G54" s="4"/>
      <c r="H54" s="4"/>
      <c r="I54" s="36"/>
      <c r="J54" s="4" t="s">
        <v>246</v>
      </c>
      <c r="K54" s="4"/>
      <c r="L54" s="4"/>
      <c r="M54" s="4"/>
      <c r="P54" s="4"/>
      <c r="Q54" s="4"/>
      <c r="R54" s="4"/>
      <c r="S54" s="4"/>
      <c r="T54" s="4"/>
      <c r="U54" s="4"/>
      <c r="V54" s="4"/>
      <c r="W54" s="4"/>
      <c r="X54" s="4"/>
      <c r="Y54" s="4"/>
      <c r="Z54" s="4"/>
      <c r="AA54" s="4"/>
      <c r="AB54" s="4"/>
      <c r="AC54" s="4"/>
      <c r="AD54" s="4"/>
      <c r="AE54" s="4"/>
      <c r="AF54" s="4"/>
      <c r="AG54" s="4"/>
      <c r="AH54" s="59"/>
      <c r="AI54" s="83">
        <v>12</v>
      </c>
      <c r="AJ54" s="83"/>
      <c r="AK54" s="83"/>
      <c r="AL54" s="83"/>
      <c r="AM54" s="63">
        <v>1.1766700000000001</v>
      </c>
      <c r="AN54" s="63">
        <v>378</v>
      </c>
      <c r="AP54" s="65"/>
      <c r="AQ54" s="66"/>
      <c r="AR54" s="66"/>
      <c r="AS54" s="11"/>
      <c r="AT54" s="11"/>
      <c r="AU54" s="11"/>
      <c r="AV54" s="11"/>
      <c r="AW54" s="11"/>
      <c r="AX54" s="11"/>
      <c r="AY54" s="11"/>
      <c r="AZ54" s="11"/>
      <c r="BA54" s="11"/>
      <c r="BC54" s="11"/>
      <c r="BD54" s="19"/>
      <c r="BE54" s="11"/>
    </row>
    <row r="55" spans="1:57" x14ac:dyDescent="0.3">
      <c r="A55" s="11"/>
      <c r="B55" s="11" t="s">
        <v>111</v>
      </c>
      <c r="C55" s="4" t="s">
        <v>99</v>
      </c>
      <c r="D55" s="4" t="s">
        <v>243</v>
      </c>
      <c r="E55" s="4"/>
      <c r="F55" s="42"/>
      <c r="G55" s="4"/>
      <c r="H55" s="4"/>
      <c r="I55" s="36"/>
      <c r="J55" s="4" t="s">
        <v>246</v>
      </c>
      <c r="K55" s="4"/>
      <c r="L55" s="4"/>
      <c r="M55" s="4"/>
      <c r="N55" t="s">
        <v>238</v>
      </c>
      <c r="O55" t="s">
        <v>118</v>
      </c>
      <c r="P55" s="4" t="s">
        <v>258</v>
      </c>
      <c r="Q55" s="4" t="s">
        <v>360</v>
      </c>
      <c r="R55" s="4" t="s">
        <v>113</v>
      </c>
      <c r="S55" s="4" t="s">
        <v>361</v>
      </c>
      <c r="T55" s="4" t="s">
        <v>364</v>
      </c>
      <c r="U55" s="4" t="s">
        <v>365</v>
      </c>
      <c r="V55" s="4" t="s">
        <v>367</v>
      </c>
      <c r="W55" s="4" t="s">
        <v>368</v>
      </c>
      <c r="X55" s="4" t="s">
        <v>139</v>
      </c>
      <c r="Y55" s="4" t="s">
        <v>370</v>
      </c>
      <c r="Z55" s="4" t="s">
        <v>371</v>
      </c>
      <c r="AA55" s="4" t="s">
        <v>372</v>
      </c>
      <c r="AB55" s="4" t="s">
        <v>375</v>
      </c>
      <c r="AC55" s="4" t="s">
        <v>377</v>
      </c>
      <c r="AD55" s="4" t="s">
        <v>379</v>
      </c>
      <c r="AE55" s="4">
        <v>30</v>
      </c>
      <c r="AF55" s="4" t="s">
        <v>140</v>
      </c>
      <c r="AG55" s="4"/>
      <c r="AH55" s="59">
        <v>0.15</v>
      </c>
      <c r="AI55" s="83">
        <v>13.5</v>
      </c>
      <c r="AJ55" s="83">
        <v>134.89979</v>
      </c>
      <c r="AK55" s="83">
        <v>150.63285999999999</v>
      </c>
      <c r="AL55" s="83">
        <v>305.63279999999997</v>
      </c>
      <c r="AM55" s="63">
        <v>1.2348162475822</v>
      </c>
      <c r="AN55" s="63">
        <v>298</v>
      </c>
      <c r="AO55" s="11">
        <v>298</v>
      </c>
      <c r="AP55" s="65"/>
      <c r="AQ55" s="66"/>
      <c r="AR55" s="66"/>
      <c r="AS55" s="11"/>
      <c r="AT55" s="11"/>
      <c r="AU55" s="11"/>
      <c r="AV55" s="11"/>
      <c r="AW55" s="11"/>
      <c r="AX55" s="11"/>
      <c r="AY55" s="11"/>
      <c r="AZ55" s="11" t="s">
        <v>383</v>
      </c>
      <c r="BA55" s="11" t="s">
        <v>383</v>
      </c>
      <c r="BC55" s="11"/>
      <c r="BD55" s="19" t="s">
        <v>68</v>
      </c>
      <c r="BE55" s="11" t="s">
        <v>381</v>
      </c>
    </row>
    <row r="56" spans="1:57" x14ac:dyDescent="0.3">
      <c r="A56" s="11"/>
      <c r="B56" s="11" t="s">
        <v>111</v>
      </c>
      <c r="C56" s="4" t="s">
        <v>99</v>
      </c>
      <c r="D56" s="4" t="s">
        <v>243</v>
      </c>
      <c r="E56" s="4"/>
      <c r="F56" s="42"/>
      <c r="G56" s="4"/>
      <c r="H56" s="4"/>
      <c r="I56" s="36"/>
      <c r="J56" s="4" t="s">
        <v>246</v>
      </c>
      <c r="K56" s="4"/>
      <c r="L56" s="4"/>
      <c r="M56" s="4"/>
      <c r="N56" t="s">
        <v>238</v>
      </c>
      <c r="O56" t="s">
        <v>118</v>
      </c>
      <c r="P56" s="4" t="s">
        <v>258</v>
      </c>
      <c r="Q56" s="4" t="s">
        <v>360</v>
      </c>
      <c r="R56" s="4" t="s">
        <v>113</v>
      </c>
      <c r="S56" s="4" t="s">
        <v>361</v>
      </c>
      <c r="T56" s="4" t="s">
        <v>364</v>
      </c>
      <c r="U56" s="4" t="s">
        <v>365</v>
      </c>
      <c r="V56" s="4" t="s">
        <v>367</v>
      </c>
      <c r="W56" s="4" t="s">
        <v>368</v>
      </c>
      <c r="X56" s="4" t="s">
        <v>139</v>
      </c>
      <c r="Y56" s="4" t="s">
        <v>370</v>
      </c>
      <c r="Z56" s="4" t="s">
        <v>371</v>
      </c>
      <c r="AA56" s="4" t="s">
        <v>372</v>
      </c>
      <c r="AB56" s="4" t="s">
        <v>375</v>
      </c>
      <c r="AC56" s="4" t="s">
        <v>377</v>
      </c>
      <c r="AD56" s="4" t="s">
        <v>379</v>
      </c>
      <c r="AE56" s="4">
        <v>30</v>
      </c>
      <c r="AF56" s="4" t="s">
        <v>140</v>
      </c>
      <c r="AG56" s="4"/>
      <c r="AH56" s="59">
        <v>0.15</v>
      </c>
      <c r="AI56" s="83">
        <v>15</v>
      </c>
      <c r="AJ56" s="83">
        <v>171.21331000000001</v>
      </c>
      <c r="AK56" s="83">
        <v>130.95638</v>
      </c>
      <c r="AL56" s="83">
        <v>292.83035000000001</v>
      </c>
      <c r="AM56" s="63">
        <v>1.1760154738878099</v>
      </c>
      <c r="AN56" s="63">
        <v>298</v>
      </c>
      <c r="AO56" s="11">
        <v>298</v>
      </c>
      <c r="AP56" s="65"/>
      <c r="AQ56" s="66"/>
      <c r="AR56" s="66"/>
      <c r="AS56" s="11"/>
      <c r="AT56" s="11"/>
      <c r="AU56" s="11"/>
      <c r="AV56" s="11"/>
      <c r="AW56" s="11"/>
      <c r="AX56" s="11"/>
      <c r="AY56" s="11"/>
      <c r="AZ56" s="11" t="s">
        <v>383</v>
      </c>
      <c r="BA56" s="11" t="s">
        <v>383</v>
      </c>
      <c r="BC56" s="11"/>
      <c r="BD56" s="19" t="s">
        <v>68</v>
      </c>
      <c r="BE56" s="11" t="s">
        <v>381</v>
      </c>
    </row>
    <row r="57" spans="1:57" ht="201" customHeight="1" x14ac:dyDescent="0.3">
      <c r="B57" s="11" t="s">
        <v>159</v>
      </c>
      <c r="C57" s="4" t="s">
        <v>182</v>
      </c>
      <c r="D57" s="4" t="s">
        <v>256</v>
      </c>
      <c r="E57" s="4" t="e" vm="3">
        <v>#VALUE!</v>
      </c>
      <c r="F57" s="42" t="s">
        <v>251</v>
      </c>
      <c r="G57" s="4"/>
      <c r="H57" s="4">
        <v>166.28200000000001</v>
      </c>
      <c r="I57" s="36">
        <f>((K57)*1000)/H57</f>
        <v>541.24920316089526</v>
      </c>
      <c r="J57" s="4" t="s">
        <v>252</v>
      </c>
      <c r="K57" s="4">
        <v>90</v>
      </c>
      <c r="L57" s="4"/>
      <c r="M57" s="4"/>
      <c r="N57" s="4" t="s">
        <v>253</v>
      </c>
      <c r="O57" s="4"/>
      <c r="P57" s="4" t="s">
        <v>258</v>
      </c>
      <c r="Q57" s="4"/>
      <c r="R57" s="4" t="s">
        <v>396</v>
      </c>
      <c r="S57" s="4" t="s">
        <v>397</v>
      </c>
      <c r="T57" s="4"/>
      <c r="U57" s="4" t="s">
        <v>398</v>
      </c>
      <c r="V57" s="4" t="s">
        <v>399</v>
      </c>
      <c r="W57" s="4" t="s">
        <v>400</v>
      </c>
      <c r="X57" s="4" t="s">
        <v>401</v>
      </c>
      <c r="Y57" s="4" t="s">
        <v>403</v>
      </c>
      <c r="Z57" s="4" t="s">
        <v>404</v>
      </c>
      <c r="AA57" s="4">
        <v>323</v>
      </c>
      <c r="AB57" s="4"/>
      <c r="AC57" s="4" t="s">
        <v>376</v>
      </c>
      <c r="AD57" s="4"/>
      <c r="AE57" s="4">
        <v>7200</v>
      </c>
      <c r="AF57" s="4" t="s">
        <v>405</v>
      </c>
      <c r="AG57" s="4"/>
      <c r="AH57" s="59"/>
      <c r="AJ57" s="25">
        <v>8.67250042699696E-3</v>
      </c>
      <c r="AK57" s="25">
        <v>148.88107849779101</v>
      </c>
      <c r="AL57" s="11">
        <f>((AK57)^2*AJ57)/10000</f>
        <v>1.9223096328901911E-2</v>
      </c>
      <c r="AN57" s="63">
        <v>323</v>
      </c>
      <c r="AO57" s="11">
        <f>25+273.15</f>
        <v>298.14999999999998</v>
      </c>
      <c r="AP57" s="65" t="s">
        <v>161</v>
      </c>
      <c r="AQ57" s="66">
        <v>148.88107849779101</v>
      </c>
      <c r="AR57" s="66">
        <v>8.67250042699696E-3</v>
      </c>
      <c r="AS57" s="11"/>
      <c r="AT57" s="11"/>
      <c r="AU57" s="11"/>
      <c r="AV57" s="11"/>
      <c r="AW57" s="11"/>
      <c r="AX57" s="11"/>
      <c r="AY57" s="11"/>
      <c r="AZ57" s="59" t="s">
        <v>406</v>
      </c>
      <c r="BA57" s="59" t="s">
        <v>407</v>
      </c>
      <c r="BB57" s="11">
        <v>3</v>
      </c>
      <c r="BC57" s="59" t="s">
        <v>408</v>
      </c>
      <c r="BD57" s="19" t="s">
        <v>158</v>
      </c>
      <c r="BE57" s="11" t="s">
        <v>409</v>
      </c>
    </row>
    <row r="58" spans="1:57" x14ac:dyDescent="0.3">
      <c r="A58" s="11"/>
      <c r="B58" s="11" t="s">
        <v>159</v>
      </c>
      <c r="C58" s="4" t="s">
        <v>182</v>
      </c>
      <c r="D58" s="4" t="s">
        <v>256</v>
      </c>
      <c r="E58" s="4"/>
      <c r="F58" s="42" t="s">
        <v>251</v>
      </c>
      <c r="G58" s="4"/>
      <c r="H58" s="4">
        <v>166.28200000000001</v>
      </c>
      <c r="I58" s="36">
        <f t="shared" ref="I58:I121" si="5">((K58)*1000)/H58</f>
        <v>541.24920316089526</v>
      </c>
      <c r="J58" s="4" t="s">
        <v>259</v>
      </c>
      <c r="K58" s="4">
        <v>90</v>
      </c>
      <c r="L58" s="4"/>
      <c r="M58" s="4"/>
      <c r="N58" s="4" t="s">
        <v>253</v>
      </c>
      <c r="O58" s="4"/>
      <c r="P58" s="4" t="s">
        <v>258</v>
      </c>
      <c r="Q58" s="4"/>
      <c r="R58" s="4" t="s">
        <v>396</v>
      </c>
      <c r="S58" s="4" t="s">
        <v>397</v>
      </c>
      <c r="T58" s="4"/>
      <c r="U58" s="4" t="s">
        <v>398</v>
      </c>
      <c r="V58" s="4" t="s">
        <v>399</v>
      </c>
      <c r="W58" s="4" t="s">
        <v>400</v>
      </c>
      <c r="X58" s="4" t="s">
        <v>401</v>
      </c>
      <c r="Y58" s="4" t="s">
        <v>403</v>
      </c>
      <c r="Z58" s="4" t="s">
        <v>404</v>
      </c>
      <c r="AA58" s="4">
        <v>323</v>
      </c>
      <c r="AB58" s="4"/>
      <c r="AC58" s="4" t="s">
        <v>376</v>
      </c>
      <c r="AD58" s="4"/>
      <c r="AE58" s="4">
        <v>7200</v>
      </c>
      <c r="AF58" s="4" t="s">
        <v>405</v>
      </c>
      <c r="AG58" s="4"/>
      <c r="AH58" s="59"/>
      <c r="AJ58" s="25">
        <v>1.16683731510548E-2</v>
      </c>
      <c r="AK58" s="25">
        <v>146.08615329640199</v>
      </c>
      <c r="AL58" s="11">
        <f t="shared" ref="AL58:AL121" si="6">((AK58)^2*AJ58)/10000</f>
        <v>2.4901666718780458E-2</v>
      </c>
      <c r="AN58" s="63">
        <v>323</v>
      </c>
      <c r="AO58" s="11">
        <f t="shared" ref="AO58:AO73" si="7">25+273.15</f>
        <v>298.14999999999998</v>
      </c>
      <c r="AP58" s="65" t="s">
        <v>161</v>
      </c>
      <c r="AQ58" s="66">
        <v>146.08615329640199</v>
      </c>
      <c r="AR58" s="66">
        <v>1.16683731510548E-2</v>
      </c>
      <c r="AS58" s="11"/>
      <c r="AT58" s="11"/>
      <c r="AU58" s="11"/>
      <c r="AV58" s="11"/>
      <c r="AW58" s="11"/>
      <c r="AX58" s="11"/>
      <c r="AY58" s="11"/>
      <c r="AZ58" s="11"/>
      <c r="BA58" s="11"/>
      <c r="BC58" s="11"/>
      <c r="BD58" s="19" t="s">
        <v>158</v>
      </c>
      <c r="BE58" s="11" t="s">
        <v>409</v>
      </c>
    </row>
    <row r="59" spans="1:57" x14ac:dyDescent="0.3">
      <c r="A59" s="11"/>
      <c r="B59" s="11" t="s">
        <v>159</v>
      </c>
      <c r="C59" s="4" t="s">
        <v>182</v>
      </c>
      <c r="D59" s="4" t="s">
        <v>256</v>
      </c>
      <c r="E59" s="4"/>
      <c r="F59" s="42" t="s">
        <v>251</v>
      </c>
      <c r="G59" s="4"/>
      <c r="H59" s="4">
        <v>166.28200000000001</v>
      </c>
      <c r="I59" s="36">
        <f t="shared" si="5"/>
        <v>541.24920316089526</v>
      </c>
      <c r="J59" s="4" t="s">
        <v>259</v>
      </c>
      <c r="K59" s="4">
        <v>90</v>
      </c>
      <c r="L59" s="4"/>
      <c r="M59" s="4"/>
      <c r="N59" s="4" t="s">
        <v>253</v>
      </c>
      <c r="O59" s="4"/>
      <c r="P59" s="4" t="s">
        <v>258</v>
      </c>
      <c r="Q59" s="4"/>
      <c r="R59" s="4" t="s">
        <v>396</v>
      </c>
      <c r="S59" s="4" t="s">
        <v>397</v>
      </c>
      <c r="T59" s="4"/>
      <c r="U59" s="4" t="s">
        <v>398</v>
      </c>
      <c r="V59" s="4" t="s">
        <v>399</v>
      </c>
      <c r="W59" s="4" t="s">
        <v>400</v>
      </c>
      <c r="X59" s="4" t="s">
        <v>401</v>
      </c>
      <c r="Y59" s="4" t="s">
        <v>403</v>
      </c>
      <c r="Z59" s="4" t="s">
        <v>404</v>
      </c>
      <c r="AA59" s="4">
        <v>323</v>
      </c>
      <c r="AB59" s="4"/>
      <c r="AC59" s="4" t="s">
        <v>376</v>
      </c>
      <c r="AD59" s="4"/>
      <c r="AE59" s="4">
        <v>7200</v>
      </c>
      <c r="AF59" s="4" t="s">
        <v>405</v>
      </c>
      <c r="AG59" s="4"/>
      <c r="AH59" s="59"/>
      <c r="AJ59" s="25">
        <v>1.5886598793495701E-2</v>
      </c>
      <c r="AK59" s="25">
        <v>141.99183590016</v>
      </c>
      <c r="AL59" s="11">
        <f t="shared" si="6"/>
        <v>3.2030054439378751E-2</v>
      </c>
      <c r="AN59" s="63">
        <v>323</v>
      </c>
      <c r="AO59" s="11">
        <f t="shared" si="7"/>
        <v>298.14999999999998</v>
      </c>
      <c r="AP59" s="65" t="s">
        <v>161</v>
      </c>
      <c r="AQ59" s="66">
        <v>141.99183590016</v>
      </c>
      <c r="AR59" s="66">
        <v>1.5886598793495701E-2</v>
      </c>
      <c r="AS59" s="11"/>
      <c r="AT59" s="11"/>
      <c r="AU59" s="11"/>
      <c r="AV59" s="11"/>
      <c r="AW59" s="11"/>
      <c r="AX59" s="11"/>
      <c r="AY59" s="11"/>
      <c r="AZ59" s="11"/>
      <c r="BA59" s="11"/>
      <c r="BC59" s="11"/>
      <c r="BD59" s="19" t="s">
        <v>158</v>
      </c>
      <c r="BE59" s="11" t="s">
        <v>409</v>
      </c>
    </row>
    <row r="60" spans="1:57" x14ac:dyDescent="0.3">
      <c r="A60" s="11"/>
      <c r="B60" s="11" t="s">
        <v>159</v>
      </c>
      <c r="C60" s="4" t="s">
        <v>182</v>
      </c>
      <c r="D60" s="4" t="s">
        <v>256</v>
      </c>
      <c r="E60" s="4"/>
      <c r="F60" s="42" t="s">
        <v>251</v>
      </c>
      <c r="G60" s="4"/>
      <c r="H60" s="4">
        <v>166.28200000000001</v>
      </c>
      <c r="I60" s="36">
        <f t="shared" si="5"/>
        <v>541.24920316089526</v>
      </c>
      <c r="J60" s="4" t="s">
        <v>259</v>
      </c>
      <c r="K60" s="4">
        <v>90</v>
      </c>
      <c r="L60" s="4"/>
      <c r="M60" s="4"/>
      <c r="N60" s="4" t="s">
        <v>253</v>
      </c>
      <c r="O60" s="4"/>
      <c r="P60" s="4" t="s">
        <v>258</v>
      </c>
      <c r="Q60" s="4"/>
      <c r="R60" s="4" t="s">
        <v>396</v>
      </c>
      <c r="S60" s="4" t="s">
        <v>397</v>
      </c>
      <c r="T60" s="4"/>
      <c r="U60" s="4" t="s">
        <v>398</v>
      </c>
      <c r="V60" s="4" t="s">
        <v>399</v>
      </c>
      <c r="W60" s="4" t="s">
        <v>400</v>
      </c>
      <c r="X60" s="4" t="s">
        <v>401</v>
      </c>
      <c r="Y60" s="4" t="s">
        <v>403</v>
      </c>
      <c r="Z60" s="4" t="s">
        <v>404</v>
      </c>
      <c r="AA60" s="4">
        <v>323</v>
      </c>
      <c r="AB60" s="4"/>
      <c r="AC60" s="4" t="s">
        <v>376</v>
      </c>
      <c r="AD60" s="4"/>
      <c r="AE60" s="4">
        <v>7200</v>
      </c>
      <c r="AF60" s="4" t="s">
        <v>405</v>
      </c>
      <c r="AG60" s="4"/>
      <c r="AH60" s="59"/>
      <c r="AJ60" s="25">
        <v>2.1629752319215299E-2</v>
      </c>
      <c r="AK60" s="25">
        <v>138.01226883831299</v>
      </c>
      <c r="AL60" s="11">
        <f t="shared" si="6"/>
        <v>4.1199024907671293E-2</v>
      </c>
      <c r="AN60" s="63">
        <v>323</v>
      </c>
      <c r="AO60" s="11">
        <f t="shared" si="7"/>
        <v>298.14999999999998</v>
      </c>
      <c r="AP60" s="65" t="s">
        <v>161</v>
      </c>
      <c r="AQ60" s="66">
        <v>138.01226883831299</v>
      </c>
      <c r="AR60" s="66">
        <v>2.1629752319215299E-2</v>
      </c>
      <c r="AS60" s="11"/>
      <c r="AT60" s="11"/>
      <c r="AU60" s="11"/>
      <c r="AV60" s="11"/>
      <c r="AW60" s="11"/>
      <c r="AX60" s="11"/>
      <c r="AY60" s="11"/>
      <c r="AZ60" s="11"/>
      <c r="BA60" s="11"/>
      <c r="BC60" s="11"/>
      <c r="BD60" s="19" t="s">
        <v>158</v>
      </c>
      <c r="BE60" s="11" t="s">
        <v>409</v>
      </c>
    </row>
    <row r="61" spans="1:57" x14ac:dyDescent="0.3">
      <c r="A61" s="11"/>
      <c r="B61" s="11" t="s">
        <v>159</v>
      </c>
      <c r="C61" s="4" t="s">
        <v>182</v>
      </c>
      <c r="D61" s="4" t="s">
        <v>256</v>
      </c>
      <c r="E61" s="4"/>
      <c r="F61" s="42" t="s">
        <v>251</v>
      </c>
      <c r="G61" s="4"/>
      <c r="H61" s="4">
        <v>166.28200000000001</v>
      </c>
      <c r="I61" s="36">
        <f t="shared" si="5"/>
        <v>541.24920316089526</v>
      </c>
      <c r="J61" s="4" t="s">
        <v>259</v>
      </c>
      <c r="K61" s="4">
        <v>90</v>
      </c>
      <c r="L61" s="4"/>
      <c r="M61" s="4"/>
      <c r="N61" s="4" t="s">
        <v>253</v>
      </c>
      <c r="O61" s="4"/>
      <c r="P61" s="4" t="s">
        <v>258</v>
      </c>
      <c r="Q61" s="4"/>
      <c r="R61" s="4" t="s">
        <v>396</v>
      </c>
      <c r="S61" s="4" t="s">
        <v>397</v>
      </c>
      <c r="T61" s="4"/>
      <c r="U61" s="4" t="s">
        <v>398</v>
      </c>
      <c r="V61" s="4" t="s">
        <v>399</v>
      </c>
      <c r="W61" s="4" t="s">
        <v>400</v>
      </c>
      <c r="X61" s="4" t="s">
        <v>401</v>
      </c>
      <c r="Y61" s="4" t="s">
        <v>403</v>
      </c>
      <c r="Z61" s="4" t="s">
        <v>404</v>
      </c>
      <c r="AA61" s="4">
        <v>323</v>
      </c>
      <c r="AB61" s="4"/>
      <c r="AC61" s="4" t="s">
        <v>376</v>
      </c>
      <c r="AD61" s="4"/>
      <c r="AE61" s="4">
        <v>7200</v>
      </c>
      <c r="AF61" s="4" t="s">
        <v>405</v>
      </c>
      <c r="AG61" s="4"/>
      <c r="AH61" s="59"/>
      <c r="AJ61" s="25">
        <v>2.94491093702288E-2</v>
      </c>
      <c r="AK61" s="25">
        <v>135.42138239277401</v>
      </c>
      <c r="AL61" s="11">
        <f t="shared" si="6"/>
        <v>5.4006576811449096E-2</v>
      </c>
      <c r="AN61" s="63">
        <v>323</v>
      </c>
      <c r="AO61" s="11">
        <f t="shared" si="7"/>
        <v>298.14999999999998</v>
      </c>
      <c r="AP61" s="65" t="s">
        <v>161</v>
      </c>
      <c r="AQ61" s="66">
        <v>135.42138239277401</v>
      </c>
      <c r="AR61" s="66">
        <v>2.94491093702288E-2</v>
      </c>
      <c r="AS61" s="11"/>
      <c r="AT61" s="11"/>
      <c r="AU61" s="11"/>
      <c r="AV61" s="11"/>
      <c r="AW61" s="11"/>
      <c r="AX61" s="11"/>
      <c r="AY61" s="11"/>
      <c r="AZ61" s="11"/>
      <c r="BA61" s="11"/>
      <c r="BC61" s="11"/>
      <c r="BD61" s="19" t="s">
        <v>158</v>
      </c>
      <c r="BE61" s="11" t="s">
        <v>409</v>
      </c>
    </row>
    <row r="62" spans="1:57" x14ac:dyDescent="0.3">
      <c r="A62" s="11"/>
      <c r="B62" s="11" t="s">
        <v>159</v>
      </c>
      <c r="C62" s="4" t="s">
        <v>182</v>
      </c>
      <c r="D62" s="4" t="s">
        <v>256</v>
      </c>
      <c r="E62" s="4"/>
      <c r="F62" s="42" t="s">
        <v>251</v>
      </c>
      <c r="G62" s="4"/>
      <c r="H62" s="4">
        <v>166.28200000000001</v>
      </c>
      <c r="I62" s="36">
        <f t="shared" si="5"/>
        <v>541.24920316089526</v>
      </c>
      <c r="J62" s="4" t="s">
        <v>259</v>
      </c>
      <c r="K62" s="4">
        <v>90</v>
      </c>
      <c r="L62" s="4"/>
      <c r="M62" s="4"/>
      <c r="N62" s="4" t="s">
        <v>253</v>
      </c>
      <c r="O62" s="4"/>
      <c r="P62" s="4" t="s">
        <v>258</v>
      </c>
      <c r="Q62" s="4"/>
      <c r="R62" s="4" t="s">
        <v>396</v>
      </c>
      <c r="S62" s="4" t="s">
        <v>397</v>
      </c>
      <c r="T62" s="4"/>
      <c r="U62" s="4" t="s">
        <v>398</v>
      </c>
      <c r="V62" s="4" t="s">
        <v>399</v>
      </c>
      <c r="W62" s="4" t="s">
        <v>400</v>
      </c>
      <c r="X62" s="4" t="s">
        <v>401</v>
      </c>
      <c r="Y62" s="4" t="s">
        <v>403</v>
      </c>
      <c r="Z62" s="4" t="s">
        <v>404</v>
      </c>
      <c r="AA62" s="4">
        <v>323</v>
      </c>
      <c r="AB62" s="4"/>
      <c r="AC62" s="4" t="s">
        <v>376</v>
      </c>
      <c r="AD62" s="4"/>
      <c r="AE62" s="4">
        <v>7200</v>
      </c>
      <c r="AF62" s="4" t="s">
        <v>405</v>
      </c>
      <c r="AG62" s="4"/>
      <c r="AH62" s="59"/>
      <c r="AJ62" s="25">
        <v>3.96221597209011E-2</v>
      </c>
      <c r="AK62" s="25">
        <v>132.879134322868</v>
      </c>
      <c r="AL62" s="11">
        <f t="shared" si="6"/>
        <v>6.9960309898616138E-2</v>
      </c>
      <c r="AN62" s="63">
        <v>323</v>
      </c>
      <c r="AO62" s="11">
        <f t="shared" si="7"/>
        <v>298.14999999999998</v>
      </c>
      <c r="AP62" s="65" t="s">
        <v>161</v>
      </c>
      <c r="AQ62" s="66">
        <v>132.879134322868</v>
      </c>
      <c r="AR62" s="66">
        <v>3.96221597209011E-2</v>
      </c>
      <c r="AS62" s="11"/>
      <c r="AT62" s="11"/>
      <c r="AU62" s="11"/>
      <c r="AV62" s="11"/>
      <c r="AW62" s="11"/>
      <c r="AX62" s="11"/>
      <c r="AY62" s="11"/>
      <c r="AZ62" s="11"/>
      <c r="BA62" s="11"/>
      <c r="BC62" s="11"/>
      <c r="BD62" s="19" t="s">
        <v>158</v>
      </c>
      <c r="BE62" s="11" t="s">
        <v>409</v>
      </c>
    </row>
    <row r="63" spans="1:57" x14ac:dyDescent="0.3">
      <c r="A63" s="11"/>
      <c r="B63" s="11" t="s">
        <v>159</v>
      </c>
      <c r="C63" s="4" t="s">
        <v>182</v>
      </c>
      <c r="D63" s="4" t="s">
        <v>256</v>
      </c>
      <c r="E63" s="4"/>
      <c r="F63" s="42" t="s">
        <v>251</v>
      </c>
      <c r="G63" s="4"/>
      <c r="H63" s="4">
        <v>166.28200000000001</v>
      </c>
      <c r="I63" s="36">
        <f t="shared" si="5"/>
        <v>541.24920316089526</v>
      </c>
      <c r="J63" s="4" t="s">
        <v>259</v>
      </c>
      <c r="K63" s="4">
        <v>90</v>
      </c>
      <c r="L63" s="4"/>
      <c r="M63" s="4"/>
      <c r="N63" s="4" t="s">
        <v>253</v>
      </c>
      <c r="O63" s="4"/>
      <c r="P63" s="4" t="s">
        <v>258</v>
      </c>
      <c r="Q63" s="4"/>
      <c r="R63" s="4" t="s">
        <v>396</v>
      </c>
      <c r="S63" s="4" t="s">
        <v>397</v>
      </c>
      <c r="T63" s="4"/>
      <c r="U63" s="4" t="s">
        <v>398</v>
      </c>
      <c r="V63" s="4" t="s">
        <v>399</v>
      </c>
      <c r="W63" s="4" t="s">
        <v>400</v>
      </c>
      <c r="X63" s="4" t="s">
        <v>401</v>
      </c>
      <c r="Y63" s="4" t="s">
        <v>403</v>
      </c>
      <c r="Z63" s="4" t="s">
        <v>404</v>
      </c>
      <c r="AA63" s="4">
        <v>323</v>
      </c>
      <c r="AB63" s="4"/>
      <c r="AC63" s="4" t="s">
        <v>376</v>
      </c>
      <c r="AD63" s="4"/>
      <c r="AE63" s="4">
        <v>7200</v>
      </c>
      <c r="AF63" s="4" t="s">
        <v>405</v>
      </c>
      <c r="AG63" s="4"/>
      <c r="AH63" s="59"/>
      <c r="AJ63" s="25">
        <v>5.2058882989849203E-2</v>
      </c>
      <c r="AK63" s="25">
        <v>127.936918123422</v>
      </c>
      <c r="AL63" s="11">
        <f t="shared" si="6"/>
        <v>8.5209224922472987E-2</v>
      </c>
      <c r="AN63" s="63">
        <v>323</v>
      </c>
      <c r="AO63" s="11">
        <f t="shared" si="7"/>
        <v>298.14999999999998</v>
      </c>
      <c r="AP63" s="65" t="s">
        <v>161</v>
      </c>
      <c r="AQ63" s="66">
        <v>127.936918123422</v>
      </c>
      <c r="AR63" s="66">
        <v>5.2058882989849203E-2</v>
      </c>
      <c r="AS63" s="11"/>
      <c r="AT63" s="11"/>
      <c r="AU63" s="11"/>
      <c r="AV63" s="11"/>
      <c r="AW63" s="11"/>
      <c r="AX63" s="11"/>
      <c r="AY63" s="11"/>
      <c r="AZ63" s="11"/>
      <c r="BA63" s="11"/>
      <c r="BC63" s="11"/>
      <c r="BD63" s="19" t="s">
        <v>158</v>
      </c>
      <c r="BE63" s="11" t="s">
        <v>409</v>
      </c>
    </row>
    <row r="64" spans="1:57" x14ac:dyDescent="0.3">
      <c r="A64" s="11"/>
      <c r="B64" s="11" t="s">
        <v>159</v>
      </c>
      <c r="C64" s="4" t="s">
        <v>182</v>
      </c>
      <c r="D64" s="4" t="s">
        <v>256</v>
      </c>
      <c r="E64" s="4"/>
      <c r="F64" s="42" t="s">
        <v>251</v>
      </c>
      <c r="G64" s="4"/>
      <c r="H64" s="4">
        <v>166.28200000000001</v>
      </c>
      <c r="I64" s="36">
        <f t="shared" si="5"/>
        <v>541.24920316089526</v>
      </c>
      <c r="J64" s="4" t="s">
        <v>259</v>
      </c>
      <c r="K64" s="4">
        <v>90</v>
      </c>
      <c r="L64" s="4"/>
      <c r="M64" s="4"/>
      <c r="N64" s="4" t="s">
        <v>253</v>
      </c>
      <c r="O64" s="4"/>
      <c r="P64" s="4" t="s">
        <v>258</v>
      </c>
      <c r="Q64" s="4"/>
      <c r="R64" s="4" t="s">
        <v>396</v>
      </c>
      <c r="S64" s="4" t="s">
        <v>397</v>
      </c>
      <c r="T64" s="4"/>
      <c r="U64" s="4" t="s">
        <v>398</v>
      </c>
      <c r="V64" s="4" t="s">
        <v>399</v>
      </c>
      <c r="W64" s="4" t="s">
        <v>400</v>
      </c>
      <c r="X64" s="4" t="s">
        <v>401</v>
      </c>
      <c r="Y64" s="4" t="s">
        <v>403</v>
      </c>
      <c r="Z64" s="4" t="s">
        <v>404</v>
      </c>
      <c r="AA64" s="4">
        <v>323</v>
      </c>
      <c r="AB64" s="4"/>
      <c r="AC64" s="4" t="s">
        <v>376</v>
      </c>
      <c r="AD64" s="4"/>
      <c r="AE64" s="4">
        <v>7200</v>
      </c>
      <c r="AF64" s="4" t="s">
        <v>405</v>
      </c>
      <c r="AG64" s="4"/>
      <c r="AH64" s="59"/>
      <c r="AJ64" s="25">
        <v>7.1724925049475502E-2</v>
      </c>
      <c r="AK64" s="25">
        <v>123.178519353902</v>
      </c>
      <c r="AL64" s="11">
        <f t="shared" si="6"/>
        <v>0.10882785315571183</v>
      </c>
      <c r="AN64" s="63">
        <v>323</v>
      </c>
      <c r="AO64" s="11">
        <f t="shared" si="7"/>
        <v>298.14999999999998</v>
      </c>
      <c r="AP64" s="65" t="s">
        <v>161</v>
      </c>
      <c r="AQ64" s="66">
        <v>123.178519353902</v>
      </c>
      <c r="AR64" s="66">
        <v>7.1724925049475502E-2</v>
      </c>
      <c r="AS64" s="11"/>
      <c r="AT64" s="11"/>
      <c r="AU64" s="11"/>
      <c r="AV64" s="11"/>
      <c r="AW64" s="11"/>
      <c r="AX64" s="11"/>
      <c r="AY64" s="11"/>
      <c r="AZ64" s="11"/>
      <c r="BA64" s="11"/>
      <c r="BC64" s="11"/>
      <c r="BD64" s="19" t="s">
        <v>158</v>
      </c>
      <c r="BE64" s="11" t="s">
        <v>409</v>
      </c>
    </row>
    <row r="65" spans="1:57" x14ac:dyDescent="0.3">
      <c r="A65" s="11"/>
      <c r="B65" s="11" t="s">
        <v>159</v>
      </c>
      <c r="C65" s="4" t="s">
        <v>182</v>
      </c>
      <c r="D65" s="4" t="s">
        <v>256</v>
      </c>
      <c r="E65" s="4"/>
      <c r="F65" s="42" t="s">
        <v>251</v>
      </c>
      <c r="G65" s="4"/>
      <c r="H65" s="4">
        <v>166.28200000000001</v>
      </c>
      <c r="I65" s="36">
        <f t="shared" si="5"/>
        <v>541.24920316089526</v>
      </c>
      <c r="J65" s="4" t="s">
        <v>259</v>
      </c>
      <c r="K65" s="4">
        <v>90</v>
      </c>
      <c r="L65" s="4"/>
      <c r="M65" s="4"/>
      <c r="N65" s="4" t="s">
        <v>253</v>
      </c>
      <c r="O65" s="4"/>
      <c r="P65" s="4" t="s">
        <v>258</v>
      </c>
      <c r="Q65" s="4"/>
      <c r="R65" s="4" t="s">
        <v>396</v>
      </c>
      <c r="S65" s="4" t="s">
        <v>397</v>
      </c>
      <c r="T65" s="4"/>
      <c r="U65" s="4" t="s">
        <v>398</v>
      </c>
      <c r="V65" s="4" t="s">
        <v>399</v>
      </c>
      <c r="W65" s="4" t="s">
        <v>400</v>
      </c>
      <c r="X65" s="4" t="s">
        <v>401</v>
      </c>
      <c r="Y65" s="4" t="s">
        <v>403</v>
      </c>
      <c r="Z65" s="4" t="s">
        <v>404</v>
      </c>
      <c r="AA65" s="4">
        <v>323</v>
      </c>
      <c r="AB65" s="4"/>
      <c r="AC65" s="4" t="s">
        <v>376</v>
      </c>
      <c r="AD65" s="4"/>
      <c r="AE65" s="4">
        <v>7200</v>
      </c>
      <c r="AF65" s="4" t="s">
        <v>405</v>
      </c>
      <c r="AG65" s="4"/>
      <c r="AH65" s="59"/>
      <c r="AJ65" s="25">
        <v>9.4238161344765606E-2</v>
      </c>
      <c r="AK65" s="25">
        <v>119.72622806376999</v>
      </c>
      <c r="AL65" s="11">
        <f t="shared" si="6"/>
        <v>0.13508446432803944</v>
      </c>
      <c r="AN65" s="63">
        <v>323</v>
      </c>
      <c r="AO65" s="11">
        <f t="shared" si="7"/>
        <v>298.14999999999998</v>
      </c>
      <c r="AP65" s="65" t="s">
        <v>161</v>
      </c>
      <c r="AQ65" s="66">
        <v>119.72622806376999</v>
      </c>
      <c r="AR65" s="66">
        <v>9.4238161344765606E-2</v>
      </c>
      <c r="AS65" s="11"/>
      <c r="AT65" s="11"/>
      <c r="AU65" s="11"/>
      <c r="AV65" s="11"/>
      <c r="AW65" s="11"/>
      <c r="AX65" s="11"/>
      <c r="AY65" s="11"/>
      <c r="AZ65" s="11"/>
      <c r="BA65" s="11"/>
      <c r="BC65" s="11"/>
      <c r="BD65" s="19" t="s">
        <v>158</v>
      </c>
      <c r="BE65" s="11" t="s">
        <v>409</v>
      </c>
    </row>
    <row r="66" spans="1:57" x14ac:dyDescent="0.3">
      <c r="A66" s="11"/>
      <c r="B66" s="11" t="s">
        <v>159</v>
      </c>
      <c r="C66" s="4" t="s">
        <v>182</v>
      </c>
      <c r="D66" s="4" t="s">
        <v>256</v>
      </c>
      <c r="E66" s="4"/>
      <c r="F66" s="42" t="s">
        <v>251</v>
      </c>
      <c r="G66" s="4"/>
      <c r="H66" s="4">
        <v>166.28200000000001</v>
      </c>
      <c r="I66" s="36">
        <f t="shared" si="5"/>
        <v>541.24920316089526</v>
      </c>
      <c r="J66" s="4" t="s">
        <v>259</v>
      </c>
      <c r="K66" s="4">
        <v>90</v>
      </c>
      <c r="L66" s="4"/>
      <c r="M66" s="4"/>
      <c r="N66" s="4" t="s">
        <v>253</v>
      </c>
      <c r="O66" s="4"/>
      <c r="P66" s="4" t="s">
        <v>258</v>
      </c>
      <c r="Q66" s="4"/>
      <c r="R66" s="4" t="s">
        <v>396</v>
      </c>
      <c r="S66" s="4" t="s">
        <v>397</v>
      </c>
      <c r="T66" s="4"/>
      <c r="U66" s="4" t="s">
        <v>398</v>
      </c>
      <c r="V66" s="4" t="s">
        <v>399</v>
      </c>
      <c r="W66" s="4" t="s">
        <v>400</v>
      </c>
      <c r="X66" s="4" t="s">
        <v>401</v>
      </c>
      <c r="Y66" s="4" t="s">
        <v>403</v>
      </c>
      <c r="Z66" s="4" t="s">
        <v>404</v>
      </c>
      <c r="AA66" s="4">
        <v>323</v>
      </c>
      <c r="AB66" s="4"/>
      <c r="AC66" s="4" t="s">
        <v>376</v>
      </c>
      <c r="AD66" s="4"/>
      <c r="AE66" s="4">
        <v>7200</v>
      </c>
      <c r="AF66" s="4" t="s">
        <v>405</v>
      </c>
      <c r="AG66" s="4"/>
      <c r="AH66" s="59"/>
      <c r="AJ66" s="25">
        <v>0.13138830229485801</v>
      </c>
      <c r="AK66" s="25">
        <v>114.186081265043</v>
      </c>
      <c r="AL66" s="11">
        <f t="shared" si="6"/>
        <v>0.17131012756491518</v>
      </c>
      <c r="AN66" s="63">
        <v>323</v>
      </c>
      <c r="AO66" s="11">
        <f t="shared" si="7"/>
        <v>298.14999999999998</v>
      </c>
      <c r="AP66" s="65" t="s">
        <v>161</v>
      </c>
      <c r="AQ66" s="66">
        <v>114.186081265043</v>
      </c>
      <c r="AR66" s="66">
        <v>0.13138830229485801</v>
      </c>
      <c r="AS66" s="11"/>
      <c r="AT66" s="11"/>
      <c r="AU66" s="11"/>
      <c r="AV66" s="11"/>
      <c r="AW66" s="11"/>
      <c r="AX66" s="11"/>
      <c r="AY66" s="11"/>
      <c r="AZ66" s="11"/>
      <c r="BA66" s="11"/>
      <c r="BC66" s="11"/>
      <c r="BD66" s="19" t="s">
        <v>158</v>
      </c>
      <c r="BE66" s="11" t="s">
        <v>409</v>
      </c>
    </row>
    <row r="67" spans="1:57" x14ac:dyDescent="0.3">
      <c r="A67" s="11"/>
      <c r="B67" s="11" t="s">
        <v>159</v>
      </c>
      <c r="C67" s="4" t="s">
        <v>182</v>
      </c>
      <c r="D67" s="4" t="s">
        <v>256</v>
      </c>
      <c r="E67" s="4"/>
      <c r="F67" s="42" t="s">
        <v>251</v>
      </c>
      <c r="G67" s="4"/>
      <c r="H67" s="4">
        <v>166.28200000000001</v>
      </c>
      <c r="I67" s="36">
        <f t="shared" si="5"/>
        <v>541.24920316089526</v>
      </c>
      <c r="J67" s="4" t="s">
        <v>259</v>
      </c>
      <c r="K67" s="4">
        <v>90</v>
      </c>
      <c r="L67" s="4"/>
      <c r="M67" s="4"/>
      <c r="N67" s="4" t="s">
        <v>253</v>
      </c>
      <c r="O67" s="4"/>
      <c r="P67" s="4" t="s">
        <v>258</v>
      </c>
      <c r="Q67" s="4"/>
      <c r="R67" s="4" t="s">
        <v>396</v>
      </c>
      <c r="S67" s="4" t="s">
        <v>397</v>
      </c>
      <c r="T67" s="4"/>
      <c r="U67" s="4" t="s">
        <v>398</v>
      </c>
      <c r="V67" s="4" t="s">
        <v>399</v>
      </c>
      <c r="W67" s="4" t="s">
        <v>400</v>
      </c>
      <c r="X67" s="4" t="s">
        <v>401</v>
      </c>
      <c r="Y67" s="4" t="s">
        <v>403</v>
      </c>
      <c r="Z67" s="4" t="s">
        <v>404</v>
      </c>
      <c r="AA67" s="4">
        <v>323</v>
      </c>
      <c r="AB67" s="4"/>
      <c r="AC67" s="4" t="s">
        <v>376</v>
      </c>
      <c r="AD67" s="4"/>
      <c r="AE67" s="4">
        <v>7200</v>
      </c>
      <c r="AF67" s="4" t="s">
        <v>405</v>
      </c>
      <c r="AG67" s="4"/>
      <c r="AH67" s="59"/>
      <c r="AJ67" s="25">
        <v>0.18537076282360601</v>
      </c>
      <c r="AK67" s="25">
        <v>109.93912177471201</v>
      </c>
      <c r="AL67" s="11">
        <f t="shared" si="6"/>
        <v>0.22405042077056106</v>
      </c>
      <c r="AN67" s="63">
        <v>323</v>
      </c>
      <c r="AO67" s="11">
        <f t="shared" si="7"/>
        <v>298.14999999999998</v>
      </c>
      <c r="AP67" s="65" t="s">
        <v>161</v>
      </c>
      <c r="AQ67" s="66">
        <v>109.93912177471201</v>
      </c>
      <c r="AR67" s="66">
        <v>0.18537076282360601</v>
      </c>
      <c r="AS67" s="11"/>
      <c r="AT67" s="11"/>
      <c r="AU67" s="11"/>
      <c r="AV67" s="11"/>
      <c r="AW67" s="11"/>
      <c r="AX67" s="11"/>
      <c r="AY67" s="11"/>
      <c r="AZ67" s="11"/>
      <c r="BA67" s="11"/>
      <c r="BC67" s="11"/>
      <c r="BD67" s="19" t="s">
        <v>158</v>
      </c>
      <c r="BE67" s="11" t="s">
        <v>409</v>
      </c>
    </row>
    <row r="68" spans="1:57" x14ac:dyDescent="0.3">
      <c r="A68" s="11"/>
      <c r="B68" s="11" t="s">
        <v>159</v>
      </c>
      <c r="C68" s="4" t="s">
        <v>182</v>
      </c>
      <c r="D68" s="4" t="s">
        <v>256</v>
      </c>
      <c r="E68" s="4"/>
      <c r="F68" s="42" t="s">
        <v>251</v>
      </c>
      <c r="G68" s="4"/>
      <c r="H68" s="4">
        <v>166.28200000000001</v>
      </c>
      <c r="I68" s="36">
        <f t="shared" si="5"/>
        <v>541.24920316089526</v>
      </c>
      <c r="J68" s="4" t="s">
        <v>259</v>
      </c>
      <c r="K68" s="4">
        <v>90</v>
      </c>
      <c r="L68" s="4"/>
      <c r="M68" s="4"/>
      <c r="N68" s="4" t="s">
        <v>253</v>
      </c>
      <c r="O68" s="4"/>
      <c r="P68" s="4" t="s">
        <v>258</v>
      </c>
      <c r="Q68" s="4"/>
      <c r="R68" s="4" t="s">
        <v>396</v>
      </c>
      <c r="S68" s="4" t="s">
        <v>397</v>
      </c>
      <c r="T68" s="4"/>
      <c r="U68" s="4" t="s">
        <v>398</v>
      </c>
      <c r="V68" s="4" t="s">
        <v>399</v>
      </c>
      <c r="W68" s="4" t="s">
        <v>400</v>
      </c>
      <c r="X68" s="4" t="s">
        <v>401</v>
      </c>
      <c r="Y68" s="4" t="s">
        <v>403</v>
      </c>
      <c r="Z68" s="4" t="s">
        <v>404</v>
      </c>
      <c r="AA68" s="4">
        <v>323</v>
      </c>
      <c r="AB68" s="4"/>
      <c r="AC68" s="4" t="s">
        <v>376</v>
      </c>
      <c r="AD68" s="4"/>
      <c r="AE68" s="4">
        <v>7200</v>
      </c>
      <c r="AF68" s="4" t="s">
        <v>405</v>
      </c>
      <c r="AG68" s="4"/>
      <c r="AH68" s="59"/>
      <c r="AJ68" s="25">
        <v>0.264655188331616</v>
      </c>
      <c r="AK68" s="25">
        <v>104.851858245198</v>
      </c>
      <c r="AL68" s="11">
        <f t="shared" si="6"/>
        <v>0.29095958978298597</v>
      </c>
      <c r="AN68" s="63">
        <v>323</v>
      </c>
      <c r="AO68" s="11">
        <f t="shared" si="7"/>
        <v>298.14999999999998</v>
      </c>
      <c r="AP68" s="65" t="s">
        <v>161</v>
      </c>
      <c r="AQ68" s="66">
        <v>104.851858245198</v>
      </c>
      <c r="AR68" s="66">
        <v>0.264655188331616</v>
      </c>
      <c r="AS68" s="11"/>
      <c r="AT68" s="11"/>
      <c r="AU68" s="11"/>
      <c r="AV68" s="11"/>
      <c r="AW68" s="11"/>
      <c r="AX68" s="11"/>
      <c r="AY68" s="11"/>
      <c r="AZ68" s="11"/>
      <c r="BA68" s="11"/>
      <c r="BC68" s="11"/>
      <c r="BD68" s="19" t="s">
        <v>158</v>
      </c>
      <c r="BE68" s="11" t="s">
        <v>409</v>
      </c>
    </row>
    <row r="69" spans="1:57" x14ac:dyDescent="0.3">
      <c r="B69" s="11" t="s">
        <v>159</v>
      </c>
      <c r="C69" s="4" t="s">
        <v>182</v>
      </c>
      <c r="D69" s="4" t="s">
        <v>256</v>
      </c>
      <c r="E69" s="4"/>
      <c r="F69" s="42" t="s">
        <v>251</v>
      </c>
      <c r="G69" s="4"/>
      <c r="H69" s="4">
        <v>166.28200000000001</v>
      </c>
      <c r="I69" s="36">
        <f t="shared" si="5"/>
        <v>541.24920316089526</v>
      </c>
      <c r="J69" s="4" t="s">
        <v>259</v>
      </c>
      <c r="K69" s="4">
        <v>90</v>
      </c>
      <c r="L69" s="4"/>
      <c r="M69" s="4"/>
      <c r="N69" s="4" t="s">
        <v>253</v>
      </c>
      <c r="O69" s="4"/>
      <c r="P69" s="4" t="s">
        <v>258</v>
      </c>
      <c r="Q69" s="4"/>
      <c r="R69" s="4" t="s">
        <v>396</v>
      </c>
      <c r="S69" s="4" t="s">
        <v>397</v>
      </c>
      <c r="T69" s="4"/>
      <c r="U69" s="4" t="s">
        <v>398</v>
      </c>
      <c r="V69" s="4" t="s">
        <v>399</v>
      </c>
      <c r="W69" s="4" t="s">
        <v>400</v>
      </c>
      <c r="X69" s="4" t="s">
        <v>401</v>
      </c>
      <c r="Y69" s="4" t="s">
        <v>403</v>
      </c>
      <c r="Z69" s="4" t="s">
        <v>404</v>
      </c>
      <c r="AA69" s="4">
        <v>323</v>
      </c>
      <c r="AB69" s="4"/>
      <c r="AC69" s="4" t="s">
        <v>376</v>
      </c>
      <c r="AD69" s="4"/>
      <c r="AE69" s="4">
        <v>7200</v>
      </c>
      <c r="AF69" s="4" t="s">
        <v>405</v>
      </c>
      <c r="AG69" s="4"/>
      <c r="AH69" s="59"/>
      <c r="AJ69" s="25">
        <v>0.40573962425688698</v>
      </c>
      <c r="AK69" s="25">
        <v>98.122712953459299</v>
      </c>
      <c r="AL69" s="11">
        <f t="shared" si="6"/>
        <v>0.39064882046757687</v>
      </c>
      <c r="AN69" s="63">
        <v>323</v>
      </c>
      <c r="AO69" s="11">
        <f t="shared" si="7"/>
        <v>298.14999999999998</v>
      </c>
      <c r="AP69" s="65" t="s">
        <v>161</v>
      </c>
      <c r="AQ69" s="66">
        <v>98.122712953459299</v>
      </c>
      <c r="AR69" s="66">
        <v>0.40573962425688698</v>
      </c>
      <c r="AS69" s="11"/>
      <c r="AT69" s="11"/>
      <c r="AU69" s="11"/>
      <c r="BD69" s="19" t="s">
        <v>158</v>
      </c>
      <c r="BE69" s="11" t="s">
        <v>409</v>
      </c>
    </row>
    <row r="70" spans="1:57" x14ac:dyDescent="0.3">
      <c r="B70" s="11" t="s">
        <v>159</v>
      </c>
      <c r="C70" s="4" t="s">
        <v>182</v>
      </c>
      <c r="D70" s="4" t="s">
        <v>256</v>
      </c>
      <c r="E70" s="4"/>
      <c r="F70" s="42" t="s">
        <v>251</v>
      </c>
      <c r="G70" s="4"/>
      <c r="H70" s="4">
        <v>166.28200000000001</v>
      </c>
      <c r="I70" s="36">
        <f t="shared" si="5"/>
        <v>541.24920316089526</v>
      </c>
      <c r="J70" s="4" t="s">
        <v>259</v>
      </c>
      <c r="K70" s="4">
        <v>90</v>
      </c>
      <c r="L70" s="4"/>
      <c r="M70" s="4"/>
      <c r="N70" s="4" t="s">
        <v>253</v>
      </c>
      <c r="O70" s="4"/>
      <c r="P70" s="4" t="s">
        <v>258</v>
      </c>
      <c r="Q70" s="4"/>
      <c r="R70" s="4" t="s">
        <v>396</v>
      </c>
      <c r="S70" s="4" t="s">
        <v>397</v>
      </c>
      <c r="T70" s="4"/>
      <c r="U70" s="4" t="s">
        <v>398</v>
      </c>
      <c r="V70" s="4" t="s">
        <v>399</v>
      </c>
      <c r="W70" s="4" t="s">
        <v>400</v>
      </c>
      <c r="X70" s="4" t="s">
        <v>401</v>
      </c>
      <c r="Y70" s="4" t="s">
        <v>403</v>
      </c>
      <c r="Z70" s="4" t="s">
        <v>404</v>
      </c>
      <c r="AA70" s="4">
        <v>323</v>
      </c>
      <c r="AB70" s="4"/>
      <c r="AC70" s="4" t="s">
        <v>376</v>
      </c>
      <c r="AD70" s="4"/>
      <c r="AE70" s="4">
        <v>7200</v>
      </c>
      <c r="AF70" s="4" t="s">
        <v>405</v>
      </c>
      <c r="AG70" s="4"/>
      <c r="AH70" s="59"/>
      <c r="AJ70" s="25">
        <v>0.70042368710842995</v>
      </c>
      <c r="AK70" s="25">
        <v>91.825428356562696</v>
      </c>
      <c r="AL70" s="11">
        <f t="shared" si="6"/>
        <v>0.59059089962731981</v>
      </c>
      <c r="AN70" s="63">
        <v>323</v>
      </c>
      <c r="AO70" s="11">
        <f t="shared" si="7"/>
        <v>298.14999999999998</v>
      </c>
      <c r="AP70" s="65" t="s">
        <v>161</v>
      </c>
      <c r="AQ70" s="66">
        <v>91.825428356562696</v>
      </c>
      <c r="AR70" s="66">
        <v>0.70042368710842995</v>
      </c>
      <c r="AS70" s="11"/>
      <c r="AT70" s="11"/>
      <c r="AU70" s="11"/>
      <c r="BD70" s="19" t="s">
        <v>158</v>
      </c>
      <c r="BE70" s="11" t="s">
        <v>409</v>
      </c>
    </row>
    <row r="71" spans="1:57" x14ac:dyDescent="0.3">
      <c r="B71" s="11" t="s">
        <v>159</v>
      </c>
      <c r="C71" s="4" t="s">
        <v>182</v>
      </c>
      <c r="D71" s="4" t="s">
        <v>256</v>
      </c>
      <c r="E71" s="4"/>
      <c r="F71" s="42" t="s">
        <v>251</v>
      </c>
      <c r="G71" s="4"/>
      <c r="H71" s="4">
        <v>166.28200000000001</v>
      </c>
      <c r="I71" s="36">
        <f t="shared" si="5"/>
        <v>541.24920316089526</v>
      </c>
      <c r="J71" s="4" t="s">
        <v>259</v>
      </c>
      <c r="K71" s="4">
        <v>90</v>
      </c>
      <c r="L71" s="4"/>
      <c r="M71" s="4"/>
      <c r="N71" s="4" t="s">
        <v>253</v>
      </c>
      <c r="O71" s="4"/>
      <c r="P71" s="4" t="s">
        <v>258</v>
      </c>
      <c r="Q71" s="4"/>
      <c r="R71" s="4" t="s">
        <v>396</v>
      </c>
      <c r="S71" s="4" t="s">
        <v>397</v>
      </c>
      <c r="T71" s="4"/>
      <c r="U71" s="4" t="s">
        <v>398</v>
      </c>
      <c r="V71" s="4" t="s">
        <v>399</v>
      </c>
      <c r="W71" s="4" t="s">
        <v>400</v>
      </c>
      <c r="X71" s="4" t="s">
        <v>401</v>
      </c>
      <c r="Y71" s="4" t="s">
        <v>403</v>
      </c>
      <c r="Z71" s="4" t="s">
        <v>404</v>
      </c>
      <c r="AA71" s="4">
        <v>323</v>
      </c>
      <c r="AB71" s="4"/>
      <c r="AC71" s="4" t="s">
        <v>376</v>
      </c>
      <c r="AD71" s="4"/>
      <c r="AE71" s="4">
        <v>7200</v>
      </c>
      <c r="AF71" s="4" t="s">
        <v>405</v>
      </c>
      <c r="AG71" s="4"/>
      <c r="AH71" s="59"/>
      <c r="AJ71" s="25">
        <v>1.34544509386612</v>
      </c>
      <c r="AK71" s="25">
        <v>84.319092928662499</v>
      </c>
      <c r="AL71" s="11">
        <f t="shared" si="6"/>
        <v>0.9565723674518426</v>
      </c>
      <c r="AN71" s="63">
        <v>323</v>
      </c>
      <c r="AO71" s="11">
        <f t="shared" si="7"/>
        <v>298.14999999999998</v>
      </c>
      <c r="AP71" s="65" t="s">
        <v>161</v>
      </c>
      <c r="AQ71" s="66">
        <v>84.319092928662499</v>
      </c>
      <c r="AR71" s="66">
        <v>1.34544509386612</v>
      </c>
      <c r="AS71" s="11"/>
      <c r="AT71" s="11"/>
      <c r="AU71" s="11"/>
      <c r="BD71" s="19" t="s">
        <v>158</v>
      </c>
      <c r="BE71" s="11" t="s">
        <v>409</v>
      </c>
    </row>
    <row r="72" spans="1:57" x14ac:dyDescent="0.3">
      <c r="B72" s="11" t="s">
        <v>159</v>
      </c>
      <c r="C72" s="4" t="s">
        <v>182</v>
      </c>
      <c r="D72" s="4" t="s">
        <v>256</v>
      </c>
      <c r="E72" s="4"/>
      <c r="F72" s="42" t="s">
        <v>251</v>
      </c>
      <c r="G72" s="4"/>
      <c r="H72" s="4">
        <v>166.28200000000001</v>
      </c>
      <c r="I72" s="36">
        <f t="shared" si="5"/>
        <v>541.24920316089526</v>
      </c>
      <c r="J72" s="4" t="s">
        <v>259</v>
      </c>
      <c r="K72" s="4">
        <v>90</v>
      </c>
      <c r="L72" s="4"/>
      <c r="M72" s="4"/>
      <c r="N72" s="4" t="s">
        <v>253</v>
      </c>
      <c r="O72" s="4"/>
      <c r="P72" s="4" t="s">
        <v>258</v>
      </c>
      <c r="Q72" s="4"/>
      <c r="R72" s="4" t="s">
        <v>396</v>
      </c>
      <c r="S72" s="4" t="s">
        <v>397</v>
      </c>
      <c r="T72" s="4"/>
      <c r="U72" s="4" t="s">
        <v>398</v>
      </c>
      <c r="V72" s="4" t="s">
        <v>399</v>
      </c>
      <c r="W72" s="4" t="s">
        <v>400</v>
      </c>
      <c r="X72" s="4" t="s">
        <v>401</v>
      </c>
      <c r="Y72" s="4" t="s">
        <v>403</v>
      </c>
      <c r="Z72" s="4" t="s">
        <v>404</v>
      </c>
      <c r="AA72" s="4">
        <v>323</v>
      </c>
      <c r="AB72" s="4"/>
      <c r="AC72" s="4" t="s">
        <v>376</v>
      </c>
      <c r="AD72" s="4"/>
      <c r="AE72" s="4">
        <v>7200</v>
      </c>
      <c r="AF72" s="4" t="s">
        <v>405</v>
      </c>
      <c r="AG72" s="4"/>
      <c r="AH72" s="59"/>
      <c r="AJ72" s="25">
        <v>3.2000343426356501</v>
      </c>
      <c r="AK72" s="25">
        <v>73.843582330271104</v>
      </c>
      <c r="AL72" s="11">
        <f t="shared" si="6"/>
        <v>1.7449386150463484</v>
      </c>
      <c r="AN72" s="63">
        <v>323</v>
      </c>
      <c r="AO72" s="11">
        <f t="shared" si="7"/>
        <v>298.14999999999998</v>
      </c>
      <c r="AP72" s="65" t="s">
        <v>161</v>
      </c>
      <c r="AQ72" s="66">
        <v>73.843582330271104</v>
      </c>
      <c r="AR72" s="66">
        <v>3.2000343426356501</v>
      </c>
      <c r="AS72" s="11"/>
      <c r="AT72" s="11"/>
      <c r="AU72" s="11"/>
      <c r="BD72" s="19" t="s">
        <v>158</v>
      </c>
      <c r="BE72" s="11" t="s">
        <v>409</v>
      </c>
    </row>
    <row r="73" spans="1:57" x14ac:dyDescent="0.3">
      <c r="B73" s="11" t="s">
        <v>159</v>
      </c>
      <c r="C73" s="4" t="s">
        <v>182</v>
      </c>
      <c r="D73" s="4" t="s">
        <v>256</v>
      </c>
      <c r="E73" s="4"/>
      <c r="F73" s="42" t="s">
        <v>251</v>
      </c>
      <c r="G73" s="4"/>
      <c r="H73" s="4">
        <v>166.28200000000001</v>
      </c>
      <c r="I73" s="36">
        <f t="shared" si="5"/>
        <v>541.24920316089526</v>
      </c>
      <c r="J73" s="4" t="s">
        <v>259</v>
      </c>
      <c r="K73" s="4">
        <v>90</v>
      </c>
      <c r="L73" s="4"/>
      <c r="M73" s="4"/>
      <c r="N73" s="4" t="s">
        <v>253</v>
      </c>
      <c r="O73" s="4"/>
      <c r="P73" s="4" t="s">
        <v>258</v>
      </c>
      <c r="Q73" s="4"/>
      <c r="R73" s="4" t="s">
        <v>396</v>
      </c>
      <c r="S73" s="4" t="s">
        <v>397</v>
      </c>
      <c r="T73" s="4"/>
      <c r="U73" s="4" t="s">
        <v>398</v>
      </c>
      <c r="V73" s="4" t="s">
        <v>399</v>
      </c>
      <c r="W73" s="4" t="s">
        <v>400</v>
      </c>
      <c r="X73" s="4" t="s">
        <v>401</v>
      </c>
      <c r="Y73" s="4" t="s">
        <v>403</v>
      </c>
      <c r="Z73" s="4" t="s">
        <v>404</v>
      </c>
      <c r="AA73" s="4">
        <v>323</v>
      </c>
      <c r="AB73" s="4"/>
      <c r="AC73" s="4" t="s">
        <v>376</v>
      </c>
      <c r="AD73" s="4"/>
      <c r="AE73" s="4">
        <v>7200</v>
      </c>
      <c r="AF73" s="4" t="s">
        <v>405</v>
      </c>
      <c r="AG73" s="4"/>
      <c r="AH73" s="59"/>
      <c r="AJ73" s="25">
        <v>9.0941661943097998</v>
      </c>
      <c r="AK73" s="25">
        <v>65.906771997836202</v>
      </c>
      <c r="AL73" s="11">
        <f t="shared" si="6"/>
        <v>3.9502353299174109</v>
      </c>
      <c r="AN73" s="63">
        <v>323</v>
      </c>
      <c r="AO73" s="11">
        <f t="shared" si="7"/>
        <v>298.14999999999998</v>
      </c>
      <c r="AP73" s="65" t="s">
        <v>161</v>
      </c>
      <c r="AQ73" s="66">
        <v>65.906771997836202</v>
      </c>
      <c r="AR73" s="66">
        <v>9.0941661943097998</v>
      </c>
      <c r="AS73" s="11"/>
      <c r="AT73" s="11"/>
      <c r="AU73" s="11"/>
      <c r="BD73" s="19" t="s">
        <v>158</v>
      </c>
      <c r="BE73" s="11" t="s">
        <v>409</v>
      </c>
    </row>
    <row r="74" spans="1:57" x14ac:dyDescent="0.3">
      <c r="B74" s="11" t="s">
        <v>159</v>
      </c>
      <c r="C74" s="4" t="s">
        <v>182</v>
      </c>
      <c r="D74" s="4" t="s">
        <v>256</v>
      </c>
      <c r="E74" s="4"/>
      <c r="F74" s="42" t="s">
        <v>251</v>
      </c>
      <c r="G74" s="4"/>
      <c r="H74" s="4">
        <v>166.28200000000001</v>
      </c>
      <c r="I74" s="36">
        <f t="shared" si="5"/>
        <v>541.24920316089526</v>
      </c>
      <c r="J74" s="4" t="s">
        <v>259</v>
      </c>
      <c r="K74" s="4">
        <v>90</v>
      </c>
      <c r="L74" s="4"/>
      <c r="M74" s="4"/>
      <c r="N74" s="4" t="s">
        <v>253</v>
      </c>
      <c r="O74" s="4"/>
      <c r="P74" s="4" t="s">
        <v>258</v>
      </c>
      <c r="Q74" s="4"/>
      <c r="R74" s="4" t="s">
        <v>396</v>
      </c>
      <c r="S74" s="4" t="s">
        <v>397</v>
      </c>
      <c r="T74" s="4"/>
      <c r="U74" s="4" t="s">
        <v>398</v>
      </c>
      <c r="V74" s="4" t="s">
        <v>399</v>
      </c>
      <c r="W74" s="4" t="s">
        <v>400</v>
      </c>
      <c r="X74" s="4" t="s">
        <v>401</v>
      </c>
      <c r="Y74" s="4" t="s">
        <v>403</v>
      </c>
      <c r="Z74" s="4" t="s">
        <v>404</v>
      </c>
      <c r="AA74" s="4">
        <v>323</v>
      </c>
      <c r="AB74" s="4"/>
      <c r="AC74" s="4" t="s">
        <v>376</v>
      </c>
      <c r="AD74" s="4"/>
      <c r="AE74" s="4">
        <v>7200</v>
      </c>
      <c r="AF74" s="4" t="s">
        <v>405</v>
      </c>
      <c r="AG74" s="4"/>
      <c r="AH74" s="59"/>
      <c r="AJ74" s="25">
        <v>9.7654153925609798E-3</v>
      </c>
      <c r="AK74" s="25">
        <v>131.62596366729801</v>
      </c>
      <c r="AL74" s="11">
        <f t="shared" si="6"/>
        <v>1.691896722901955E-2</v>
      </c>
      <c r="AN74" s="63">
        <v>323</v>
      </c>
      <c r="AO74" s="11">
        <f>75+273.15</f>
        <v>348.15</v>
      </c>
      <c r="AP74" s="65" t="s">
        <v>161</v>
      </c>
      <c r="AQ74" s="66">
        <v>131.62596366729801</v>
      </c>
      <c r="AR74" s="66">
        <v>9.7654153925609798E-3</v>
      </c>
      <c r="AS74" s="11"/>
      <c r="AT74" s="11"/>
      <c r="AU74" s="11"/>
      <c r="BD74" s="19" t="s">
        <v>158</v>
      </c>
      <c r="BE74" s="11" t="s">
        <v>409</v>
      </c>
    </row>
    <row r="75" spans="1:57" x14ac:dyDescent="0.3">
      <c r="B75" s="11" t="s">
        <v>159</v>
      </c>
      <c r="C75" s="4" t="s">
        <v>182</v>
      </c>
      <c r="D75" s="4" t="s">
        <v>256</v>
      </c>
      <c r="E75" s="4"/>
      <c r="F75" s="42" t="s">
        <v>251</v>
      </c>
      <c r="G75" s="4"/>
      <c r="H75" s="4">
        <v>166.28200000000001</v>
      </c>
      <c r="I75" s="36">
        <f t="shared" si="5"/>
        <v>541.24920316089526</v>
      </c>
      <c r="J75" s="4" t="s">
        <v>259</v>
      </c>
      <c r="K75" s="4">
        <v>90</v>
      </c>
      <c r="L75" s="4"/>
      <c r="M75" s="4"/>
      <c r="N75" s="4" t="s">
        <v>253</v>
      </c>
      <c r="O75" s="4"/>
      <c r="P75" s="4" t="s">
        <v>258</v>
      </c>
      <c r="Q75" s="4"/>
      <c r="R75" s="4" t="s">
        <v>396</v>
      </c>
      <c r="S75" s="4" t="s">
        <v>397</v>
      </c>
      <c r="T75" s="4"/>
      <c r="U75" s="4" t="s">
        <v>398</v>
      </c>
      <c r="V75" s="4" t="s">
        <v>399</v>
      </c>
      <c r="W75" s="4" t="s">
        <v>400</v>
      </c>
      <c r="X75" s="4" t="s">
        <v>401</v>
      </c>
      <c r="Y75" s="4" t="s">
        <v>403</v>
      </c>
      <c r="Z75" s="4" t="s">
        <v>404</v>
      </c>
      <c r="AA75" s="4">
        <v>323</v>
      </c>
      <c r="AB75" s="4"/>
      <c r="AC75" s="4" t="s">
        <v>376</v>
      </c>
      <c r="AD75" s="4"/>
      <c r="AE75" s="4">
        <v>7200</v>
      </c>
      <c r="AF75" s="4" t="s">
        <v>405</v>
      </c>
      <c r="AG75" s="4"/>
      <c r="AH75" s="59"/>
      <c r="AJ75" s="25">
        <v>1.26792271836278E-2</v>
      </c>
      <c r="AK75" s="25">
        <v>130.38461154666999</v>
      </c>
      <c r="AL75" s="11">
        <f t="shared" si="6"/>
        <v>2.1554872505739616E-2</v>
      </c>
      <c r="AN75" s="63">
        <v>323</v>
      </c>
      <c r="AO75" s="11">
        <f t="shared" ref="AO75:AO94" si="8">75+273.15</f>
        <v>348.15</v>
      </c>
      <c r="AP75" s="65" t="s">
        <v>161</v>
      </c>
      <c r="AQ75" s="66">
        <v>130.38461154666999</v>
      </c>
      <c r="AR75" s="66">
        <v>1.26792271836278E-2</v>
      </c>
      <c r="AS75" s="11"/>
      <c r="AT75" s="11"/>
      <c r="AU75" s="11"/>
      <c r="BD75" s="19" t="s">
        <v>158</v>
      </c>
      <c r="BE75" s="11" t="s">
        <v>409</v>
      </c>
    </row>
    <row r="76" spans="1:57" x14ac:dyDescent="0.3">
      <c r="B76" s="11" t="s">
        <v>159</v>
      </c>
      <c r="C76" s="4" t="s">
        <v>182</v>
      </c>
      <c r="D76" s="4" t="s">
        <v>256</v>
      </c>
      <c r="E76" s="4"/>
      <c r="F76" s="42" t="s">
        <v>251</v>
      </c>
      <c r="G76" s="4"/>
      <c r="H76" s="4">
        <v>166.28200000000001</v>
      </c>
      <c r="I76" s="36">
        <f t="shared" si="5"/>
        <v>541.24920316089526</v>
      </c>
      <c r="J76" s="4" t="s">
        <v>259</v>
      </c>
      <c r="K76" s="4">
        <v>90</v>
      </c>
      <c r="L76" s="4"/>
      <c r="M76" s="4"/>
      <c r="N76" s="4" t="s">
        <v>253</v>
      </c>
      <c r="O76" s="4"/>
      <c r="P76" s="4" t="s">
        <v>258</v>
      </c>
      <c r="Q76" s="4"/>
      <c r="R76" s="4" t="s">
        <v>396</v>
      </c>
      <c r="S76" s="4" t="s">
        <v>397</v>
      </c>
      <c r="T76" s="4"/>
      <c r="U76" s="4" t="s">
        <v>398</v>
      </c>
      <c r="V76" s="4" t="s">
        <v>399</v>
      </c>
      <c r="W76" s="4" t="s">
        <v>400</v>
      </c>
      <c r="X76" s="4" t="s">
        <v>401</v>
      </c>
      <c r="Y76" s="4" t="s">
        <v>403</v>
      </c>
      <c r="Z76" s="4" t="s">
        <v>404</v>
      </c>
      <c r="AA76" s="4">
        <v>323</v>
      </c>
      <c r="AB76" s="4"/>
      <c r="AC76" s="4" t="s">
        <v>376</v>
      </c>
      <c r="AD76" s="4"/>
      <c r="AE76" s="4">
        <v>7200</v>
      </c>
      <c r="AF76" s="4" t="s">
        <v>405</v>
      </c>
      <c r="AG76" s="4"/>
      <c r="AH76" s="59"/>
      <c r="AJ76" s="25">
        <v>1.6462464269211899E-2</v>
      </c>
      <c r="AK76" s="25">
        <v>129.15496650148799</v>
      </c>
      <c r="AL76" s="11">
        <f t="shared" si="6"/>
        <v>2.7461045491108966E-2</v>
      </c>
      <c r="AN76" s="63">
        <v>323</v>
      </c>
      <c r="AO76" s="11">
        <f t="shared" si="8"/>
        <v>348.15</v>
      </c>
      <c r="AP76" s="65" t="s">
        <v>161</v>
      </c>
      <c r="AQ76" s="66">
        <v>129.15496650148799</v>
      </c>
      <c r="AR76" s="66">
        <v>1.6462464269211899E-2</v>
      </c>
      <c r="AS76" s="11"/>
      <c r="AT76" s="11"/>
      <c r="AU76" s="11"/>
      <c r="BD76" s="19" t="s">
        <v>158</v>
      </c>
      <c r="BE76" s="11" t="s">
        <v>409</v>
      </c>
    </row>
    <row r="77" spans="1:57" x14ac:dyDescent="0.3">
      <c r="B77" s="11" t="s">
        <v>159</v>
      </c>
      <c r="C77" s="4" t="s">
        <v>182</v>
      </c>
      <c r="D77" s="4" t="s">
        <v>256</v>
      </c>
      <c r="E77" s="4"/>
      <c r="F77" s="42" t="s">
        <v>251</v>
      </c>
      <c r="G77" s="4"/>
      <c r="H77" s="4">
        <v>166.28200000000001</v>
      </c>
      <c r="I77" s="36">
        <f t="shared" si="5"/>
        <v>541.24920316089526</v>
      </c>
      <c r="J77" s="4" t="s">
        <v>259</v>
      </c>
      <c r="K77" s="4">
        <v>90</v>
      </c>
      <c r="L77" s="4"/>
      <c r="M77" s="4"/>
      <c r="N77" s="4" t="s">
        <v>253</v>
      </c>
      <c r="O77" s="4"/>
      <c r="P77" s="4" t="s">
        <v>258</v>
      </c>
      <c r="Q77" s="4"/>
      <c r="R77" s="4" t="s">
        <v>396</v>
      </c>
      <c r="S77" s="4" t="s">
        <v>397</v>
      </c>
      <c r="T77" s="4"/>
      <c r="U77" s="4" t="s">
        <v>398</v>
      </c>
      <c r="V77" s="4" t="s">
        <v>399</v>
      </c>
      <c r="W77" s="4" t="s">
        <v>400</v>
      </c>
      <c r="X77" s="4" t="s">
        <v>401</v>
      </c>
      <c r="Y77" s="4" t="s">
        <v>403</v>
      </c>
      <c r="Z77" s="4" t="s">
        <v>404</v>
      </c>
      <c r="AA77" s="4">
        <v>323</v>
      </c>
      <c r="AB77" s="4"/>
      <c r="AC77" s="4" t="s">
        <v>376</v>
      </c>
      <c r="AD77" s="4"/>
      <c r="AE77" s="4">
        <v>7200</v>
      </c>
      <c r="AF77" s="4" t="s">
        <v>405</v>
      </c>
      <c r="AG77" s="4"/>
      <c r="AH77" s="59"/>
      <c r="AJ77" s="25">
        <v>2.1629752319215299E-2</v>
      </c>
      <c r="AK77" s="25">
        <v>127.936918123422</v>
      </c>
      <c r="AL77" s="11">
        <f t="shared" si="6"/>
        <v>3.54032650056047E-2</v>
      </c>
      <c r="AN77" s="63">
        <v>323</v>
      </c>
      <c r="AO77" s="11">
        <f t="shared" si="8"/>
        <v>348.15</v>
      </c>
      <c r="AP77" s="65" t="s">
        <v>161</v>
      </c>
      <c r="AQ77" s="66">
        <v>127.936918123422</v>
      </c>
      <c r="AR77" s="66">
        <v>2.1629752319215299E-2</v>
      </c>
      <c r="AS77" s="11"/>
      <c r="AT77" s="11"/>
      <c r="AU77" s="11"/>
      <c r="BD77" s="19" t="s">
        <v>158</v>
      </c>
      <c r="BE77" s="11" t="s">
        <v>409</v>
      </c>
    </row>
    <row r="78" spans="1:57" x14ac:dyDescent="0.3">
      <c r="B78" s="11" t="s">
        <v>159</v>
      </c>
      <c r="C78" s="4" t="s">
        <v>182</v>
      </c>
      <c r="D78" s="4" t="s">
        <v>256</v>
      </c>
      <c r="E78" s="4"/>
      <c r="F78" s="42" t="s">
        <v>251</v>
      </c>
      <c r="G78" s="4"/>
      <c r="H78" s="4">
        <v>166.28200000000001</v>
      </c>
      <c r="I78" s="36">
        <f t="shared" si="5"/>
        <v>541.24920316089526</v>
      </c>
      <c r="J78" s="4" t="s">
        <v>259</v>
      </c>
      <c r="K78" s="4">
        <v>90</v>
      </c>
      <c r="L78" s="4"/>
      <c r="M78" s="4"/>
      <c r="N78" s="4" t="s">
        <v>253</v>
      </c>
      <c r="O78" s="4"/>
      <c r="P78" s="4" t="s">
        <v>258</v>
      </c>
      <c r="Q78" s="4"/>
      <c r="R78" s="4" t="s">
        <v>396</v>
      </c>
      <c r="S78" s="4" t="s">
        <v>397</v>
      </c>
      <c r="T78" s="4"/>
      <c r="U78" s="4" t="s">
        <v>398</v>
      </c>
      <c r="V78" s="4" t="s">
        <v>399</v>
      </c>
      <c r="W78" s="4" t="s">
        <v>400</v>
      </c>
      <c r="X78" s="4" t="s">
        <v>401</v>
      </c>
      <c r="Y78" s="4" t="s">
        <v>403</v>
      </c>
      <c r="Z78" s="4" t="s">
        <v>404</v>
      </c>
      <c r="AA78" s="4">
        <v>323</v>
      </c>
      <c r="AB78" s="4"/>
      <c r="AC78" s="4" t="s">
        <v>376</v>
      </c>
      <c r="AD78" s="4"/>
      <c r="AE78" s="4">
        <v>7200</v>
      </c>
      <c r="AF78" s="4" t="s">
        <v>405</v>
      </c>
      <c r="AG78" s="4"/>
      <c r="AH78" s="59"/>
      <c r="AJ78" s="25">
        <v>2.8418964362799701E-2</v>
      </c>
      <c r="AK78" s="25">
        <v>125.53517493174699</v>
      </c>
      <c r="AL78" s="11">
        <f t="shared" si="6"/>
        <v>4.4785673703536068E-2</v>
      </c>
      <c r="AN78" s="63">
        <v>323</v>
      </c>
      <c r="AO78" s="11">
        <f t="shared" si="8"/>
        <v>348.15</v>
      </c>
      <c r="AP78" s="65" t="s">
        <v>161</v>
      </c>
      <c r="AQ78" s="66">
        <v>125.53517493174699</v>
      </c>
      <c r="AR78" s="66">
        <v>2.8418964362799701E-2</v>
      </c>
      <c r="AS78" s="11"/>
      <c r="AT78" s="11"/>
      <c r="AU78" s="11"/>
      <c r="BD78" s="19" t="s">
        <v>158</v>
      </c>
      <c r="BE78" s="11" t="s">
        <v>409</v>
      </c>
    </row>
    <row r="79" spans="1:57" x14ac:dyDescent="0.3">
      <c r="B79" s="11" t="s">
        <v>159</v>
      </c>
      <c r="C79" s="4" t="s">
        <v>182</v>
      </c>
      <c r="D79" s="4" t="s">
        <v>256</v>
      </c>
      <c r="E79" s="4"/>
      <c r="F79" s="42" t="s">
        <v>251</v>
      </c>
      <c r="G79" s="4"/>
      <c r="H79" s="4">
        <v>166.28200000000001</v>
      </c>
      <c r="I79" s="36">
        <f t="shared" si="5"/>
        <v>541.24920316089526</v>
      </c>
      <c r="J79" s="4" t="s">
        <v>259</v>
      </c>
      <c r="K79" s="4">
        <v>90</v>
      </c>
      <c r="L79" s="4"/>
      <c r="M79" s="4"/>
      <c r="N79" s="4" t="s">
        <v>253</v>
      </c>
      <c r="O79" s="4"/>
      <c r="P79" s="4" t="s">
        <v>258</v>
      </c>
      <c r="Q79" s="4"/>
      <c r="R79" s="4" t="s">
        <v>396</v>
      </c>
      <c r="S79" s="4" t="s">
        <v>397</v>
      </c>
      <c r="T79" s="4"/>
      <c r="U79" s="4" t="s">
        <v>398</v>
      </c>
      <c r="V79" s="4" t="s">
        <v>399</v>
      </c>
      <c r="W79" s="4" t="s">
        <v>400</v>
      </c>
      <c r="X79" s="4" t="s">
        <v>401</v>
      </c>
      <c r="Y79" s="4" t="s">
        <v>403</v>
      </c>
      <c r="Z79" s="4" t="s">
        <v>404</v>
      </c>
      <c r="AA79" s="4">
        <v>323</v>
      </c>
      <c r="AB79" s="4"/>
      <c r="AC79" s="4" t="s">
        <v>376</v>
      </c>
      <c r="AD79" s="4"/>
      <c r="AE79" s="4">
        <v>7200</v>
      </c>
      <c r="AF79" s="4" t="s">
        <v>405</v>
      </c>
      <c r="AG79" s="4"/>
      <c r="AH79" s="59"/>
      <c r="AJ79" s="25">
        <v>3.8236156174685003E-2</v>
      </c>
      <c r="AK79" s="25">
        <v>122.016834288466</v>
      </c>
      <c r="AL79" s="11">
        <f t="shared" si="6"/>
        <v>5.6926401688970257E-2</v>
      </c>
      <c r="AN79" s="63">
        <v>323</v>
      </c>
      <c r="AO79" s="11">
        <f t="shared" si="8"/>
        <v>348.15</v>
      </c>
      <c r="AP79" s="65" t="s">
        <v>161</v>
      </c>
      <c r="AQ79" s="66">
        <v>122.016834288466</v>
      </c>
      <c r="AR79" s="66">
        <v>3.8236156174685003E-2</v>
      </c>
      <c r="AS79" s="11"/>
      <c r="AT79" s="11"/>
      <c r="AU79" s="11"/>
      <c r="BD79" s="19" t="s">
        <v>158</v>
      </c>
      <c r="BE79" s="11" t="s">
        <v>409</v>
      </c>
    </row>
    <row r="80" spans="1:57" x14ac:dyDescent="0.3">
      <c r="B80" s="11" t="s">
        <v>159</v>
      </c>
      <c r="C80" s="4" t="s">
        <v>182</v>
      </c>
      <c r="D80" s="4" t="s">
        <v>256</v>
      </c>
      <c r="E80" s="4"/>
      <c r="F80" s="42" t="s">
        <v>251</v>
      </c>
      <c r="G80" s="4"/>
      <c r="H80" s="4">
        <v>166.28200000000001</v>
      </c>
      <c r="I80" s="36">
        <f t="shared" si="5"/>
        <v>541.24920316089526</v>
      </c>
      <c r="J80" s="4" t="s">
        <v>259</v>
      </c>
      <c r="K80" s="4">
        <v>90</v>
      </c>
      <c r="L80" s="4"/>
      <c r="M80" s="4"/>
      <c r="N80" s="4" t="s">
        <v>253</v>
      </c>
      <c r="O80" s="4"/>
      <c r="P80" s="4" t="s">
        <v>258</v>
      </c>
      <c r="Q80" s="4"/>
      <c r="R80" s="4" t="s">
        <v>396</v>
      </c>
      <c r="S80" s="4" t="s">
        <v>397</v>
      </c>
      <c r="T80" s="4"/>
      <c r="U80" s="4" t="s">
        <v>398</v>
      </c>
      <c r="V80" s="4" t="s">
        <v>399</v>
      </c>
      <c r="W80" s="4" t="s">
        <v>400</v>
      </c>
      <c r="X80" s="4" t="s">
        <v>401</v>
      </c>
      <c r="Y80" s="4" t="s">
        <v>403</v>
      </c>
      <c r="Z80" s="4" t="s">
        <v>404</v>
      </c>
      <c r="AA80" s="4">
        <v>323</v>
      </c>
      <c r="AB80" s="4"/>
      <c r="AC80" s="4" t="s">
        <v>376</v>
      </c>
      <c r="AD80" s="4"/>
      <c r="AE80" s="4">
        <v>7200</v>
      </c>
      <c r="AF80" s="4" t="s">
        <v>405</v>
      </c>
      <c r="AG80" s="4"/>
      <c r="AH80" s="59"/>
      <c r="AJ80" s="25">
        <v>5.0837661726860398E-2</v>
      </c>
      <c r="AK80" s="25">
        <v>119.72622806376999</v>
      </c>
      <c r="AL80" s="11">
        <f t="shared" si="6"/>
        <v>7.2872583718383982E-2</v>
      </c>
      <c r="AN80" s="63">
        <v>323</v>
      </c>
      <c r="AO80" s="11">
        <f t="shared" si="8"/>
        <v>348.15</v>
      </c>
      <c r="AP80" s="65" t="s">
        <v>161</v>
      </c>
      <c r="AQ80" s="66">
        <v>119.72622806376999</v>
      </c>
      <c r="AR80" s="66">
        <v>5.0837661726860398E-2</v>
      </c>
      <c r="AS80" s="11"/>
      <c r="AT80" s="11"/>
      <c r="AU80" s="11"/>
      <c r="BD80" s="19" t="s">
        <v>158</v>
      </c>
      <c r="BE80" s="11" t="s">
        <v>409</v>
      </c>
    </row>
    <row r="81" spans="2:57" x14ac:dyDescent="0.3">
      <c r="B81" s="11" t="s">
        <v>159</v>
      </c>
      <c r="C81" s="4" t="s">
        <v>182</v>
      </c>
      <c r="D81" s="4" t="s">
        <v>256</v>
      </c>
      <c r="E81" s="4"/>
      <c r="F81" s="42" t="s">
        <v>251</v>
      </c>
      <c r="G81" s="4"/>
      <c r="H81" s="4">
        <v>166.28200000000001</v>
      </c>
      <c r="I81" s="36">
        <f t="shared" si="5"/>
        <v>541.24920316089526</v>
      </c>
      <c r="J81" s="4" t="s">
        <v>259</v>
      </c>
      <c r="K81" s="4">
        <v>90</v>
      </c>
      <c r="L81" s="4"/>
      <c r="M81" s="4"/>
      <c r="N81" s="4" t="s">
        <v>253</v>
      </c>
      <c r="O81" s="4"/>
      <c r="P81" s="4" t="s">
        <v>258</v>
      </c>
      <c r="Q81" s="4"/>
      <c r="R81" s="4" t="s">
        <v>396</v>
      </c>
      <c r="S81" s="4" t="s">
        <v>397</v>
      </c>
      <c r="T81" s="4"/>
      <c r="U81" s="4" t="s">
        <v>398</v>
      </c>
      <c r="V81" s="4" t="s">
        <v>399</v>
      </c>
      <c r="W81" s="4" t="s">
        <v>400</v>
      </c>
      <c r="X81" s="4" t="s">
        <v>401</v>
      </c>
      <c r="Y81" s="4" t="s">
        <v>403</v>
      </c>
      <c r="Z81" s="4" t="s">
        <v>404</v>
      </c>
      <c r="AA81" s="4">
        <v>323</v>
      </c>
      <c r="AB81" s="4"/>
      <c r="AC81" s="4" t="s">
        <v>376</v>
      </c>
      <c r="AD81" s="4"/>
      <c r="AE81" s="4">
        <v>7200</v>
      </c>
      <c r="AF81" s="4" t="s">
        <v>405</v>
      </c>
      <c r="AG81" s="4"/>
      <c r="AH81" s="59"/>
      <c r="AJ81" s="25">
        <v>7.0878654375439096E-2</v>
      </c>
      <c r="AK81" s="25">
        <v>115.273212119238</v>
      </c>
      <c r="AL81" s="11">
        <f t="shared" si="6"/>
        <v>9.4182942353781329E-2</v>
      </c>
      <c r="AN81" s="63">
        <v>323</v>
      </c>
      <c r="AO81" s="11">
        <f t="shared" si="8"/>
        <v>348.15</v>
      </c>
      <c r="AP81" s="65" t="s">
        <v>161</v>
      </c>
      <c r="AQ81" s="66">
        <v>115.273212119238</v>
      </c>
      <c r="AR81" s="66">
        <v>7.0878654375439096E-2</v>
      </c>
      <c r="AS81" s="11"/>
      <c r="AT81" s="11"/>
      <c r="AU81" s="11"/>
      <c r="BD81" s="19" t="s">
        <v>158</v>
      </c>
      <c r="BE81" s="11" t="s">
        <v>409</v>
      </c>
    </row>
    <row r="82" spans="2:57" x14ac:dyDescent="0.3">
      <c r="B82" s="11" t="s">
        <v>159</v>
      </c>
      <c r="C82" s="4" t="s">
        <v>182</v>
      </c>
      <c r="D82" s="4" t="s">
        <v>256</v>
      </c>
      <c r="E82" s="4"/>
      <c r="F82" s="42" t="s">
        <v>251</v>
      </c>
      <c r="G82" s="4"/>
      <c r="H82" s="4">
        <v>166.28200000000001</v>
      </c>
      <c r="I82" s="36">
        <f t="shared" si="5"/>
        <v>541.24920316089526</v>
      </c>
      <c r="J82" s="4" t="s">
        <v>259</v>
      </c>
      <c r="K82" s="4">
        <v>90</v>
      </c>
      <c r="L82" s="4"/>
      <c r="M82" s="4"/>
      <c r="N82" s="4" t="s">
        <v>253</v>
      </c>
      <c r="O82" s="4"/>
      <c r="P82" s="4" t="s">
        <v>258</v>
      </c>
      <c r="Q82" s="4"/>
      <c r="R82" s="4" t="s">
        <v>396</v>
      </c>
      <c r="S82" s="4" t="s">
        <v>397</v>
      </c>
      <c r="T82" s="4"/>
      <c r="U82" s="4" t="s">
        <v>398</v>
      </c>
      <c r="V82" s="4" t="s">
        <v>399</v>
      </c>
      <c r="W82" s="4" t="s">
        <v>400</v>
      </c>
      <c r="X82" s="4" t="s">
        <v>401</v>
      </c>
      <c r="Y82" s="4" t="s">
        <v>403</v>
      </c>
      <c r="Z82" s="4" t="s">
        <v>404</v>
      </c>
      <c r="AA82" s="4">
        <v>323</v>
      </c>
      <c r="AB82" s="4"/>
      <c r="AC82" s="4" t="s">
        <v>376</v>
      </c>
      <c r="AD82" s="4"/>
      <c r="AE82" s="4">
        <v>7200</v>
      </c>
      <c r="AF82" s="4" t="s">
        <v>405</v>
      </c>
      <c r="AG82" s="4"/>
      <c r="AH82" s="59"/>
      <c r="AJ82" s="25">
        <v>9.88201163354962E-2</v>
      </c>
      <c r="AK82" s="25">
        <v>112.042480752502</v>
      </c>
      <c r="AL82" s="11">
        <f t="shared" si="6"/>
        <v>0.12405400590952183</v>
      </c>
      <c r="AN82" s="63">
        <v>323</v>
      </c>
      <c r="AO82" s="11">
        <f t="shared" si="8"/>
        <v>348.15</v>
      </c>
      <c r="AP82" s="65" t="s">
        <v>161</v>
      </c>
      <c r="AQ82" s="66">
        <v>112.042480752502</v>
      </c>
      <c r="AR82" s="66">
        <v>9.88201163354962E-2</v>
      </c>
      <c r="AS82" s="11"/>
      <c r="AT82" s="11"/>
      <c r="AU82" s="11"/>
      <c r="BD82" s="19" t="s">
        <v>158</v>
      </c>
      <c r="BE82" s="11" t="s">
        <v>409</v>
      </c>
    </row>
    <row r="83" spans="2:57" x14ac:dyDescent="0.3">
      <c r="B83" s="11" t="s">
        <v>159</v>
      </c>
      <c r="C83" s="4" t="s">
        <v>182</v>
      </c>
      <c r="D83" s="4" t="s">
        <v>256</v>
      </c>
      <c r="E83" s="4"/>
      <c r="F83" s="42" t="s">
        <v>251</v>
      </c>
      <c r="G83" s="4"/>
      <c r="H83" s="4">
        <v>166.28200000000001</v>
      </c>
      <c r="I83" s="36">
        <f t="shared" si="5"/>
        <v>541.24920316089526</v>
      </c>
      <c r="J83" s="4" t="s">
        <v>259</v>
      </c>
      <c r="K83" s="4">
        <v>90</v>
      </c>
      <c r="L83" s="4"/>
      <c r="M83" s="4"/>
      <c r="N83" s="4" t="s">
        <v>253</v>
      </c>
      <c r="O83" s="4"/>
      <c r="P83" s="4" t="s">
        <v>258</v>
      </c>
      <c r="Q83" s="4"/>
      <c r="R83" s="4" t="s">
        <v>396</v>
      </c>
      <c r="S83" s="4" t="s">
        <v>397</v>
      </c>
      <c r="T83" s="4"/>
      <c r="U83" s="4" t="s">
        <v>398</v>
      </c>
      <c r="V83" s="4" t="s">
        <v>399</v>
      </c>
      <c r="W83" s="4" t="s">
        <v>400</v>
      </c>
      <c r="X83" s="4" t="s">
        <v>401</v>
      </c>
      <c r="Y83" s="4" t="s">
        <v>403</v>
      </c>
      <c r="Z83" s="4" t="s">
        <v>404</v>
      </c>
      <c r="AA83" s="4">
        <v>323</v>
      </c>
      <c r="AB83" s="4"/>
      <c r="AC83" s="4" t="s">
        <v>376</v>
      </c>
      <c r="AD83" s="4"/>
      <c r="AE83" s="4">
        <v>7200</v>
      </c>
      <c r="AF83" s="4" t="s">
        <v>405</v>
      </c>
      <c r="AG83" s="4"/>
      <c r="AH83" s="59"/>
      <c r="AJ83" s="25">
        <v>0.13942154687651501</v>
      </c>
      <c r="AK83" s="25">
        <v>107.875248882555</v>
      </c>
      <c r="AL83" s="11">
        <f t="shared" si="6"/>
        <v>0.16224582059090284</v>
      </c>
      <c r="AN83" s="63">
        <v>323</v>
      </c>
      <c r="AO83" s="11">
        <f t="shared" si="8"/>
        <v>348.15</v>
      </c>
      <c r="AP83" s="65" t="s">
        <v>161</v>
      </c>
      <c r="AQ83" s="66">
        <v>107.875248882555</v>
      </c>
      <c r="AR83" s="66">
        <v>0.13942154687651501</v>
      </c>
      <c r="AS83" s="11"/>
      <c r="AT83" s="11"/>
      <c r="AU83" s="11"/>
      <c r="BD83" s="19" t="s">
        <v>158</v>
      </c>
      <c r="BE83" s="11" t="s">
        <v>409</v>
      </c>
    </row>
    <row r="84" spans="2:57" x14ac:dyDescent="0.3">
      <c r="B84" s="11" t="s">
        <v>159</v>
      </c>
      <c r="C84" s="4" t="s">
        <v>182</v>
      </c>
      <c r="D84" s="4" t="s">
        <v>256</v>
      </c>
      <c r="E84" s="4"/>
      <c r="F84" s="42" t="s">
        <v>251</v>
      </c>
      <c r="G84" s="4"/>
      <c r="H84" s="4">
        <v>166.28200000000001</v>
      </c>
      <c r="I84" s="36">
        <f t="shared" si="5"/>
        <v>541.24920316089526</v>
      </c>
      <c r="J84" s="4" t="s">
        <v>259</v>
      </c>
      <c r="K84" s="4">
        <v>90</v>
      </c>
      <c r="L84" s="4"/>
      <c r="M84" s="4"/>
      <c r="N84" s="4" t="s">
        <v>253</v>
      </c>
      <c r="O84" s="4"/>
      <c r="P84" s="4" t="s">
        <v>258</v>
      </c>
      <c r="Q84" s="4"/>
      <c r="R84" s="4" t="s">
        <v>396</v>
      </c>
      <c r="S84" s="4" t="s">
        <v>397</v>
      </c>
      <c r="T84" s="4"/>
      <c r="U84" s="4" t="s">
        <v>398</v>
      </c>
      <c r="V84" s="4" t="s">
        <v>399</v>
      </c>
      <c r="W84" s="4" t="s">
        <v>400</v>
      </c>
      <c r="X84" s="4" t="s">
        <v>401</v>
      </c>
      <c r="Y84" s="4" t="s">
        <v>403</v>
      </c>
      <c r="Z84" s="4" t="s">
        <v>404</v>
      </c>
      <c r="AA84" s="4">
        <v>323</v>
      </c>
      <c r="AB84" s="4"/>
      <c r="AC84" s="4" t="s">
        <v>376</v>
      </c>
      <c r="AD84" s="4"/>
      <c r="AE84" s="4">
        <v>7200</v>
      </c>
      <c r="AF84" s="4" t="s">
        <v>405</v>
      </c>
      <c r="AG84" s="4"/>
      <c r="AH84" s="59"/>
      <c r="AJ84" s="25">
        <v>0.19905315802795201</v>
      </c>
      <c r="AK84" s="25">
        <v>104.851858245198</v>
      </c>
      <c r="AL84" s="11">
        <f t="shared" si="6"/>
        <v>0.218837293800758</v>
      </c>
      <c r="AN84" s="63">
        <v>323</v>
      </c>
      <c r="AO84" s="11">
        <f t="shared" si="8"/>
        <v>348.15</v>
      </c>
      <c r="AP84" s="65" t="s">
        <v>161</v>
      </c>
      <c r="AQ84" s="66">
        <v>104.851858245198</v>
      </c>
      <c r="AR84" s="66">
        <v>0.19905315802795201</v>
      </c>
      <c r="AS84" s="11"/>
      <c r="AT84" s="11"/>
      <c r="AU84" s="11"/>
      <c r="BD84" s="19" t="s">
        <v>158</v>
      </c>
      <c r="BE84" s="11" t="s">
        <v>409</v>
      </c>
    </row>
    <row r="85" spans="2:57" x14ac:dyDescent="0.3">
      <c r="B85" s="11" t="s">
        <v>159</v>
      </c>
      <c r="C85" s="4" t="s">
        <v>182</v>
      </c>
      <c r="D85" s="4" t="s">
        <v>256</v>
      </c>
      <c r="E85" s="4"/>
      <c r="F85" s="42" t="s">
        <v>251</v>
      </c>
      <c r="G85" s="4"/>
      <c r="H85" s="4">
        <v>166.28200000000001</v>
      </c>
      <c r="I85" s="36">
        <f t="shared" si="5"/>
        <v>541.24920316089526</v>
      </c>
      <c r="J85" s="4" t="s">
        <v>259</v>
      </c>
      <c r="K85" s="4">
        <v>90</v>
      </c>
      <c r="L85" s="4"/>
      <c r="M85" s="4"/>
      <c r="N85" s="4" t="s">
        <v>253</v>
      </c>
      <c r="O85" s="4"/>
      <c r="P85" s="4" t="s">
        <v>258</v>
      </c>
      <c r="Q85" s="4"/>
      <c r="R85" s="4" t="s">
        <v>396</v>
      </c>
      <c r="S85" s="4" t="s">
        <v>397</v>
      </c>
      <c r="T85" s="4"/>
      <c r="U85" s="4" t="s">
        <v>398</v>
      </c>
      <c r="V85" s="4" t="s">
        <v>399</v>
      </c>
      <c r="W85" s="4" t="s">
        <v>400</v>
      </c>
      <c r="X85" s="4" t="s">
        <v>401</v>
      </c>
      <c r="Y85" s="4" t="s">
        <v>403</v>
      </c>
      <c r="Z85" s="4" t="s">
        <v>404</v>
      </c>
      <c r="AA85" s="4">
        <v>323</v>
      </c>
      <c r="AB85" s="4"/>
      <c r="AC85" s="4" t="s">
        <v>376</v>
      </c>
      <c r="AD85" s="4"/>
      <c r="AE85" s="4">
        <v>7200</v>
      </c>
      <c r="AF85" s="4" t="s">
        <v>405</v>
      </c>
      <c r="AG85" s="4"/>
      <c r="AH85" s="59"/>
      <c r="AJ85" s="25">
        <v>0.28083653644661899</v>
      </c>
      <c r="AK85" s="25">
        <v>100.952069501073</v>
      </c>
      <c r="AL85" s="11">
        <f t="shared" si="6"/>
        <v>0.28620951051345456</v>
      </c>
      <c r="AN85" s="63">
        <v>323</v>
      </c>
      <c r="AO85" s="11">
        <f t="shared" si="8"/>
        <v>348.15</v>
      </c>
      <c r="AP85" s="65" t="s">
        <v>161</v>
      </c>
      <c r="AQ85" s="66">
        <v>100.952069501073</v>
      </c>
      <c r="AR85" s="66">
        <v>0.28083653644661899</v>
      </c>
      <c r="AS85" s="11"/>
      <c r="AT85" s="11"/>
      <c r="AU85" s="11"/>
      <c r="BD85" s="19" t="s">
        <v>158</v>
      </c>
      <c r="BE85" s="11" t="s">
        <v>409</v>
      </c>
    </row>
    <row r="86" spans="2:57" x14ac:dyDescent="0.3">
      <c r="B86" s="11" t="s">
        <v>159</v>
      </c>
      <c r="C86" s="4" t="s">
        <v>182</v>
      </c>
      <c r="D86" s="4" t="s">
        <v>256</v>
      </c>
      <c r="E86" s="4"/>
      <c r="F86" s="42" t="s">
        <v>251</v>
      </c>
      <c r="G86" s="4"/>
      <c r="H86" s="4">
        <v>166.28200000000001</v>
      </c>
      <c r="I86" s="36">
        <f t="shared" si="5"/>
        <v>541.24920316089526</v>
      </c>
      <c r="J86" s="4" t="s">
        <v>259</v>
      </c>
      <c r="K86" s="4">
        <v>90</v>
      </c>
      <c r="L86" s="4"/>
      <c r="M86" s="4"/>
      <c r="N86" s="4" t="s">
        <v>253</v>
      </c>
      <c r="O86" s="4"/>
      <c r="P86" s="4" t="s">
        <v>258</v>
      </c>
      <c r="Q86" s="4"/>
      <c r="R86" s="4" t="s">
        <v>396</v>
      </c>
      <c r="S86" s="4" t="s">
        <v>397</v>
      </c>
      <c r="T86" s="4"/>
      <c r="U86" s="4" t="s">
        <v>398</v>
      </c>
      <c r="V86" s="4" t="s">
        <v>399</v>
      </c>
      <c r="W86" s="4" t="s">
        <v>400</v>
      </c>
      <c r="X86" s="4" t="s">
        <v>401</v>
      </c>
      <c r="Y86" s="4" t="s">
        <v>403</v>
      </c>
      <c r="Z86" s="4" t="s">
        <v>404</v>
      </c>
      <c r="AA86" s="4">
        <v>323</v>
      </c>
      <c r="AB86" s="4"/>
      <c r="AC86" s="4" t="s">
        <v>376</v>
      </c>
      <c r="AD86" s="4"/>
      <c r="AE86" s="4">
        <v>7200</v>
      </c>
      <c r="AF86" s="4" t="s">
        <v>405</v>
      </c>
      <c r="AG86" s="4"/>
      <c r="AH86" s="59"/>
      <c r="AJ86" s="25">
        <v>0.39622159720901101</v>
      </c>
      <c r="AK86" s="25">
        <v>96.280667973469704</v>
      </c>
      <c r="AL86" s="11">
        <f t="shared" si="6"/>
        <v>0.36729611408857921</v>
      </c>
      <c r="AN86" s="63">
        <v>323</v>
      </c>
      <c r="AO86" s="11">
        <f t="shared" si="8"/>
        <v>348.15</v>
      </c>
      <c r="AP86" s="65" t="s">
        <v>161</v>
      </c>
      <c r="AQ86" s="66">
        <v>96.280667973469704</v>
      </c>
      <c r="AR86" s="66">
        <v>0.39622159720901101</v>
      </c>
      <c r="AS86" s="11"/>
      <c r="AT86" s="11"/>
      <c r="AU86" s="11"/>
      <c r="BD86" s="19" t="s">
        <v>158</v>
      </c>
      <c r="BE86" s="11" t="s">
        <v>409</v>
      </c>
    </row>
    <row r="87" spans="2:57" x14ac:dyDescent="0.3">
      <c r="B87" s="11" t="s">
        <v>159</v>
      </c>
      <c r="C87" s="4" t="s">
        <v>182</v>
      </c>
      <c r="D87" s="4" t="s">
        <v>256</v>
      </c>
      <c r="E87" s="4"/>
      <c r="F87" s="42" t="s">
        <v>251</v>
      </c>
      <c r="G87" s="4"/>
      <c r="H87" s="4">
        <v>166.28200000000001</v>
      </c>
      <c r="I87" s="36">
        <f t="shared" si="5"/>
        <v>541.24920316089526</v>
      </c>
      <c r="J87" s="4" t="s">
        <v>259</v>
      </c>
      <c r="K87" s="4">
        <v>90</v>
      </c>
      <c r="L87" s="4"/>
      <c r="M87" s="4"/>
      <c r="N87" s="4" t="s">
        <v>253</v>
      </c>
      <c r="O87" s="4"/>
      <c r="P87" s="4" t="s">
        <v>258</v>
      </c>
      <c r="Q87" s="4"/>
      <c r="R87" s="4" t="s">
        <v>396</v>
      </c>
      <c r="S87" s="4" t="s">
        <v>397</v>
      </c>
      <c r="T87" s="4"/>
      <c r="U87" s="4" t="s">
        <v>398</v>
      </c>
      <c r="V87" s="4" t="s">
        <v>399</v>
      </c>
      <c r="W87" s="4" t="s">
        <v>400</v>
      </c>
      <c r="X87" s="4" t="s">
        <v>401</v>
      </c>
      <c r="Y87" s="4" t="s">
        <v>403</v>
      </c>
      <c r="Z87" s="4" t="s">
        <v>404</v>
      </c>
      <c r="AA87" s="4">
        <v>323</v>
      </c>
      <c r="AB87" s="4"/>
      <c r="AC87" s="4" t="s">
        <v>376</v>
      </c>
      <c r="AD87" s="4"/>
      <c r="AE87" s="4">
        <v>7200</v>
      </c>
      <c r="AF87" s="4" t="s">
        <v>405</v>
      </c>
      <c r="AG87" s="4"/>
      <c r="AH87" s="59"/>
      <c r="AJ87" s="25">
        <v>0.600275358047756</v>
      </c>
      <c r="AK87" s="25">
        <v>92.699670254175402</v>
      </c>
      <c r="AL87" s="11">
        <f t="shared" si="6"/>
        <v>0.51583035338639616</v>
      </c>
      <c r="AN87" s="63">
        <v>323</v>
      </c>
      <c r="AO87" s="11">
        <f t="shared" si="8"/>
        <v>348.15</v>
      </c>
      <c r="AP87" s="65" t="s">
        <v>161</v>
      </c>
      <c r="AQ87" s="66">
        <v>92.699670254175402</v>
      </c>
      <c r="AR87" s="66">
        <v>0.600275358047756</v>
      </c>
      <c r="AS87" s="11"/>
      <c r="AT87" s="11"/>
      <c r="AU87" s="11"/>
      <c r="BD87" s="19" t="s">
        <v>158</v>
      </c>
      <c r="BE87" s="11" t="s">
        <v>409</v>
      </c>
    </row>
    <row r="88" spans="2:57" x14ac:dyDescent="0.3">
      <c r="B88" s="11" t="s">
        <v>159</v>
      </c>
      <c r="C88" s="4" t="s">
        <v>182</v>
      </c>
      <c r="D88" s="4" t="s">
        <v>256</v>
      </c>
      <c r="E88" s="4"/>
      <c r="F88" s="42" t="s">
        <v>251</v>
      </c>
      <c r="G88" s="4"/>
      <c r="H88" s="4">
        <v>166.28200000000001</v>
      </c>
      <c r="I88" s="36">
        <f t="shared" si="5"/>
        <v>541.24920316089526</v>
      </c>
      <c r="J88" s="4" t="s">
        <v>259</v>
      </c>
      <c r="K88" s="4">
        <v>90</v>
      </c>
      <c r="L88" s="4"/>
      <c r="M88" s="4"/>
      <c r="N88" s="4" t="s">
        <v>253</v>
      </c>
      <c r="O88" s="4"/>
      <c r="P88" s="4" t="s">
        <v>258</v>
      </c>
      <c r="Q88" s="4"/>
      <c r="R88" s="4" t="s">
        <v>396</v>
      </c>
      <c r="S88" s="4" t="s">
        <v>397</v>
      </c>
      <c r="T88" s="4"/>
      <c r="U88" s="4" t="s">
        <v>398</v>
      </c>
      <c r="V88" s="4" t="s">
        <v>399</v>
      </c>
      <c r="W88" s="4" t="s">
        <v>400</v>
      </c>
      <c r="X88" s="4" t="s">
        <v>401</v>
      </c>
      <c r="Y88" s="4" t="s">
        <v>403</v>
      </c>
      <c r="Z88" s="4" t="s">
        <v>404</v>
      </c>
      <c r="AA88" s="4">
        <v>323</v>
      </c>
      <c r="AB88" s="4"/>
      <c r="AC88" s="4" t="s">
        <v>376</v>
      </c>
      <c r="AD88" s="4"/>
      <c r="AE88" s="4">
        <v>7200</v>
      </c>
      <c r="AF88" s="4" t="s">
        <v>405</v>
      </c>
      <c r="AG88" s="4"/>
      <c r="AH88" s="59"/>
      <c r="AJ88" s="25">
        <v>0.92027479136281998</v>
      </c>
      <c r="AK88" s="25">
        <v>88.410135791198698</v>
      </c>
      <c r="AL88" s="11">
        <f t="shared" si="6"/>
        <v>0.71931918078174961</v>
      </c>
      <c r="AN88" s="63">
        <v>323</v>
      </c>
      <c r="AO88" s="11">
        <f t="shared" si="8"/>
        <v>348.15</v>
      </c>
      <c r="AP88" s="65" t="s">
        <v>161</v>
      </c>
      <c r="AQ88" s="66">
        <v>88.410135791198698</v>
      </c>
      <c r="AR88" s="66">
        <v>0.92027479136281998</v>
      </c>
      <c r="AS88" s="11"/>
      <c r="AT88" s="11"/>
      <c r="AU88" s="11"/>
      <c r="BD88" s="19" t="s">
        <v>158</v>
      </c>
      <c r="BE88" s="11" t="s">
        <v>409</v>
      </c>
    </row>
    <row r="89" spans="2:57" x14ac:dyDescent="0.3">
      <c r="B89" s="11" t="s">
        <v>159</v>
      </c>
      <c r="C89" s="4" t="s">
        <v>182</v>
      </c>
      <c r="D89" s="4" t="s">
        <v>256</v>
      </c>
      <c r="E89" s="4"/>
      <c r="F89" s="42" t="s">
        <v>251</v>
      </c>
      <c r="G89" s="4"/>
      <c r="H89" s="4">
        <v>166.28200000000001</v>
      </c>
      <c r="I89" s="36">
        <f t="shared" si="5"/>
        <v>541.24920316089526</v>
      </c>
      <c r="J89" s="4" t="s">
        <v>259</v>
      </c>
      <c r="K89" s="4">
        <v>90</v>
      </c>
      <c r="L89" s="4"/>
      <c r="M89" s="4"/>
      <c r="N89" s="4" t="s">
        <v>253</v>
      </c>
      <c r="O89" s="4"/>
      <c r="P89" s="4" t="s">
        <v>258</v>
      </c>
      <c r="Q89" s="4"/>
      <c r="R89" s="4" t="s">
        <v>396</v>
      </c>
      <c r="S89" s="4" t="s">
        <v>397</v>
      </c>
      <c r="T89" s="4"/>
      <c r="U89" s="4" t="s">
        <v>398</v>
      </c>
      <c r="V89" s="4" t="s">
        <v>399</v>
      </c>
      <c r="W89" s="4" t="s">
        <v>400</v>
      </c>
      <c r="X89" s="4" t="s">
        <v>401</v>
      </c>
      <c r="Y89" s="4" t="s">
        <v>403</v>
      </c>
      <c r="Z89" s="4" t="s">
        <v>404</v>
      </c>
      <c r="AA89" s="4">
        <v>323</v>
      </c>
      <c r="AB89" s="4"/>
      <c r="AC89" s="4" t="s">
        <v>376</v>
      </c>
      <c r="AD89" s="4"/>
      <c r="AE89" s="4">
        <v>7200</v>
      </c>
      <c r="AF89" s="4" t="s">
        <v>405</v>
      </c>
      <c r="AG89" s="4"/>
      <c r="AH89" s="59"/>
      <c r="AJ89" s="25">
        <v>1.5149990870666801</v>
      </c>
      <c r="AK89" s="25">
        <v>83.523887469950495</v>
      </c>
      <c r="AL89" s="11">
        <f t="shared" si="6"/>
        <v>1.0568996894969083</v>
      </c>
      <c r="AN89" s="63">
        <v>323</v>
      </c>
      <c r="AO89" s="11">
        <f t="shared" si="8"/>
        <v>348.15</v>
      </c>
      <c r="AP89" s="65" t="s">
        <v>161</v>
      </c>
      <c r="AQ89" s="66">
        <v>83.523887469950495</v>
      </c>
      <c r="AR89" s="66">
        <v>1.5149990870666801</v>
      </c>
      <c r="AS89" s="11"/>
      <c r="AT89" s="11"/>
      <c r="AU89" s="11"/>
      <c r="BD89" s="19" t="s">
        <v>158</v>
      </c>
      <c r="BE89" s="11" t="s">
        <v>409</v>
      </c>
    </row>
    <row r="90" spans="2:57" x14ac:dyDescent="0.3">
      <c r="B90" s="11" t="s">
        <v>159</v>
      </c>
      <c r="C90" s="4" t="s">
        <v>182</v>
      </c>
      <c r="D90" s="4" t="s">
        <v>256</v>
      </c>
      <c r="E90" s="4"/>
      <c r="F90" s="42" t="s">
        <v>251</v>
      </c>
      <c r="G90" s="4"/>
      <c r="H90" s="4">
        <v>166.28200000000001</v>
      </c>
      <c r="I90" s="36">
        <f t="shared" si="5"/>
        <v>541.24920316089526</v>
      </c>
      <c r="J90" s="4" t="s">
        <v>259</v>
      </c>
      <c r="K90" s="4">
        <v>90</v>
      </c>
      <c r="L90" s="4"/>
      <c r="M90" s="4"/>
      <c r="N90" s="4" t="s">
        <v>253</v>
      </c>
      <c r="O90" s="4"/>
      <c r="P90" s="4" t="s">
        <v>258</v>
      </c>
      <c r="Q90" s="4"/>
      <c r="R90" s="4" t="s">
        <v>396</v>
      </c>
      <c r="S90" s="4" t="s">
        <v>397</v>
      </c>
      <c r="T90" s="4"/>
      <c r="U90" s="4" t="s">
        <v>398</v>
      </c>
      <c r="V90" s="4" t="s">
        <v>399</v>
      </c>
      <c r="W90" s="4" t="s">
        <v>400</v>
      </c>
      <c r="X90" s="4" t="s">
        <v>401</v>
      </c>
      <c r="Y90" s="4" t="s">
        <v>403</v>
      </c>
      <c r="Z90" s="4" t="s">
        <v>404</v>
      </c>
      <c r="AA90" s="4">
        <v>323</v>
      </c>
      <c r="AB90" s="4"/>
      <c r="AC90" s="4" t="s">
        <v>376</v>
      </c>
      <c r="AD90" s="4"/>
      <c r="AE90" s="4">
        <v>7200</v>
      </c>
      <c r="AF90" s="4" t="s">
        <v>405</v>
      </c>
      <c r="AG90" s="4"/>
      <c r="AH90" s="59"/>
      <c r="AJ90" s="25">
        <v>2.74248543580932</v>
      </c>
      <c r="AK90" s="25">
        <v>75.972853086008499</v>
      </c>
      <c r="AL90" s="11">
        <f t="shared" si="6"/>
        <v>1.5829281495852991</v>
      </c>
      <c r="AN90" s="63">
        <v>323</v>
      </c>
      <c r="AO90" s="11">
        <f t="shared" si="8"/>
        <v>348.15</v>
      </c>
      <c r="AP90" s="65" t="s">
        <v>161</v>
      </c>
      <c r="AQ90" s="66">
        <v>75.972853086008499</v>
      </c>
      <c r="AR90" s="66">
        <v>2.74248543580932</v>
      </c>
      <c r="AS90" s="11"/>
      <c r="AT90" s="11"/>
      <c r="AU90" s="11"/>
      <c r="BD90" s="19" t="s">
        <v>158</v>
      </c>
      <c r="BE90" s="11" t="s">
        <v>409</v>
      </c>
    </row>
    <row r="91" spans="2:57" x14ac:dyDescent="0.3">
      <c r="B91" s="11" t="s">
        <v>159</v>
      </c>
      <c r="C91" s="4" t="s">
        <v>182</v>
      </c>
      <c r="D91" s="4" t="s">
        <v>256</v>
      </c>
      <c r="E91" s="4"/>
      <c r="F91" s="42" t="s">
        <v>251</v>
      </c>
      <c r="G91" s="4"/>
      <c r="H91" s="4">
        <v>166.28200000000001</v>
      </c>
      <c r="I91" s="36">
        <f t="shared" si="5"/>
        <v>541.24920316089526</v>
      </c>
      <c r="J91" s="4" t="s">
        <v>259</v>
      </c>
      <c r="K91" s="4">
        <v>90</v>
      </c>
      <c r="L91" s="4"/>
      <c r="M91" s="4"/>
      <c r="N91" s="4" t="s">
        <v>253</v>
      </c>
      <c r="O91" s="4"/>
      <c r="P91" s="4" t="s">
        <v>258</v>
      </c>
      <c r="Q91" s="4"/>
      <c r="R91" s="4" t="s">
        <v>396</v>
      </c>
      <c r="S91" s="4" t="s">
        <v>397</v>
      </c>
      <c r="T91" s="4"/>
      <c r="U91" s="4" t="s">
        <v>398</v>
      </c>
      <c r="V91" s="4" t="s">
        <v>399</v>
      </c>
      <c r="W91" s="4" t="s">
        <v>400</v>
      </c>
      <c r="X91" s="4" t="s">
        <v>401</v>
      </c>
      <c r="Y91" s="4" t="s">
        <v>403</v>
      </c>
      <c r="Z91" s="4" t="s">
        <v>404</v>
      </c>
      <c r="AA91" s="4">
        <v>323</v>
      </c>
      <c r="AB91" s="4"/>
      <c r="AC91" s="4" t="s">
        <v>376</v>
      </c>
      <c r="AD91" s="4"/>
      <c r="AE91" s="4">
        <v>7200</v>
      </c>
      <c r="AF91" s="4" t="s">
        <v>405</v>
      </c>
      <c r="AG91" s="4"/>
      <c r="AH91" s="59"/>
      <c r="AJ91" s="25">
        <v>5.33094404048662</v>
      </c>
      <c r="AK91" s="25">
        <v>67.807185788602695</v>
      </c>
      <c r="AL91" s="11">
        <f t="shared" si="6"/>
        <v>2.4510691512544183</v>
      </c>
      <c r="AN91" s="63">
        <v>323</v>
      </c>
      <c r="AO91" s="11">
        <f t="shared" si="8"/>
        <v>348.15</v>
      </c>
      <c r="AP91" s="65" t="s">
        <v>161</v>
      </c>
      <c r="AQ91" s="66">
        <v>67.807185788602695</v>
      </c>
      <c r="AR91" s="66">
        <v>5.33094404048662</v>
      </c>
      <c r="AS91" s="11"/>
      <c r="AT91" s="11"/>
      <c r="AU91" s="11"/>
      <c r="BD91" s="19" t="s">
        <v>158</v>
      </c>
      <c r="BE91" s="11" t="s">
        <v>409</v>
      </c>
    </row>
    <row r="92" spans="2:57" x14ac:dyDescent="0.3">
      <c r="B92" s="11" t="s">
        <v>159</v>
      </c>
      <c r="C92" s="4" t="s">
        <v>182</v>
      </c>
      <c r="D92" s="4" t="s">
        <v>256</v>
      </c>
      <c r="E92" s="4"/>
      <c r="F92" s="42" t="s">
        <v>251</v>
      </c>
      <c r="G92" s="4"/>
      <c r="H92" s="4">
        <v>166.28200000000001</v>
      </c>
      <c r="I92" s="36">
        <f t="shared" si="5"/>
        <v>541.24920316089526</v>
      </c>
      <c r="J92" s="4" t="s">
        <v>259</v>
      </c>
      <c r="K92" s="4">
        <v>90</v>
      </c>
      <c r="L92" s="4"/>
      <c r="M92" s="4"/>
      <c r="N92" s="4" t="s">
        <v>253</v>
      </c>
      <c r="O92" s="4"/>
      <c r="P92" s="4" t="s">
        <v>258</v>
      </c>
      <c r="Q92" s="4"/>
      <c r="R92" s="4" t="s">
        <v>396</v>
      </c>
      <c r="S92" s="4" t="s">
        <v>397</v>
      </c>
      <c r="T92" s="4"/>
      <c r="U92" s="4" t="s">
        <v>398</v>
      </c>
      <c r="V92" s="4" t="s">
        <v>399</v>
      </c>
      <c r="W92" s="4" t="s">
        <v>400</v>
      </c>
      <c r="X92" s="4" t="s">
        <v>401</v>
      </c>
      <c r="Y92" s="4" t="s">
        <v>403</v>
      </c>
      <c r="Z92" s="4" t="s">
        <v>404</v>
      </c>
      <c r="AA92" s="4">
        <v>323</v>
      </c>
      <c r="AB92" s="4"/>
      <c r="AC92" s="4" t="s">
        <v>376</v>
      </c>
      <c r="AD92" s="4"/>
      <c r="AE92" s="4">
        <v>7200</v>
      </c>
      <c r="AF92" s="4" t="s">
        <v>405</v>
      </c>
      <c r="AG92" s="4"/>
      <c r="AH92" s="59"/>
      <c r="AJ92" s="25">
        <v>11.9486705705765</v>
      </c>
      <c r="AK92" s="25">
        <v>56.101076317222699</v>
      </c>
      <c r="AL92" s="11">
        <f t="shared" si="6"/>
        <v>3.760641847508952</v>
      </c>
      <c r="AN92" s="63">
        <v>323</v>
      </c>
      <c r="AO92" s="11">
        <f t="shared" si="8"/>
        <v>348.15</v>
      </c>
      <c r="AP92" s="65" t="s">
        <v>161</v>
      </c>
      <c r="AQ92" s="66">
        <v>56.101076317222699</v>
      </c>
      <c r="AR92" s="66">
        <v>11.9486705705765</v>
      </c>
      <c r="AS92" s="11"/>
      <c r="AT92" s="11"/>
      <c r="AU92" s="11"/>
      <c r="BD92" s="19" t="s">
        <v>158</v>
      </c>
      <c r="BE92" s="11" t="s">
        <v>409</v>
      </c>
    </row>
    <row r="93" spans="2:57" x14ac:dyDescent="0.3">
      <c r="B93" s="11" t="s">
        <v>159</v>
      </c>
      <c r="C93" s="4" t="s">
        <v>182</v>
      </c>
      <c r="D93" s="4" t="s">
        <v>256</v>
      </c>
      <c r="E93" s="4"/>
      <c r="F93" s="42" t="s">
        <v>251</v>
      </c>
      <c r="G93" s="4"/>
      <c r="H93" s="4">
        <v>166.28200000000001</v>
      </c>
      <c r="I93" s="36">
        <f t="shared" si="5"/>
        <v>541.24920316089526</v>
      </c>
      <c r="J93" s="4" t="s">
        <v>259</v>
      </c>
      <c r="K93" s="4">
        <v>90</v>
      </c>
      <c r="L93" s="4"/>
      <c r="M93" s="4"/>
      <c r="N93" s="4" t="s">
        <v>253</v>
      </c>
      <c r="O93" s="4"/>
      <c r="P93" s="4" t="s">
        <v>258</v>
      </c>
      <c r="Q93" s="4"/>
      <c r="R93" s="4" t="s">
        <v>396</v>
      </c>
      <c r="S93" s="4" t="s">
        <v>397</v>
      </c>
      <c r="T93" s="4"/>
      <c r="U93" s="4" t="s">
        <v>398</v>
      </c>
      <c r="V93" s="4" t="s">
        <v>399</v>
      </c>
      <c r="W93" s="4" t="s">
        <v>400</v>
      </c>
      <c r="X93" s="4" t="s">
        <v>401</v>
      </c>
      <c r="Y93" s="4" t="s">
        <v>403</v>
      </c>
      <c r="Z93" s="4" t="s">
        <v>404</v>
      </c>
      <c r="AA93" s="4">
        <v>323</v>
      </c>
      <c r="AB93" s="4"/>
      <c r="AC93" s="4" t="s">
        <v>376</v>
      </c>
      <c r="AD93" s="4"/>
      <c r="AE93" s="4">
        <v>7200</v>
      </c>
      <c r="AF93" s="4" t="s">
        <v>405</v>
      </c>
      <c r="AG93" s="4"/>
      <c r="AH93" s="59"/>
      <c r="AJ93" s="25">
        <v>31.6227766016838</v>
      </c>
      <c r="AK93" s="25">
        <v>38.7683543420452</v>
      </c>
      <c r="AL93" s="11">
        <f t="shared" si="6"/>
        <v>4.7528568326613891</v>
      </c>
      <c r="AN93" s="63">
        <v>323</v>
      </c>
      <c r="AO93" s="11">
        <f t="shared" si="8"/>
        <v>348.15</v>
      </c>
      <c r="AP93" s="65" t="s">
        <v>161</v>
      </c>
      <c r="AQ93" s="66">
        <v>38.7683543420452</v>
      </c>
      <c r="AR93" s="66">
        <v>31.6227766016838</v>
      </c>
      <c r="AS93" s="11"/>
      <c r="AT93" s="11"/>
      <c r="AU93" s="11"/>
      <c r="BD93" s="19" t="s">
        <v>158</v>
      </c>
      <c r="BE93" s="11" t="s">
        <v>409</v>
      </c>
    </row>
    <row r="94" spans="2:57" x14ac:dyDescent="0.3">
      <c r="B94" s="11" t="s">
        <v>159</v>
      </c>
      <c r="C94" s="4" t="s">
        <v>182</v>
      </c>
      <c r="D94" s="4" t="s">
        <v>256</v>
      </c>
      <c r="E94" s="4"/>
      <c r="F94" s="42" t="s">
        <v>251</v>
      </c>
      <c r="G94" s="4"/>
      <c r="H94" s="4">
        <v>166.28200000000001</v>
      </c>
      <c r="I94" s="36">
        <f t="shared" si="5"/>
        <v>541.24920316089526</v>
      </c>
      <c r="J94" s="4" t="s">
        <v>259</v>
      </c>
      <c r="K94" s="4">
        <v>90</v>
      </c>
      <c r="L94" s="4"/>
      <c r="M94" s="4"/>
      <c r="N94" s="4" t="s">
        <v>253</v>
      </c>
      <c r="O94" s="4"/>
      <c r="P94" s="4" t="s">
        <v>258</v>
      </c>
      <c r="Q94" s="4"/>
      <c r="R94" s="4" t="s">
        <v>396</v>
      </c>
      <c r="S94" s="4" t="s">
        <v>397</v>
      </c>
      <c r="T94" s="4"/>
      <c r="U94" s="4" t="s">
        <v>398</v>
      </c>
      <c r="V94" s="4" t="s">
        <v>399</v>
      </c>
      <c r="W94" s="4" t="s">
        <v>400</v>
      </c>
      <c r="X94" s="4" t="s">
        <v>401</v>
      </c>
      <c r="Y94" s="4" t="s">
        <v>403</v>
      </c>
      <c r="Z94" s="4" t="s">
        <v>404</v>
      </c>
      <c r="AA94" s="4">
        <v>323</v>
      </c>
      <c r="AB94" s="4"/>
      <c r="AC94" s="4" t="s">
        <v>376</v>
      </c>
      <c r="AD94" s="4"/>
      <c r="AE94" s="4">
        <v>7200</v>
      </c>
      <c r="AF94" s="4" t="s">
        <v>405</v>
      </c>
      <c r="AG94" s="4"/>
      <c r="AH94" s="59"/>
      <c r="AJ94" s="25">
        <v>46.784618539059998</v>
      </c>
      <c r="AK94" s="25">
        <v>22.1655755346655</v>
      </c>
      <c r="AL94" s="11">
        <f t="shared" si="6"/>
        <v>2.2985879067341695</v>
      </c>
      <c r="AN94" s="63">
        <v>323</v>
      </c>
      <c r="AO94" s="11">
        <f t="shared" si="8"/>
        <v>348.15</v>
      </c>
      <c r="AP94" s="65" t="s">
        <v>161</v>
      </c>
      <c r="AQ94" s="66">
        <v>22.1655755346655</v>
      </c>
      <c r="AR94" s="66">
        <v>46.784618539059998</v>
      </c>
      <c r="AS94" s="11"/>
      <c r="AT94" s="11"/>
      <c r="AU94" s="11"/>
      <c r="BD94" s="19" t="s">
        <v>158</v>
      </c>
      <c r="BE94" s="11" t="s">
        <v>409</v>
      </c>
    </row>
    <row r="95" spans="2:57" ht="220.2" customHeight="1" x14ac:dyDescent="0.3">
      <c r="B95" s="11" t="s">
        <v>163</v>
      </c>
      <c r="C95" s="4" t="s">
        <v>164</v>
      </c>
      <c r="D95" s="4" t="s">
        <v>257</v>
      </c>
      <c r="E95" s="4" t="e" vm="4">
        <v>#VALUE!</v>
      </c>
      <c r="F95" s="42" t="s">
        <v>254</v>
      </c>
      <c r="G95" s="4"/>
      <c r="H95" s="4">
        <v>1023.654</v>
      </c>
      <c r="I95" s="36">
        <f t="shared" si="5"/>
        <v>167.14632092484374</v>
      </c>
      <c r="J95" s="4" t="s">
        <v>255</v>
      </c>
      <c r="K95" s="4">
        <v>171.1</v>
      </c>
      <c r="L95" s="4">
        <v>2.4500000000000002</v>
      </c>
      <c r="M95" s="4">
        <f>K95/L95</f>
        <v>69.836734693877546</v>
      </c>
      <c r="N95" s="4" t="s">
        <v>253</v>
      </c>
      <c r="O95" s="4"/>
      <c r="P95" s="4" t="s">
        <v>258</v>
      </c>
      <c r="Q95" s="4"/>
      <c r="R95" s="4" t="s">
        <v>396</v>
      </c>
      <c r="S95" s="4" t="s">
        <v>397</v>
      </c>
      <c r="T95" s="4"/>
      <c r="U95" s="4" t="s">
        <v>398</v>
      </c>
      <c r="V95" s="4" t="s">
        <v>399</v>
      </c>
      <c r="W95" s="4" t="s">
        <v>400</v>
      </c>
      <c r="X95" s="4" t="s">
        <v>402</v>
      </c>
      <c r="Y95" s="4" t="s">
        <v>403</v>
      </c>
      <c r="Z95" s="4" t="s">
        <v>404</v>
      </c>
      <c r="AA95" s="4">
        <v>318</v>
      </c>
      <c r="AB95" s="4"/>
      <c r="AC95" s="4" t="s">
        <v>376</v>
      </c>
      <c r="AD95" s="4"/>
      <c r="AE95" s="4">
        <v>7200</v>
      </c>
      <c r="AF95" s="4" t="s">
        <v>405</v>
      </c>
      <c r="AG95" s="4"/>
      <c r="AH95" s="59"/>
      <c r="AJ95" s="25">
        <v>8.0763753545408205E-3</v>
      </c>
      <c r="AK95" s="25">
        <v>442.680645941276</v>
      </c>
      <c r="AL95" s="11">
        <f t="shared" si="6"/>
        <v>0.1582696218839858</v>
      </c>
      <c r="AN95" s="63">
        <v>318</v>
      </c>
      <c r="AO95" s="11">
        <f t="shared" ref="AO95:AO117" si="9">25+273.15</f>
        <v>298.14999999999998</v>
      </c>
      <c r="AP95" s="65" t="s">
        <v>161</v>
      </c>
      <c r="AQ95" s="66">
        <v>442.680645941276</v>
      </c>
      <c r="AR95" s="66">
        <v>8.0763753545408205E-3</v>
      </c>
      <c r="AS95" s="11"/>
      <c r="AT95" s="11"/>
      <c r="AU95" s="11"/>
      <c r="BD95" s="19" t="s">
        <v>158</v>
      </c>
      <c r="BE95" s="11" t="s">
        <v>409</v>
      </c>
    </row>
    <row r="96" spans="2:57" x14ac:dyDescent="0.3">
      <c r="B96" s="11" t="s">
        <v>163</v>
      </c>
      <c r="C96" s="4" t="s">
        <v>164</v>
      </c>
      <c r="D96" s="4" t="s">
        <v>257</v>
      </c>
      <c r="E96" s="4"/>
      <c r="F96" s="42" t="s">
        <v>254</v>
      </c>
      <c r="G96" s="4"/>
      <c r="H96" s="4">
        <v>1023.654</v>
      </c>
      <c r="I96" s="36">
        <f t="shared" si="5"/>
        <v>167.14632092484374</v>
      </c>
      <c r="J96" s="4" t="s">
        <v>259</v>
      </c>
      <c r="K96" s="4">
        <v>171.1</v>
      </c>
      <c r="L96" s="4">
        <v>2.4500000000000002</v>
      </c>
      <c r="M96" s="4">
        <f t="shared" ref="M96:M159" si="10">K96/L96</f>
        <v>69.836734693877546</v>
      </c>
      <c r="N96" s="4" t="s">
        <v>253</v>
      </c>
      <c r="O96" s="4"/>
      <c r="P96" s="4" t="s">
        <v>258</v>
      </c>
      <c r="Q96" s="4"/>
      <c r="R96" s="4" t="s">
        <v>396</v>
      </c>
      <c r="S96" s="4" t="s">
        <v>397</v>
      </c>
      <c r="T96" s="4"/>
      <c r="U96" s="4" t="s">
        <v>398</v>
      </c>
      <c r="V96" s="4" t="s">
        <v>399</v>
      </c>
      <c r="W96" s="4" t="s">
        <v>400</v>
      </c>
      <c r="X96" s="4" t="s">
        <v>402</v>
      </c>
      <c r="Y96" s="4" t="s">
        <v>403</v>
      </c>
      <c r="Z96" s="4" t="s">
        <v>404</v>
      </c>
      <c r="AA96" s="4">
        <v>318</v>
      </c>
      <c r="AB96" s="4"/>
      <c r="AC96" s="4" t="s">
        <v>376</v>
      </c>
      <c r="AD96" s="4"/>
      <c r="AE96" s="4">
        <v>7200</v>
      </c>
      <c r="AF96" s="4" t="s">
        <v>405</v>
      </c>
      <c r="AG96" s="4"/>
      <c r="AH96" s="59"/>
      <c r="AJ96" s="25">
        <v>9.8820116335496099E-3</v>
      </c>
      <c r="AK96" s="25">
        <v>418.21458734152299</v>
      </c>
      <c r="AL96" s="11">
        <f t="shared" si="6"/>
        <v>0.17283978393545638</v>
      </c>
      <c r="AN96" s="63">
        <v>318</v>
      </c>
      <c r="AO96" s="11">
        <f t="shared" si="9"/>
        <v>298.14999999999998</v>
      </c>
      <c r="AP96" s="65" t="s">
        <v>161</v>
      </c>
      <c r="AQ96" s="66">
        <v>418.21458734152299</v>
      </c>
      <c r="AR96" s="66">
        <v>9.8820116335496099E-3</v>
      </c>
      <c r="AS96" s="11"/>
      <c r="AT96" s="11"/>
      <c r="AU96" s="11"/>
      <c r="BD96" s="19" t="s">
        <v>158</v>
      </c>
      <c r="BE96" s="11" t="s">
        <v>409</v>
      </c>
    </row>
    <row r="97" spans="2:57" x14ac:dyDescent="0.3">
      <c r="B97" s="11" t="s">
        <v>163</v>
      </c>
      <c r="C97" s="4" t="s">
        <v>164</v>
      </c>
      <c r="D97" s="4" t="s">
        <v>257</v>
      </c>
      <c r="E97" s="4"/>
      <c r="F97" s="42" t="s">
        <v>254</v>
      </c>
      <c r="G97" s="4"/>
      <c r="H97" s="4">
        <v>1023.654</v>
      </c>
      <c r="I97" s="36">
        <f t="shared" si="5"/>
        <v>167.14632092484374</v>
      </c>
      <c r="J97" s="4" t="s">
        <v>259</v>
      </c>
      <c r="K97" s="4">
        <v>171.1</v>
      </c>
      <c r="L97" s="4">
        <v>2.4500000000000002</v>
      </c>
      <c r="M97" s="4">
        <f t="shared" si="10"/>
        <v>69.836734693877546</v>
      </c>
      <c r="N97" s="4" t="s">
        <v>253</v>
      </c>
      <c r="O97" s="4"/>
      <c r="P97" s="4" t="s">
        <v>258</v>
      </c>
      <c r="Q97" s="4"/>
      <c r="R97" s="4" t="s">
        <v>396</v>
      </c>
      <c r="S97" s="4" t="s">
        <v>397</v>
      </c>
      <c r="T97" s="4"/>
      <c r="U97" s="4" t="s">
        <v>398</v>
      </c>
      <c r="V97" s="4" t="s">
        <v>399</v>
      </c>
      <c r="W97" s="4" t="s">
        <v>400</v>
      </c>
      <c r="X97" s="4" t="s">
        <v>402</v>
      </c>
      <c r="Y97" s="4" t="s">
        <v>403</v>
      </c>
      <c r="Z97" s="4" t="s">
        <v>404</v>
      </c>
      <c r="AA97" s="4">
        <v>318</v>
      </c>
      <c r="AB97" s="4"/>
      <c r="AC97" s="4" t="s">
        <v>376</v>
      </c>
      <c r="AD97" s="4"/>
      <c r="AE97" s="4">
        <v>7200</v>
      </c>
      <c r="AF97" s="4" t="s">
        <v>405</v>
      </c>
      <c r="AG97" s="4"/>
      <c r="AH97" s="59"/>
      <c r="AJ97" s="25">
        <v>1.2529627053302799E-2</v>
      </c>
      <c r="AK97" s="25">
        <v>402.65979825490803</v>
      </c>
      <c r="AL97" s="11">
        <f t="shared" si="6"/>
        <v>0.20314899938471082</v>
      </c>
      <c r="AN97" s="63">
        <v>318</v>
      </c>
      <c r="AO97" s="11">
        <f t="shared" si="9"/>
        <v>298.14999999999998</v>
      </c>
      <c r="AP97" s="65" t="s">
        <v>161</v>
      </c>
      <c r="AQ97" s="66">
        <v>402.65979825490803</v>
      </c>
      <c r="AR97" s="66">
        <v>1.2529627053302799E-2</v>
      </c>
      <c r="AS97" s="11"/>
      <c r="AT97" s="11"/>
      <c r="AU97" s="11"/>
      <c r="BD97" s="19" t="s">
        <v>158</v>
      </c>
      <c r="BE97" s="11" t="s">
        <v>409</v>
      </c>
    </row>
    <row r="98" spans="2:57" x14ac:dyDescent="0.3">
      <c r="B98" s="11" t="s">
        <v>163</v>
      </c>
      <c r="C98" s="4" t="s">
        <v>164</v>
      </c>
      <c r="D98" s="4" t="s">
        <v>257</v>
      </c>
      <c r="E98" s="4"/>
      <c r="F98" s="42" t="s">
        <v>254</v>
      </c>
      <c r="G98" s="4"/>
      <c r="H98" s="4">
        <v>1023.654</v>
      </c>
      <c r="I98" s="36">
        <f t="shared" si="5"/>
        <v>167.14632092484374</v>
      </c>
      <c r="J98" s="4" t="s">
        <v>259</v>
      </c>
      <c r="K98" s="4">
        <v>171.1</v>
      </c>
      <c r="L98" s="4">
        <v>2.4500000000000002</v>
      </c>
      <c r="M98" s="4">
        <f t="shared" si="10"/>
        <v>69.836734693877546</v>
      </c>
      <c r="N98" s="4" t="s">
        <v>253</v>
      </c>
      <c r="O98" s="4"/>
      <c r="P98" s="4" t="s">
        <v>258</v>
      </c>
      <c r="Q98" s="4"/>
      <c r="R98" s="4" t="s">
        <v>396</v>
      </c>
      <c r="S98" s="4" t="s">
        <v>397</v>
      </c>
      <c r="T98" s="4"/>
      <c r="U98" s="4" t="s">
        <v>398</v>
      </c>
      <c r="V98" s="4" t="s">
        <v>399</v>
      </c>
      <c r="W98" s="4" t="s">
        <v>400</v>
      </c>
      <c r="X98" s="4" t="s">
        <v>402</v>
      </c>
      <c r="Y98" s="4" t="s">
        <v>403</v>
      </c>
      <c r="Z98" s="4" t="s">
        <v>404</v>
      </c>
      <c r="AA98" s="4">
        <v>318</v>
      </c>
      <c r="AB98" s="4"/>
      <c r="AC98" s="4" t="s">
        <v>376</v>
      </c>
      <c r="AD98" s="4"/>
      <c r="AE98" s="4">
        <v>7200</v>
      </c>
      <c r="AF98" s="4" t="s">
        <v>405</v>
      </c>
      <c r="AG98" s="4"/>
      <c r="AH98" s="59"/>
      <c r="AJ98" s="25">
        <v>1.5699155409485899E-2</v>
      </c>
      <c r="AK98" s="25">
        <v>384.02733627598502</v>
      </c>
      <c r="AL98" s="11">
        <f t="shared" si="6"/>
        <v>0.23152642639424562</v>
      </c>
      <c r="AN98" s="63">
        <v>318</v>
      </c>
      <c r="AO98" s="11">
        <f t="shared" si="9"/>
        <v>298.14999999999998</v>
      </c>
      <c r="AP98" s="65" t="s">
        <v>161</v>
      </c>
      <c r="AQ98" s="66">
        <v>384.02733627598502</v>
      </c>
      <c r="AR98" s="66">
        <v>1.5699155409485899E-2</v>
      </c>
      <c r="AS98" s="11"/>
      <c r="AT98" s="11"/>
      <c r="AU98" s="11"/>
      <c r="BD98" s="19" t="s">
        <v>158</v>
      </c>
      <c r="BE98" s="11" t="s">
        <v>409</v>
      </c>
    </row>
    <row r="99" spans="2:57" x14ac:dyDescent="0.3">
      <c r="B99" s="11" t="s">
        <v>163</v>
      </c>
      <c r="C99" s="4" t="s">
        <v>164</v>
      </c>
      <c r="D99" s="4" t="s">
        <v>257</v>
      </c>
      <c r="E99" s="4"/>
      <c r="F99" s="42" t="s">
        <v>254</v>
      </c>
      <c r="G99" s="4"/>
      <c r="H99" s="4">
        <v>1023.654</v>
      </c>
      <c r="I99" s="36">
        <f t="shared" si="5"/>
        <v>167.14632092484374</v>
      </c>
      <c r="J99" s="4" t="s">
        <v>259</v>
      </c>
      <c r="K99" s="4">
        <v>171.1</v>
      </c>
      <c r="L99" s="4">
        <v>2.4500000000000002</v>
      </c>
      <c r="M99" s="4">
        <f t="shared" si="10"/>
        <v>69.836734693877546</v>
      </c>
      <c r="N99" s="4" t="s">
        <v>253</v>
      </c>
      <c r="O99" s="4"/>
      <c r="P99" s="4" t="s">
        <v>258</v>
      </c>
      <c r="Q99" s="4"/>
      <c r="R99" s="4" t="s">
        <v>396</v>
      </c>
      <c r="S99" s="4" t="s">
        <v>397</v>
      </c>
      <c r="T99" s="4"/>
      <c r="U99" s="4" t="s">
        <v>398</v>
      </c>
      <c r="V99" s="4" t="s">
        <v>399</v>
      </c>
      <c r="W99" s="4" t="s">
        <v>400</v>
      </c>
      <c r="X99" s="4" t="s">
        <v>402</v>
      </c>
      <c r="Y99" s="4" t="s">
        <v>403</v>
      </c>
      <c r="Z99" s="4" t="s">
        <v>404</v>
      </c>
      <c r="AA99" s="4">
        <v>318</v>
      </c>
      <c r="AB99" s="4"/>
      <c r="AC99" s="4" t="s">
        <v>376</v>
      </c>
      <c r="AD99" s="4"/>
      <c r="AE99" s="4">
        <v>7200</v>
      </c>
      <c r="AF99" s="4" t="s">
        <v>405</v>
      </c>
      <c r="AG99" s="4"/>
      <c r="AH99" s="59"/>
      <c r="AJ99" s="25">
        <v>2.0873132447169401E-2</v>
      </c>
      <c r="AK99" s="25">
        <v>359.381366380462</v>
      </c>
      <c r="AL99" s="11">
        <f t="shared" si="6"/>
        <v>0.26958687219952832</v>
      </c>
      <c r="AN99" s="63">
        <v>318</v>
      </c>
      <c r="AO99" s="11">
        <f t="shared" si="9"/>
        <v>298.14999999999998</v>
      </c>
      <c r="AP99" s="65" t="s">
        <v>161</v>
      </c>
      <c r="AQ99" s="66">
        <v>359.381366380462</v>
      </c>
      <c r="AR99" s="66">
        <v>2.0873132447169401E-2</v>
      </c>
      <c r="AS99" s="11"/>
      <c r="AT99" s="11"/>
      <c r="AU99" s="11"/>
      <c r="BD99" s="19" t="s">
        <v>158</v>
      </c>
      <c r="BE99" s="11" t="s">
        <v>409</v>
      </c>
    </row>
    <row r="100" spans="2:57" x14ac:dyDescent="0.3">
      <c r="B100" s="11" t="s">
        <v>163</v>
      </c>
      <c r="C100" s="4" t="s">
        <v>164</v>
      </c>
      <c r="D100" s="4" t="s">
        <v>257</v>
      </c>
      <c r="E100" s="4"/>
      <c r="F100" s="42" t="s">
        <v>254</v>
      </c>
      <c r="G100" s="4"/>
      <c r="H100" s="4">
        <v>1023.654</v>
      </c>
      <c r="I100" s="36">
        <f t="shared" si="5"/>
        <v>167.14632092484374</v>
      </c>
      <c r="J100" s="4" t="s">
        <v>259</v>
      </c>
      <c r="K100" s="4">
        <v>171.1</v>
      </c>
      <c r="L100" s="4">
        <v>2.4500000000000002</v>
      </c>
      <c r="M100" s="4">
        <f t="shared" si="10"/>
        <v>69.836734693877546</v>
      </c>
      <c r="N100" s="4" t="s">
        <v>253</v>
      </c>
      <c r="O100" s="4"/>
      <c r="P100" s="4" t="s">
        <v>258</v>
      </c>
      <c r="Q100" s="4"/>
      <c r="R100" s="4" t="s">
        <v>396</v>
      </c>
      <c r="S100" s="4" t="s">
        <v>397</v>
      </c>
      <c r="T100" s="4"/>
      <c r="U100" s="4" t="s">
        <v>398</v>
      </c>
      <c r="V100" s="4" t="s">
        <v>399</v>
      </c>
      <c r="W100" s="4" t="s">
        <v>400</v>
      </c>
      <c r="X100" s="4" t="s">
        <v>402</v>
      </c>
      <c r="Y100" s="4" t="s">
        <v>403</v>
      </c>
      <c r="Z100" s="4" t="s">
        <v>404</v>
      </c>
      <c r="AA100" s="4">
        <v>318</v>
      </c>
      <c r="AB100" s="4"/>
      <c r="AC100" s="4" t="s">
        <v>376</v>
      </c>
      <c r="AD100" s="4"/>
      <c r="AE100" s="4">
        <v>7200</v>
      </c>
      <c r="AF100" s="4" t="s">
        <v>405</v>
      </c>
      <c r="AG100" s="4"/>
      <c r="AH100" s="59"/>
      <c r="AJ100" s="25">
        <v>2.80836536446618E-2</v>
      </c>
      <c r="AK100" s="25">
        <v>339.51908947692101</v>
      </c>
      <c r="AL100" s="11">
        <f t="shared" si="6"/>
        <v>0.32372929636642966</v>
      </c>
      <c r="AN100" s="63">
        <v>318</v>
      </c>
      <c r="AO100" s="11">
        <f t="shared" si="9"/>
        <v>298.14999999999998</v>
      </c>
      <c r="AP100" s="65" t="s">
        <v>161</v>
      </c>
      <c r="AQ100" s="66">
        <v>339.51908947692101</v>
      </c>
      <c r="AR100" s="66">
        <v>2.80836536446618E-2</v>
      </c>
      <c r="AS100" s="11"/>
      <c r="AT100" s="11"/>
      <c r="AU100" s="11"/>
      <c r="BD100" s="19" t="s">
        <v>158</v>
      </c>
      <c r="BE100" s="11" t="s">
        <v>409</v>
      </c>
    </row>
    <row r="101" spans="2:57" x14ac:dyDescent="0.3">
      <c r="B101" s="11" t="s">
        <v>163</v>
      </c>
      <c r="C101" s="4" t="s">
        <v>164</v>
      </c>
      <c r="D101" s="4" t="s">
        <v>257</v>
      </c>
      <c r="E101" s="4"/>
      <c r="F101" s="42" t="s">
        <v>254</v>
      </c>
      <c r="G101" s="4"/>
      <c r="H101" s="4">
        <v>1023.654</v>
      </c>
      <c r="I101" s="36">
        <f t="shared" si="5"/>
        <v>167.14632092484374</v>
      </c>
      <c r="J101" s="4" t="s">
        <v>259</v>
      </c>
      <c r="K101" s="4">
        <v>171.1</v>
      </c>
      <c r="L101" s="4">
        <v>2.4500000000000002</v>
      </c>
      <c r="M101" s="4">
        <f t="shared" si="10"/>
        <v>69.836734693877546</v>
      </c>
      <c r="N101" s="4" t="s">
        <v>253</v>
      </c>
      <c r="O101" s="4"/>
      <c r="P101" s="4" t="s">
        <v>258</v>
      </c>
      <c r="Q101" s="4"/>
      <c r="R101" s="4" t="s">
        <v>396</v>
      </c>
      <c r="S101" s="4" t="s">
        <v>397</v>
      </c>
      <c r="T101" s="4"/>
      <c r="U101" s="4" t="s">
        <v>398</v>
      </c>
      <c r="V101" s="4" t="s">
        <v>399</v>
      </c>
      <c r="W101" s="4" t="s">
        <v>400</v>
      </c>
      <c r="X101" s="4" t="s">
        <v>402</v>
      </c>
      <c r="Y101" s="4" t="s">
        <v>403</v>
      </c>
      <c r="Z101" s="4" t="s">
        <v>404</v>
      </c>
      <c r="AA101" s="4">
        <v>318</v>
      </c>
      <c r="AB101" s="4"/>
      <c r="AC101" s="4" t="s">
        <v>376</v>
      </c>
      <c r="AD101" s="4"/>
      <c r="AE101" s="4">
        <v>7200</v>
      </c>
      <c r="AF101" s="4" t="s">
        <v>405</v>
      </c>
      <c r="AG101" s="4"/>
      <c r="AH101" s="59"/>
      <c r="AJ101" s="25">
        <v>4.0095236870985998E-2</v>
      </c>
      <c r="AK101" s="25">
        <v>320.75456020500201</v>
      </c>
      <c r="AL101" s="11">
        <f t="shared" si="6"/>
        <v>0.41251378171551589</v>
      </c>
      <c r="AN101" s="63">
        <v>318</v>
      </c>
      <c r="AO101" s="11">
        <f t="shared" si="9"/>
        <v>298.14999999999998</v>
      </c>
      <c r="AP101" s="65" t="s">
        <v>161</v>
      </c>
      <c r="AQ101" s="66">
        <v>320.75456020500201</v>
      </c>
      <c r="AR101" s="66">
        <v>4.0095236870985998E-2</v>
      </c>
      <c r="AS101" s="11"/>
      <c r="AT101" s="11"/>
      <c r="AU101" s="11"/>
      <c r="BD101" s="19" t="s">
        <v>158</v>
      </c>
      <c r="BE101" s="11" t="s">
        <v>409</v>
      </c>
    </row>
    <row r="102" spans="2:57" x14ac:dyDescent="0.3">
      <c r="B102" s="11" t="s">
        <v>163</v>
      </c>
      <c r="C102" s="4" t="s">
        <v>164</v>
      </c>
      <c r="D102" s="4" t="s">
        <v>257</v>
      </c>
      <c r="E102" s="4"/>
      <c r="F102" s="42" t="s">
        <v>254</v>
      </c>
      <c r="G102" s="4"/>
      <c r="H102" s="4">
        <v>1023.654</v>
      </c>
      <c r="I102" s="36">
        <f t="shared" si="5"/>
        <v>167.14632092484374</v>
      </c>
      <c r="J102" s="4" t="s">
        <v>259</v>
      </c>
      <c r="K102" s="4">
        <v>171.1</v>
      </c>
      <c r="L102" s="4">
        <v>2.4500000000000002</v>
      </c>
      <c r="M102" s="4">
        <f t="shared" si="10"/>
        <v>69.836734693877546</v>
      </c>
      <c r="N102" s="4" t="s">
        <v>253</v>
      </c>
      <c r="O102" s="4"/>
      <c r="P102" s="4" t="s">
        <v>258</v>
      </c>
      <c r="Q102" s="4"/>
      <c r="R102" s="4" t="s">
        <v>396</v>
      </c>
      <c r="S102" s="4" t="s">
        <v>397</v>
      </c>
      <c r="T102" s="4"/>
      <c r="U102" s="4" t="s">
        <v>398</v>
      </c>
      <c r="V102" s="4" t="s">
        <v>399</v>
      </c>
      <c r="W102" s="4" t="s">
        <v>400</v>
      </c>
      <c r="X102" s="4" t="s">
        <v>402</v>
      </c>
      <c r="Y102" s="4" t="s">
        <v>403</v>
      </c>
      <c r="Z102" s="4" t="s">
        <v>404</v>
      </c>
      <c r="AA102" s="4">
        <v>318</v>
      </c>
      <c r="AB102" s="4"/>
      <c r="AC102" s="4" t="s">
        <v>376</v>
      </c>
      <c r="AD102" s="4"/>
      <c r="AE102" s="4">
        <v>7200</v>
      </c>
      <c r="AF102" s="4" t="s">
        <v>405</v>
      </c>
      <c r="AG102" s="4"/>
      <c r="AH102" s="59"/>
      <c r="AJ102" s="25">
        <v>5.3309440404866099E-2</v>
      </c>
      <c r="AK102" s="25">
        <v>305.91213696462</v>
      </c>
      <c r="AL102" s="11">
        <f t="shared" si="6"/>
        <v>0.49888166085942748</v>
      </c>
      <c r="AN102" s="63">
        <v>318</v>
      </c>
      <c r="AO102" s="11">
        <f t="shared" si="9"/>
        <v>298.14999999999998</v>
      </c>
      <c r="AP102" s="65" t="s">
        <v>161</v>
      </c>
      <c r="AQ102" s="66">
        <v>305.91213696462</v>
      </c>
      <c r="AR102" s="66">
        <v>5.3309440404866099E-2</v>
      </c>
      <c r="AS102" s="11"/>
      <c r="AT102" s="11"/>
      <c r="AU102" s="11"/>
      <c r="BD102" s="19" t="s">
        <v>158</v>
      </c>
      <c r="BE102" s="11" t="s">
        <v>409</v>
      </c>
    </row>
    <row r="103" spans="2:57" x14ac:dyDescent="0.3">
      <c r="B103" s="11" t="s">
        <v>163</v>
      </c>
      <c r="C103" s="4" t="s">
        <v>164</v>
      </c>
      <c r="D103" s="4" t="s">
        <v>257</v>
      </c>
      <c r="E103" s="4"/>
      <c r="F103" s="42" t="s">
        <v>254</v>
      </c>
      <c r="G103" s="4"/>
      <c r="H103" s="4">
        <v>1023.654</v>
      </c>
      <c r="I103" s="36">
        <f t="shared" si="5"/>
        <v>167.14632092484374</v>
      </c>
      <c r="J103" s="4" t="s">
        <v>259</v>
      </c>
      <c r="K103" s="4">
        <v>171.1</v>
      </c>
      <c r="L103" s="4">
        <v>2.4500000000000002</v>
      </c>
      <c r="M103" s="4">
        <f t="shared" si="10"/>
        <v>69.836734693877546</v>
      </c>
      <c r="N103" s="4" t="s">
        <v>253</v>
      </c>
      <c r="O103" s="4"/>
      <c r="P103" s="4" t="s">
        <v>258</v>
      </c>
      <c r="Q103" s="4"/>
      <c r="R103" s="4" t="s">
        <v>396</v>
      </c>
      <c r="S103" s="4" t="s">
        <v>397</v>
      </c>
      <c r="T103" s="4"/>
      <c r="U103" s="4" t="s">
        <v>398</v>
      </c>
      <c r="V103" s="4" t="s">
        <v>399</v>
      </c>
      <c r="W103" s="4" t="s">
        <v>400</v>
      </c>
      <c r="X103" s="4" t="s">
        <v>402</v>
      </c>
      <c r="Y103" s="4" t="s">
        <v>403</v>
      </c>
      <c r="Z103" s="4" t="s">
        <v>404</v>
      </c>
      <c r="AA103" s="4">
        <v>318</v>
      </c>
      <c r="AB103" s="4"/>
      <c r="AC103" s="4" t="s">
        <v>376</v>
      </c>
      <c r="AD103" s="4"/>
      <c r="AE103" s="4">
        <v>7200</v>
      </c>
      <c r="AF103" s="4" t="s">
        <v>405</v>
      </c>
      <c r="AG103" s="4"/>
      <c r="AH103" s="59"/>
      <c r="AJ103" s="25">
        <v>7.1724925049475502E-2</v>
      </c>
      <c r="AK103" s="25">
        <v>289.004995579575</v>
      </c>
      <c r="AL103" s="11">
        <f t="shared" si="6"/>
        <v>0.5990744568623001</v>
      </c>
      <c r="AN103" s="63">
        <v>318</v>
      </c>
      <c r="AO103" s="11">
        <f t="shared" si="9"/>
        <v>298.14999999999998</v>
      </c>
      <c r="AP103" s="65" t="s">
        <v>161</v>
      </c>
      <c r="AQ103" s="66">
        <v>289.004995579575</v>
      </c>
      <c r="AR103" s="66">
        <v>7.1724925049475502E-2</v>
      </c>
      <c r="AS103" s="11"/>
      <c r="AT103" s="11"/>
      <c r="AU103" s="11"/>
      <c r="BD103" s="19" t="s">
        <v>158</v>
      </c>
      <c r="BE103" s="11" t="s">
        <v>409</v>
      </c>
    </row>
    <row r="104" spans="2:57" x14ac:dyDescent="0.3">
      <c r="B104" s="11" t="s">
        <v>163</v>
      </c>
      <c r="C104" s="4" t="s">
        <v>164</v>
      </c>
      <c r="D104" s="4" t="s">
        <v>257</v>
      </c>
      <c r="E104" s="4"/>
      <c r="F104" s="42" t="s">
        <v>254</v>
      </c>
      <c r="G104" s="4"/>
      <c r="H104" s="4">
        <v>1023.654</v>
      </c>
      <c r="I104" s="36">
        <f t="shared" si="5"/>
        <v>167.14632092484374</v>
      </c>
      <c r="J104" s="4" t="s">
        <v>259</v>
      </c>
      <c r="K104" s="4">
        <v>171.1</v>
      </c>
      <c r="L104" s="4">
        <v>2.4500000000000002</v>
      </c>
      <c r="M104" s="4">
        <f t="shared" si="10"/>
        <v>69.836734693877546</v>
      </c>
      <c r="N104" s="4" t="s">
        <v>253</v>
      </c>
      <c r="O104" s="4"/>
      <c r="P104" s="4" t="s">
        <v>258</v>
      </c>
      <c r="Q104" s="4"/>
      <c r="R104" s="4" t="s">
        <v>396</v>
      </c>
      <c r="S104" s="4" t="s">
        <v>397</v>
      </c>
      <c r="T104" s="4"/>
      <c r="U104" s="4" t="s">
        <v>398</v>
      </c>
      <c r="V104" s="4" t="s">
        <v>399</v>
      </c>
      <c r="W104" s="4" t="s">
        <v>400</v>
      </c>
      <c r="X104" s="4" t="s">
        <v>402</v>
      </c>
      <c r="Y104" s="4" t="s">
        <v>403</v>
      </c>
      <c r="Z104" s="4" t="s">
        <v>404</v>
      </c>
      <c r="AA104" s="4">
        <v>318</v>
      </c>
      <c r="AB104" s="4"/>
      <c r="AC104" s="4" t="s">
        <v>376</v>
      </c>
      <c r="AD104" s="4"/>
      <c r="AE104" s="4">
        <v>7200</v>
      </c>
      <c r="AF104" s="4" t="s">
        <v>405</v>
      </c>
      <c r="AG104" s="4"/>
      <c r="AH104" s="59"/>
      <c r="AJ104" s="25">
        <v>9.4238161344765606E-2</v>
      </c>
      <c r="AK104" s="25">
        <v>270.45733569217799</v>
      </c>
      <c r="AL104" s="11">
        <f t="shared" si="6"/>
        <v>0.68932548488682155</v>
      </c>
      <c r="AN104" s="63">
        <v>318</v>
      </c>
      <c r="AO104" s="11">
        <f t="shared" si="9"/>
        <v>298.14999999999998</v>
      </c>
      <c r="AP104" s="65" t="s">
        <v>161</v>
      </c>
      <c r="AQ104" s="66">
        <v>270.45733569217799</v>
      </c>
      <c r="AR104" s="66">
        <v>9.4238161344765606E-2</v>
      </c>
      <c r="AS104" s="11"/>
      <c r="AT104" s="11"/>
      <c r="AU104" s="11"/>
      <c r="BD104" s="19" t="s">
        <v>158</v>
      </c>
      <c r="BE104" s="11" t="s">
        <v>409</v>
      </c>
    </row>
    <row r="105" spans="2:57" x14ac:dyDescent="0.3">
      <c r="B105" s="11" t="s">
        <v>163</v>
      </c>
      <c r="C105" s="4" t="s">
        <v>164</v>
      </c>
      <c r="D105" s="4" t="s">
        <v>257</v>
      </c>
      <c r="E105" s="4"/>
      <c r="F105" s="42" t="s">
        <v>254</v>
      </c>
      <c r="G105" s="4"/>
      <c r="H105" s="4">
        <v>1023.654</v>
      </c>
      <c r="I105" s="36">
        <f t="shared" si="5"/>
        <v>167.14632092484374</v>
      </c>
      <c r="J105" s="4" t="s">
        <v>259</v>
      </c>
      <c r="K105" s="4">
        <v>171.1</v>
      </c>
      <c r="L105" s="4">
        <v>2.4500000000000002</v>
      </c>
      <c r="M105" s="4">
        <f t="shared" si="10"/>
        <v>69.836734693877546</v>
      </c>
      <c r="N105" s="4" t="s">
        <v>253</v>
      </c>
      <c r="O105" s="4"/>
      <c r="P105" s="4" t="s">
        <v>258</v>
      </c>
      <c r="Q105" s="4"/>
      <c r="R105" s="4" t="s">
        <v>396</v>
      </c>
      <c r="S105" s="4" t="s">
        <v>397</v>
      </c>
      <c r="T105" s="4"/>
      <c r="U105" s="4" t="s">
        <v>398</v>
      </c>
      <c r="V105" s="4" t="s">
        <v>399</v>
      </c>
      <c r="W105" s="4" t="s">
        <v>400</v>
      </c>
      <c r="X105" s="4" t="s">
        <v>402</v>
      </c>
      <c r="Y105" s="4" t="s">
        <v>403</v>
      </c>
      <c r="Z105" s="4" t="s">
        <v>404</v>
      </c>
      <c r="AA105" s="4">
        <v>318</v>
      </c>
      <c r="AB105" s="4"/>
      <c r="AC105" s="4" t="s">
        <v>376</v>
      </c>
      <c r="AD105" s="4"/>
      <c r="AE105" s="4">
        <v>7200</v>
      </c>
      <c r="AF105" s="4" t="s">
        <v>405</v>
      </c>
      <c r="AG105" s="4"/>
      <c r="AH105" s="59"/>
      <c r="AJ105" s="25">
        <v>0.12830613496326601</v>
      </c>
      <c r="AK105" s="25">
        <v>255.50970903525001</v>
      </c>
      <c r="AL105" s="11">
        <f t="shared" si="6"/>
        <v>0.83764931464408054</v>
      </c>
      <c r="AN105" s="63">
        <v>318</v>
      </c>
      <c r="AO105" s="11">
        <f t="shared" si="9"/>
        <v>298.14999999999998</v>
      </c>
      <c r="AP105" s="65" t="s">
        <v>161</v>
      </c>
      <c r="AQ105" s="66">
        <v>255.50970903525001</v>
      </c>
      <c r="AR105" s="66">
        <v>0.12830613496326601</v>
      </c>
      <c r="AS105" s="11"/>
      <c r="AT105" s="11"/>
      <c r="AU105" s="11"/>
      <c r="BD105" s="19" t="s">
        <v>158</v>
      </c>
      <c r="BE105" s="11" t="s">
        <v>409</v>
      </c>
    </row>
    <row r="106" spans="2:57" x14ac:dyDescent="0.3">
      <c r="B106" s="11" t="s">
        <v>163</v>
      </c>
      <c r="C106" s="4" t="s">
        <v>164</v>
      </c>
      <c r="D106" s="4" t="s">
        <v>257</v>
      </c>
      <c r="E106" s="4"/>
      <c r="F106" s="42" t="s">
        <v>254</v>
      </c>
      <c r="G106" s="4"/>
      <c r="H106" s="4">
        <v>1023.654</v>
      </c>
      <c r="I106" s="36">
        <f t="shared" si="5"/>
        <v>167.14632092484374</v>
      </c>
      <c r="J106" s="4" t="s">
        <v>259</v>
      </c>
      <c r="K106" s="4">
        <v>171.1</v>
      </c>
      <c r="L106" s="4">
        <v>2.4500000000000002</v>
      </c>
      <c r="M106" s="4">
        <f t="shared" si="10"/>
        <v>69.836734693877546</v>
      </c>
      <c r="N106" s="4" t="s">
        <v>253</v>
      </c>
      <c r="O106" s="4"/>
      <c r="P106" s="4" t="s">
        <v>258</v>
      </c>
      <c r="Q106" s="4"/>
      <c r="R106" s="4" t="s">
        <v>396</v>
      </c>
      <c r="S106" s="4" t="s">
        <v>397</v>
      </c>
      <c r="T106" s="4"/>
      <c r="U106" s="4" t="s">
        <v>398</v>
      </c>
      <c r="V106" s="4" t="s">
        <v>399</v>
      </c>
      <c r="W106" s="4" t="s">
        <v>400</v>
      </c>
      <c r="X106" s="4" t="s">
        <v>402</v>
      </c>
      <c r="Y106" s="4" t="s">
        <v>403</v>
      </c>
      <c r="Z106" s="4" t="s">
        <v>404</v>
      </c>
      <c r="AA106" s="4">
        <v>318</v>
      </c>
      <c r="AB106" s="4"/>
      <c r="AC106" s="4" t="s">
        <v>376</v>
      </c>
      <c r="AD106" s="4"/>
      <c r="AE106" s="4">
        <v>7200</v>
      </c>
      <c r="AF106" s="4" t="s">
        <v>405</v>
      </c>
      <c r="AG106" s="4"/>
      <c r="AH106" s="59"/>
      <c r="AJ106" s="25">
        <v>0.176775746714016</v>
      </c>
      <c r="AK106" s="25">
        <v>243.686390791219</v>
      </c>
      <c r="AL106" s="11">
        <f t="shared" si="6"/>
        <v>1.04974842533858</v>
      </c>
      <c r="AN106" s="63">
        <v>318</v>
      </c>
      <c r="AO106" s="11">
        <f t="shared" si="9"/>
        <v>298.14999999999998</v>
      </c>
      <c r="AP106" s="65" t="s">
        <v>161</v>
      </c>
      <c r="AQ106" s="66">
        <v>243.686390791219</v>
      </c>
      <c r="AR106" s="66">
        <v>0.176775746714016</v>
      </c>
      <c r="AS106" s="11"/>
      <c r="AT106" s="11"/>
      <c r="AU106" s="11"/>
      <c r="BD106" s="19" t="s">
        <v>158</v>
      </c>
      <c r="BE106" s="11" t="s">
        <v>409</v>
      </c>
    </row>
    <row r="107" spans="2:57" x14ac:dyDescent="0.3">
      <c r="B107" s="11" t="s">
        <v>163</v>
      </c>
      <c r="C107" s="4" t="s">
        <v>164</v>
      </c>
      <c r="D107" s="4" t="s">
        <v>257</v>
      </c>
      <c r="E107" s="4"/>
      <c r="F107" s="42" t="s">
        <v>254</v>
      </c>
      <c r="G107" s="4"/>
      <c r="H107" s="4">
        <v>1023.654</v>
      </c>
      <c r="I107" s="36">
        <f t="shared" si="5"/>
        <v>167.14632092484374</v>
      </c>
      <c r="J107" s="4" t="s">
        <v>259</v>
      </c>
      <c r="K107" s="4">
        <v>171.1</v>
      </c>
      <c r="L107" s="4">
        <v>2.4500000000000002</v>
      </c>
      <c r="M107" s="4">
        <f t="shared" si="10"/>
        <v>69.836734693877546</v>
      </c>
      <c r="N107" s="4" t="s">
        <v>253</v>
      </c>
      <c r="O107" s="4"/>
      <c r="P107" s="4" t="s">
        <v>258</v>
      </c>
      <c r="Q107" s="4"/>
      <c r="R107" s="4" t="s">
        <v>396</v>
      </c>
      <c r="S107" s="4" t="s">
        <v>397</v>
      </c>
      <c r="T107" s="4"/>
      <c r="U107" s="4" t="s">
        <v>398</v>
      </c>
      <c r="V107" s="4" t="s">
        <v>399</v>
      </c>
      <c r="W107" s="4" t="s">
        <v>400</v>
      </c>
      <c r="X107" s="4" t="s">
        <v>402</v>
      </c>
      <c r="Y107" s="4" t="s">
        <v>403</v>
      </c>
      <c r="Z107" s="4" t="s">
        <v>404</v>
      </c>
      <c r="AA107" s="4">
        <v>318</v>
      </c>
      <c r="AB107" s="4"/>
      <c r="AC107" s="4" t="s">
        <v>376</v>
      </c>
      <c r="AD107" s="4"/>
      <c r="AE107" s="4">
        <v>7200</v>
      </c>
      <c r="AF107" s="4" t="s">
        <v>405</v>
      </c>
      <c r="AG107" s="4"/>
      <c r="AH107" s="59"/>
      <c r="AJ107" s="25">
        <v>0.246463480571192</v>
      </c>
      <c r="AK107" s="25">
        <v>232.4101783884</v>
      </c>
      <c r="AL107" s="11">
        <f t="shared" si="6"/>
        <v>1.3312599457707779</v>
      </c>
      <c r="AN107" s="63">
        <v>318</v>
      </c>
      <c r="AO107" s="11">
        <f t="shared" si="9"/>
        <v>298.14999999999998</v>
      </c>
      <c r="AP107" s="65" t="s">
        <v>161</v>
      </c>
      <c r="AQ107" s="66">
        <v>232.4101783884</v>
      </c>
      <c r="AR107" s="66">
        <v>0.246463480571192</v>
      </c>
      <c r="AS107" s="11"/>
      <c r="AT107" s="11"/>
      <c r="AU107" s="11"/>
      <c r="BD107" s="19" t="s">
        <v>158</v>
      </c>
      <c r="BE107" s="11" t="s">
        <v>409</v>
      </c>
    </row>
    <row r="108" spans="2:57" x14ac:dyDescent="0.3">
      <c r="B108" s="11" t="s">
        <v>163</v>
      </c>
      <c r="C108" s="4" t="s">
        <v>164</v>
      </c>
      <c r="D108" s="4" t="s">
        <v>257</v>
      </c>
      <c r="E108" s="4"/>
      <c r="F108" s="42" t="s">
        <v>254</v>
      </c>
      <c r="G108" s="4"/>
      <c r="H108" s="4">
        <v>1023.654</v>
      </c>
      <c r="I108" s="36">
        <f t="shared" si="5"/>
        <v>167.14632092484374</v>
      </c>
      <c r="J108" s="4" t="s">
        <v>259</v>
      </c>
      <c r="K108" s="4">
        <v>171.1</v>
      </c>
      <c r="L108" s="4">
        <v>2.4500000000000002</v>
      </c>
      <c r="M108" s="4">
        <f t="shared" si="10"/>
        <v>69.836734693877546</v>
      </c>
      <c r="N108" s="4" t="s">
        <v>253</v>
      </c>
      <c r="O108" s="4"/>
      <c r="P108" s="4" t="s">
        <v>258</v>
      </c>
      <c r="Q108" s="4"/>
      <c r="R108" s="4" t="s">
        <v>396</v>
      </c>
      <c r="S108" s="4" t="s">
        <v>397</v>
      </c>
      <c r="T108" s="4"/>
      <c r="U108" s="4" t="s">
        <v>398</v>
      </c>
      <c r="V108" s="4" t="s">
        <v>399</v>
      </c>
      <c r="W108" s="4" t="s">
        <v>400</v>
      </c>
      <c r="X108" s="4" t="s">
        <v>402</v>
      </c>
      <c r="Y108" s="4" t="s">
        <v>403</v>
      </c>
      <c r="Z108" s="4" t="s">
        <v>404</v>
      </c>
      <c r="AA108" s="4">
        <v>318</v>
      </c>
      <c r="AB108" s="4"/>
      <c r="AC108" s="4" t="s">
        <v>376</v>
      </c>
      <c r="AD108" s="4"/>
      <c r="AE108" s="4">
        <v>7200</v>
      </c>
      <c r="AF108" s="4" t="s">
        <v>405</v>
      </c>
      <c r="AG108" s="4"/>
      <c r="AH108" s="59"/>
      <c r="AJ108" s="25">
        <v>0.35187770646174299</v>
      </c>
      <c r="AK108" s="25">
        <v>221.65575534665601</v>
      </c>
      <c r="AL108" s="11">
        <f t="shared" si="6"/>
        <v>1.7288199967838762</v>
      </c>
      <c r="AN108" s="63">
        <v>318</v>
      </c>
      <c r="AO108" s="11">
        <f t="shared" si="9"/>
        <v>298.14999999999998</v>
      </c>
      <c r="AP108" s="65" t="s">
        <v>161</v>
      </c>
      <c r="AQ108" s="66">
        <v>221.65575534665601</v>
      </c>
      <c r="AR108" s="66">
        <v>0.35187770646174299</v>
      </c>
      <c r="AS108" s="11"/>
      <c r="AT108" s="11"/>
      <c r="AU108" s="11"/>
      <c r="BD108" s="19" t="s">
        <v>158</v>
      </c>
      <c r="BE108" s="11" t="s">
        <v>409</v>
      </c>
    </row>
    <row r="109" spans="2:57" x14ac:dyDescent="0.3">
      <c r="B109" s="11" t="s">
        <v>163</v>
      </c>
      <c r="C109" s="4" t="s">
        <v>164</v>
      </c>
      <c r="D109" s="4" t="s">
        <v>257</v>
      </c>
      <c r="E109" s="4"/>
      <c r="F109" s="42" t="s">
        <v>254</v>
      </c>
      <c r="G109" s="4"/>
      <c r="H109" s="4">
        <v>1023.654</v>
      </c>
      <c r="I109" s="36">
        <f t="shared" si="5"/>
        <v>167.14632092484374</v>
      </c>
      <c r="J109" s="4" t="s">
        <v>259</v>
      </c>
      <c r="K109" s="4">
        <v>171.1</v>
      </c>
      <c r="L109" s="4">
        <v>2.4500000000000002</v>
      </c>
      <c r="M109" s="4">
        <f t="shared" si="10"/>
        <v>69.836734693877546</v>
      </c>
      <c r="N109" s="4" t="s">
        <v>253</v>
      </c>
      <c r="O109" s="4"/>
      <c r="P109" s="4" t="s">
        <v>258</v>
      </c>
      <c r="Q109" s="4"/>
      <c r="R109" s="4" t="s">
        <v>396</v>
      </c>
      <c r="S109" s="4" t="s">
        <v>397</v>
      </c>
      <c r="T109" s="4"/>
      <c r="U109" s="4" t="s">
        <v>398</v>
      </c>
      <c r="V109" s="4" t="s">
        <v>399</v>
      </c>
      <c r="W109" s="4" t="s">
        <v>400</v>
      </c>
      <c r="X109" s="4" t="s">
        <v>402</v>
      </c>
      <c r="Y109" s="4" t="s">
        <v>403</v>
      </c>
      <c r="Z109" s="4" t="s">
        <v>404</v>
      </c>
      <c r="AA109" s="4">
        <v>318</v>
      </c>
      <c r="AB109" s="4"/>
      <c r="AC109" s="4" t="s">
        <v>376</v>
      </c>
      <c r="AD109" s="4"/>
      <c r="AE109" s="4">
        <v>7200</v>
      </c>
      <c r="AF109" s="4" t="s">
        <v>405</v>
      </c>
      <c r="AG109" s="4"/>
      <c r="AH109" s="59"/>
      <c r="AJ109" s="25">
        <v>0.52680451025890696</v>
      </c>
      <c r="AK109" s="25">
        <v>207.43041106148499</v>
      </c>
      <c r="AL109" s="11">
        <f t="shared" si="6"/>
        <v>2.266701544277967</v>
      </c>
      <c r="AN109" s="63">
        <v>318</v>
      </c>
      <c r="AO109" s="11">
        <f t="shared" si="9"/>
        <v>298.14999999999998</v>
      </c>
      <c r="AP109" s="65" t="s">
        <v>161</v>
      </c>
      <c r="AQ109" s="66">
        <v>207.43041106148499</v>
      </c>
      <c r="AR109" s="66">
        <v>0.52680451025890696</v>
      </c>
      <c r="AS109" s="11"/>
      <c r="AT109" s="11"/>
      <c r="AU109" s="11"/>
      <c r="BD109" s="19" t="s">
        <v>158</v>
      </c>
      <c r="BE109" s="11" t="s">
        <v>409</v>
      </c>
    </row>
    <row r="110" spans="2:57" x14ac:dyDescent="0.3">
      <c r="B110" s="11" t="s">
        <v>163</v>
      </c>
      <c r="C110" s="4" t="s">
        <v>164</v>
      </c>
      <c r="D110" s="4" t="s">
        <v>257</v>
      </c>
      <c r="E110" s="4"/>
      <c r="F110" s="42" t="s">
        <v>254</v>
      </c>
      <c r="G110" s="4"/>
      <c r="H110" s="4">
        <v>1023.654</v>
      </c>
      <c r="I110" s="36">
        <f t="shared" si="5"/>
        <v>167.14632092484374</v>
      </c>
      <c r="J110" s="4" t="s">
        <v>259</v>
      </c>
      <c r="K110" s="4">
        <v>171.1</v>
      </c>
      <c r="L110" s="4">
        <v>2.4500000000000002</v>
      </c>
      <c r="M110" s="4">
        <f t="shared" si="10"/>
        <v>69.836734693877546</v>
      </c>
      <c r="N110" s="4" t="s">
        <v>253</v>
      </c>
      <c r="O110" s="4"/>
      <c r="P110" s="4" t="s">
        <v>258</v>
      </c>
      <c r="Q110" s="4"/>
      <c r="R110" s="4" t="s">
        <v>396</v>
      </c>
      <c r="S110" s="4" t="s">
        <v>397</v>
      </c>
      <c r="T110" s="4"/>
      <c r="U110" s="4" t="s">
        <v>398</v>
      </c>
      <c r="V110" s="4" t="s">
        <v>399</v>
      </c>
      <c r="W110" s="4" t="s">
        <v>400</v>
      </c>
      <c r="X110" s="4" t="s">
        <v>402</v>
      </c>
      <c r="Y110" s="4" t="s">
        <v>403</v>
      </c>
      <c r="Z110" s="4" t="s">
        <v>404</v>
      </c>
      <c r="AA110" s="4">
        <v>318</v>
      </c>
      <c r="AB110" s="4"/>
      <c r="AC110" s="4" t="s">
        <v>376</v>
      </c>
      <c r="AD110" s="4"/>
      <c r="AE110" s="4">
        <v>7200</v>
      </c>
      <c r="AF110" s="4" t="s">
        <v>405</v>
      </c>
      <c r="AG110" s="4"/>
      <c r="AH110" s="59"/>
      <c r="AJ110" s="25">
        <v>0.817280494501887</v>
      </c>
      <c r="AK110" s="25">
        <v>194.118015865838</v>
      </c>
      <c r="AL110" s="11">
        <f t="shared" si="6"/>
        <v>3.0796603475241171</v>
      </c>
      <c r="AN110" s="63">
        <v>318</v>
      </c>
      <c r="AO110" s="11">
        <f t="shared" si="9"/>
        <v>298.14999999999998</v>
      </c>
      <c r="AP110" s="65" t="s">
        <v>161</v>
      </c>
      <c r="AQ110" s="66">
        <v>194.118015865838</v>
      </c>
      <c r="AR110" s="66">
        <v>0.817280494501887</v>
      </c>
      <c r="AS110" s="11"/>
      <c r="AT110" s="11"/>
      <c r="AU110" s="11"/>
      <c r="BD110" s="19" t="s">
        <v>158</v>
      </c>
      <c r="BE110" s="11" t="s">
        <v>409</v>
      </c>
    </row>
    <row r="111" spans="2:57" x14ac:dyDescent="0.3">
      <c r="B111" s="11" t="s">
        <v>163</v>
      </c>
      <c r="C111" s="4" t="s">
        <v>164</v>
      </c>
      <c r="D111" s="4" t="s">
        <v>257</v>
      </c>
      <c r="E111" s="4"/>
      <c r="F111" s="42" t="s">
        <v>254</v>
      </c>
      <c r="G111" s="4"/>
      <c r="H111" s="4">
        <v>1023.654</v>
      </c>
      <c r="I111" s="36">
        <f t="shared" si="5"/>
        <v>167.14632092484374</v>
      </c>
      <c r="J111" s="4" t="s">
        <v>259</v>
      </c>
      <c r="K111" s="4">
        <v>171.1</v>
      </c>
      <c r="L111" s="4">
        <v>2.4500000000000002</v>
      </c>
      <c r="M111" s="4">
        <f t="shared" si="10"/>
        <v>69.836734693877546</v>
      </c>
      <c r="N111" s="4" t="s">
        <v>253</v>
      </c>
      <c r="O111" s="4"/>
      <c r="P111" s="4" t="s">
        <v>258</v>
      </c>
      <c r="Q111" s="4"/>
      <c r="R111" s="4" t="s">
        <v>396</v>
      </c>
      <c r="S111" s="4" t="s">
        <v>397</v>
      </c>
      <c r="T111" s="4"/>
      <c r="U111" s="4" t="s">
        <v>398</v>
      </c>
      <c r="V111" s="4" t="s">
        <v>399</v>
      </c>
      <c r="W111" s="4" t="s">
        <v>400</v>
      </c>
      <c r="X111" s="4" t="s">
        <v>402</v>
      </c>
      <c r="Y111" s="4" t="s">
        <v>403</v>
      </c>
      <c r="Z111" s="4" t="s">
        <v>404</v>
      </c>
      <c r="AA111" s="4">
        <v>318</v>
      </c>
      <c r="AB111" s="4"/>
      <c r="AC111" s="4" t="s">
        <v>376</v>
      </c>
      <c r="AD111" s="4"/>
      <c r="AE111" s="4">
        <v>7200</v>
      </c>
      <c r="AF111" s="4" t="s">
        <v>405</v>
      </c>
      <c r="AG111" s="4"/>
      <c r="AH111" s="59"/>
      <c r="AJ111" s="25">
        <v>1.2830613496326599</v>
      </c>
      <c r="AK111" s="25">
        <v>183.38950809170001</v>
      </c>
      <c r="AL111" s="11">
        <f t="shared" si="6"/>
        <v>4.3151549376179625</v>
      </c>
      <c r="AN111" s="63">
        <v>318</v>
      </c>
      <c r="AO111" s="11">
        <f t="shared" si="9"/>
        <v>298.14999999999998</v>
      </c>
      <c r="AP111" s="65" t="s">
        <v>161</v>
      </c>
      <c r="AQ111" s="66">
        <v>183.38950809170001</v>
      </c>
      <c r="AR111" s="66">
        <v>1.2830613496326599</v>
      </c>
      <c r="AS111" s="11"/>
      <c r="AT111" s="11"/>
      <c r="AU111" s="11"/>
      <c r="BD111" s="19" t="s">
        <v>158</v>
      </c>
      <c r="BE111" s="11" t="s">
        <v>409</v>
      </c>
    </row>
    <row r="112" spans="2:57" x14ac:dyDescent="0.3">
      <c r="B112" s="11" t="s">
        <v>163</v>
      </c>
      <c r="C112" s="4" t="s">
        <v>164</v>
      </c>
      <c r="D112" s="4" t="s">
        <v>257</v>
      </c>
      <c r="E112" s="4"/>
      <c r="F112" s="42" t="s">
        <v>254</v>
      </c>
      <c r="G112" s="4"/>
      <c r="H112" s="4">
        <v>1023.654</v>
      </c>
      <c r="I112" s="36">
        <f t="shared" si="5"/>
        <v>167.14632092484374</v>
      </c>
      <c r="J112" s="4" t="s">
        <v>259</v>
      </c>
      <c r="K112" s="4">
        <v>171.1</v>
      </c>
      <c r="L112" s="4">
        <v>2.4500000000000002</v>
      </c>
      <c r="M112" s="4">
        <f t="shared" si="10"/>
        <v>69.836734693877546</v>
      </c>
      <c r="N112" s="4" t="s">
        <v>253</v>
      </c>
      <c r="O112" s="4"/>
      <c r="P112" s="4" t="s">
        <v>258</v>
      </c>
      <c r="Q112" s="4"/>
      <c r="R112" s="4" t="s">
        <v>396</v>
      </c>
      <c r="S112" s="4" t="s">
        <v>397</v>
      </c>
      <c r="T112" s="4"/>
      <c r="U112" s="4" t="s">
        <v>398</v>
      </c>
      <c r="V112" s="4" t="s">
        <v>399</v>
      </c>
      <c r="W112" s="4" t="s">
        <v>400</v>
      </c>
      <c r="X112" s="4" t="s">
        <v>402</v>
      </c>
      <c r="Y112" s="4" t="s">
        <v>403</v>
      </c>
      <c r="Z112" s="4" t="s">
        <v>404</v>
      </c>
      <c r="AA112" s="4">
        <v>318</v>
      </c>
      <c r="AB112" s="4"/>
      <c r="AC112" s="4" t="s">
        <v>376</v>
      </c>
      <c r="AD112" s="4"/>
      <c r="AE112" s="4">
        <v>7200</v>
      </c>
      <c r="AF112" s="4" t="s">
        <v>405</v>
      </c>
      <c r="AG112" s="4"/>
      <c r="AH112" s="59"/>
      <c r="AJ112" s="25">
        <v>1.8982373547039899</v>
      </c>
      <c r="AK112" s="25">
        <v>176.56864338394999</v>
      </c>
      <c r="AL112" s="11">
        <f t="shared" si="6"/>
        <v>5.9180369984164045</v>
      </c>
      <c r="AN112" s="63">
        <v>318</v>
      </c>
      <c r="AO112" s="11">
        <f t="shared" si="9"/>
        <v>298.14999999999998</v>
      </c>
      <c r="AP112" s="65" t="s">
        <v>161</v>
      </c>
      <c r="AQ112" s="66">
        <v>176.56864338394999</v>
      </c>
      <c r="AR112" s="66">
        <v>1.8982373547039899</v>
      </c>
      <c r="AS112" s="11"/>
      <c r="AT112" s="11"/>
      <c r="AU112" s="11"/>
      <c r="BD112" s="19" t="s">
        <v>158</v>
      </c>
      <c r="BE112" s="11" t="s">
        <v>409</v>
      </c>
    </row>
    <row r="113" spans="2:57" x14ac:dyDescent="0.3">
      <c r="B113" s="11" t="s">
        <v>163</v>
      </c>
      <c r="C113" s="4" t="s">
        <v>164</v>
      </c>
      <c r="D113" s="4" t="s">
        <v>257</v>
      </c>
      <c r="E113" s="4"/>
      <c r="F113" s="42" t="s">
        <v>254</v>
      </c>
      <c r="G113" s="4"/>
      <c r="H113" s="4">
        <v>1023.654</v>
      </c>
      <c r="I113" s="36">
        <f t="shared" si="5"/>
        <v>167.14632092484374</v>
      </c>
      <c r="J113" s="4" t="s">
        <v>259</v>
      </c>
      <c r="K113" s="4">
        <v>171.1</v>
      </c>
      <c r="L113" s="4">
        <v>2.4500000000000002</v>
      </c>
      <c r="M113" s="4">
        <f t="shared" si="10"/>
        <v>69.836734693877546</v>
      </c>
      <c r="N113" s="4" t="s">
        <v>253</v>
      </c>
      <c r="O113" s="4"/>
      <c r="P113" s="4" t="s">
        <v>258</v>
      </c>
      <c r="Q113" s="4"/>
      <c r="R113" s="4" t="s">
        <v>396</v>
      </c>
      <c r="S113" s="4" t="s">
        <v>397</v>
      </c>
      <c r="T113" s="4"/>
      <c r="U113" s="4" t="s">
        <v>398</v>
      </c>
      <c r="V113" s="4" t="s">
        <v>399</v>
      </c>
      <c r="W113" s="4" t="s">
        <v>400</v>
      </c>
      <c r="X113" s="4" t="s">
        <v>402</v>
      </c>
      <c r="Y113" s="4" t="s">
        <v>403</v>
      </c>
      <c r="Z113" s="4" t="s">
        <v>404</v>
      </c>
      <c r="AA113" s="4">
        <v>318</v>
      </c>
      <c r="AB113" s="4"/>
      <c r="AC113" s="4" t="s">
        <v>376</v>
      </c>
      <c r="AD113" s="4"/>
      <c r="AE113" s="4">
        <v>7200</v>
      </c>
      <c r="AF113" s="4" t="s">
        <v>405</v>
      </c>
      <c r="AG113" s="4"/>
      <c r="AH113" s="59"/>
      <c r="AJ113" s="25">
        <v>2.7101272981508</v>
      </c>
      <c r="AK113" s="25">
        <v>170.00146928176</v>
      </c>
      <c r="AL113" s="11">
        <f t="shared" si="6"/>
        <v>7.8324032782214896</v>
      </c>
      <c r="AN113" s="63">
        <v>318</v>
      </c>
      <c r="AO113" s="11">
        <f t="shared" si="9"/>
        <v>298.14999999999998</v>
      </c>
      <c r="AP113" s="65" t="s">
        <v>161</v>
      </c>
      <c r="AQ113" s="66">
        <v>170.00146928176</v>
      </c>
      <c r="AR113" s="66">
        <v>2.7101272981508</v>
      </c>
      <c r="AS113" s="11"/>
      <c r="AT113" s="11"/>
      <c r="AU113" s="11"/>
      <c r="BD113" s="19" t="s">
        <v>158</v>
      </c>
      <c r="BE113" s="11" t="s">
        <v>409</v>
      </c>
    </row>
    <row r="114" spans="2:57" x14ac:dyDescent="0.3">
      <c r="B114" s="11" t="s">
        <v>163</v>
      </c>
      <c r="C114" s="4" t="s">
        <v>164</v>
      </c>
      <c r="D114" s="4" t="s">
        <v>257</v>
      </c>
      <c r="E114" s="4"/>
      <c r="F114" s="42" t="s">
        <v>254</v>
      </c>
      <c r="G114" s="4"/>
      <c r="H114" s="4">
        <v>1023.654</v>
      </c>
      <c r="I114" s="36">
        <f t="shared" si="5"/>
        <v>167.14632092484374</v>
      </c>
      <c r="J114" s="4" t="s">
        <v>259</v>
      </c>
      <c r="K114" s="4">
        <v>171.1</v>
      </c>
      <c r="L114" s="4">
        <v>2.4500000000000002</v>
      </c>
      <c r="M114" s="4">
        <f t="shared" si="10"/>
        <v>69.836734693877546</v>
      </c>
      <c r="N114" s="4" t="s">
        <v>253</v>
      </c>
      <c r="O114" s="4"/>
      <c r="P114" s="4" t="s">
        <v>258</v>
      </c>
      <c r="Q114" s="4"/>
      <c r="R114" s="4" t="s">
        <v>396</v>
      </c>
      <c r="S114" s="4" t="s">
        <v>397</v>
      </c>
      <c r="T114" s="4"/>
      <c r="U114" s="4" t="s">
        <v>398</v>
      </c>
      <c r="V114" s="4" t="s">
        <v>399</v>
      </c>
      <c r="W114" s="4" t="s">
        <v>400</v>
      </c>
      <c r="X114" s="4" t="s">
        <v>402</v>
      </c>
      <c r="Y114" s="4" t="s">
        <v>403</v>
      </c>
      <c r="Z114" s="4" t="s">
        <v>404</v>
      </c>
      <c r="AA114" s="4">
        <v>318</v>
      </c>
      <c r="AB114" s="4"/>
      <c r="AC114" s="4" t="s">
        <v>376</v>
      </c>
      <c r="AD114" s="4"/>
      <c r="AE114" s="4">
        <v>7200</v>
      </c>
      <c r="AF114" s="4" t="s">
        <v>405</v>
      </c>
      <c r="AG114" s="4"/>
      <c r="AH114" s="59"/>
      <c r="AJ114" s="25">
        <v>3.7785014014045699</v>
      </c>
      <c r="AK114" s="25">
        <v>163.67855018919201</v>
      </c>
      <c r="AL114" s="11">
        <f t="shared" si="6"/>
        <v>10.122857579677174</v>
      </c>
      <c r="AN114" s="63">
        <v>318</v>
      </c>
      <c r="AO114" s="11">
        <f t="shared" si="9"/>
        <v>298.14999999999998</v>
      </c>
      <c r="AP114" s="65" t="s">
        <v>161</v>
      </c>
      <c r="AQ114" s="66">
        <v>163.67855018919201</v>
      </c>
      <c r="AR114" s="66">
        <v>3.7785014014045699</v>
      </c>
      <c r="AS114" s="11"/>
      <c r="AT114" s="11"/>
      <c r="AU114" s="11"/>
      <c r="BD114" s="19" t="s">
        <v>158</v>
      </c>
      <c r="BE114" s="11" t="s">
        <v>409</v>
      </c>
    </row>
    <row r="115" spans="2:57" x14ac:dyDescent="0.3">
      <c r="B115" s="11" t="s">
        <v>163</v>
      </c>
      <c r="C115" s="4" t="s">
        <v>164</v>
      </c>
      <c r="D115" s="4" t="s">
        <v>257</v>
      </c>
      <c r="E115" s="4"/>
      <c r="F115" s="42" t="s">
        <v>254</v>
      </c>
      <c r="G115" s="4"/>
      <c r="H115" s="4">
        <v>1023.654</v>
      </c>
      <c r="I115" s="36">
        <f t="shared" si="5"/>
        <v>167.14632092484374</v>
      </c>
      <c r="J115" s="4" t="s">
        <v>259</v>
      </c>
      <c r="K115" s="4">
        <v>171.1</v>
      </c>
      <c r="L115" s="4">
        <v>2.4500000000000002</v>
      </c>
      <c r="M115" s="4">
        <f t="shared" si="10"/>
        <v>69.836734693877546</v>
      </c>
      <c r="N115" s="4" t="s">
        <v>253</v>
      </c>
      <c r="O115" s="4"/>
      <c r="P115" s="4" t="s">
        <v>258</v>
      </c>
      <c r="Q115" s="4"/>
      <c r="R115" s="4" t="s">
        <v>396</v>
      </c>
      <c r="S115" s="4" t="s">
        <v>397</v>
      </c>
      <c r="T115" s="4"/>
      <c r="U115" s="4" t="s">
        <v>398</v>
      </c>
      <c r="V115" s="4" t="s">
        <v>399</v>
      </c>
      <c r="W115" s="4" t="s">
        <v>400</v>
      </c>
      <c r="X115" s="4" t="s">
        <v>402</v>
      </c>
      <c r="Y115" s="4" t="s">
        <v>403</v>
      </c>
      <c r="Z115" s="4" t="s">
        <v>404</v>
      </c>
      <c r="AA115" s="4">
        <v>318</v>
      </c>
      <c r="AB115" s="4"/>
      <c r="AC115" s="4" t="s">
        <v>376</v>
      </c>
      <c r="AD115" s="4"/>
      <c r="AE115" s="4">
        <v>7200</v>
      </c>
      <c r="AF115" s="4" t="s">
        <v>405</v>
      </c>
      <c r="AG115" s="4"/>
      <c r="AH115" s="59"/>
      <c r="AJ115" s="25">
        <v>5.3945939735468</v>
      </c>
      <c r="AK115" s="25">
        <v>156.104577380427</v>
      </c>
      <c r="AL115" s="11">
        <f t="shared" si="6"/>
        <v>13.145891351976708</v>
      </c>
      <c r="AN115" s="63">
        <v>318</v>
      </c>
      <c r="AO115" s="11">
        <f t="shared" si="9"/>
        <v>298.14999999999998</v>
      </c>
      <c r="AP115" s="65" t="s">
        <v>161</v>
      </c>
      <c r="AQ115" s="66">
        <v>156.104577380427</v>
      </c>
      <c r="AR115" s="66">
        <v>5.3945939735468</v>
      </c>
      <c r="AS115" s="11"/>
      <c r="AT115" s="11"/>
      <c r="AU115" s="11"/>
      <c r="BD115" s="19" t="s">
        <v>158</v>
      </c>
      <c r="BE115" s="11" t="s">
        <v>409</v>
      </c>
    </row>
    <row r="116" spans="2:57" x14ac:dyDescent="0.3">
      <c r="B116" s="11" t="s">
        <v>163</v>
      </c>
      <c r="C116" s="4" t="s">
        <v>164</v>
      </c>
      <c r="D116" s="4" t="s">
        <v>257</v>
      </c>
      <c r="E116" s="4"/>
      <c r="F116" s="42" t="s">
        <v>254</v>
      </c>
      <c r="G116" s="4"/>
      <c r="H116" s="4">
        <v>1023.654</v>
      </c>
      <c r="I116" s="36">
        <f t="shared" si="5"/>
        <v>167.14632092484374</v>
      </c>
      <c r="J116" s="4" t="s">
        <v>259</v>
      </c>
      <c r="K116" s="4">
        <v>171.1</v>
      </c>
      <c r="L116" s="4">
        <v>2.4500000000000002</v>
      </c>
      <c r="M116" s="4">
        <f t="shared" si="10"/>
        <v>69.836734693877546</v>
      </c>
      <c r="N116" s="4" t="s">
        <v>253</v>
      </c>
      <c r="O116" s="4"/>
      <c r="P116" s="4" t="s">
        <v>258</v>
      </c>
      <c r="Q116" s="4"/>
      <c r="R116" s="4" t="s">
        <v>396</v>
      </c>
      <c r="S116" s="4" t="s">
        <v>397</v>
      </c>
      <c r="T116" s="4"/>
      <c r="U116" s="4" t="s">
        <v>398</v>
      </c>
      <c r="V116" s="4" t="s">
        <v>399</v>
      </c>
      <c r="W116" s="4" t="s">
        <v>400</v>
      </c>
      <c r="X116" s="4" t="s">
        <v>402</v>
      </c>
      <c r="Y116" s="4" t="s">
        <v>403</v>
      </c>
      <c r="Z116" s="4" t="s">
        <v>404</v>
      </c>
      <c r="AA116" s="4">
        <v>318</v>
      </c>
      <c r="AB116" s="4"/>
      <c r="AC116" s="4" t="s">
        <v>376</v>
      </c>
      <c r="AD116" s="4"/>
      <c r="AE116" s="4">
        <v>7200</v>
      </c>
      <c r="AF116" s="4" t="s">
        <v>405</v>
      </c>
      <c r="AG116" s="4"/>
      <c r="AH116" s="59"/>
      <c r="AJ116" s="25">
        <v>7.4324846443678503</v>
      </c>
      <c r="AK116" s="25">
        <v>146.08615329640199</v>
      </c>
      <c r="AL116" s="11">
        <f t="shared" si="6"/>
        <v>15.861787509749865</v>
      </c>
      <c r="AN116" s="63">
        <v>318</v>
      </c>
      <c r="AO116" s="11">
        <f t="shared" si="9"/>
        <v>298.14999999999998</v>
      </c>
      <c r="AP116" s="65" t="s">
        <v>161</v>
      </c>
      <c r="AQ116" s="66">
        <v>146.08615329640199</v>
      </c>
      <c r="AR116" s="66">
        <v>7.4324846443678503</v>
      </c>
      <c r="AS116" s="11"/>
      <c r="AT116" s="11"/>
      <c r="AU116" s="11"/>
      <c r="BD116" s="19" t="s">
        <v>158</v>
      </c>
      <c r="BE116" s="11" t="s">
        <v>409</v>
      </c>
    </row>
    <row r="117" spans="2:57" x14ac:dyDescent="0.3">
      <c r="B117" s="11" t="s">
        <v>163</v>
      </c>
      <c r="C117" s="4" t="s">
        <v>164</v>
      </c>
      <c r="D117" s="4" t="s">
        <v>257</v>
      </c>
      <c r="E117" s="4"/>
      <c r="F117" s="42" t="s">
        <v>254</v>
      </c>
      <c r="G117" s="4"/>
      <c r="H117" s="4">
        <v>1023.654</v>
      </c>
      <c r="I117" s="36">
        <f t="shared" si="5"/>
        <v>167.14632092484374</v>
      </c>
      <c r="J117" s="4" t="s">
        <v>259</v>
      </c>
      <c r="K117" s="4">
        <v>171.1</v>
      </c>
      <c r="L117" s="4">
        <v>2.4500000000000002</v>
      </c>
      <c r="M117" s="4">
        <f t="shared" si="10"/>
        <v>69.836734693877546</v>
      </c>
      <c r="N117" s="4" t="s">
        <v>253</v>
      </c>
      <c r="O117" s="4"/>
      <c r="P117" s="4" t="s">
        <v>258</v>
      </c>
      <c r="Q117" s="4"/>
      <c r="R117" s="4" t="s">
        <v>396</v>
      </c>
      <c r="S117" s="4" t="s">
        <v>397</v>
      </c>
      <c r="T117" s="4"/>
      <c r="U117" s="4" t="s">
        <v>398</v>
      </c>
      <c r="V117" s="4" t="s">
        <v>399</v>
      </c>
      <c r="W117" s="4" t="s">
        <v>400</v>
      </c>
      <c r="X117" s="4" t="s">
        <v>402</v>
      </c>
      <c r="Y117" s="4" t="s">
        <v>403</v>
      </c>
      <c r="Z117" s="4" t="s">
        <v>404</v>
      </c>
      <c r="AA117" s="4">
        <v>318</v>
      </c>
      <c r="AB117" s="4"/>
      <c r="AC117" s="4" t="s">
        <v>376</v>
      </c>
      <c r="AD117" s="4"/>
      <c r="AE117" s="4">
        <v>7200</v>
      </c>
      <c r="AF117" s="4" t="s">
        <v>405</v>
      </c>
      <c r="AG117" s="4"/>
      <c r="AH117" s="59"/>
      <c r="AJ117" s="25">
        <v>10.3624850625371</v>
      </c>
      <c r="AK117" s="25">
        <v>143.343696863779</v>
      </c>
      <c r="AL117" s="11">
        <f t="shared" si="6"/>
        <v>21.29222854730774</v>
      </c>
      <c r="AN117" s="63">
        <v>318</v>
      </c>
      <c r="AO117" s="11">
        <f t="shared" si="9"/>
        <v>298.14999999999998</v>
      </c>
      <c r="AP117" s="65" t="s">
        <v>161</v>
      </c>
      <c r="AQ117" s="66">
        <v>143.343696863779</v>
      </c>
      <c r="AR117" s="66">
        <v>10.3624850625371</v>
      </c>
      <c r="AS117" s="11"/>
      <c r="AT117" s="11"/>
      <c r="AU117" s="11"/>
      <c r="BD117" s="19" t="s">
        <v>158</v>
      </c>
      <c r="BE117" s="11" t="s">
        <v>409</v>
      </c>
    </row>
    <row r="118" spans="2:57" x14ac:dyDescent="0.3">
      <c r="B118" s="11" t="s">
        <v>163</v>
      </c>
      <c r="C118" s="4" t="s">
        <v>164</v>
      </c>
      <c r="D118" s="4" t="s">
        <v>257</v>
      </c>
      <c r="E118" s="4"/>
      <c r="F118" s="42" t="s">
        <v>254</v>
      </c>
      <c r="G118" s="4"/>
      <c r="H118" s="4">
        <v>1023.654</v>
      </c>
      <c r="I118" s="36">
        <f t="shared" si="5"/>
        <v>167.14632092484374</v>
      </c>
      <c r="J118" s="4" t="s">
        <v>259</v>
      </c>
      <c r="K118" s="4">
        <v>171.1</v>
      </c>
      <c r="L118" s="4">
        <v>2.4500000000000002</v>
      </c>
      <c r="M118" s="4">
        <f t="shared" si="10"/>
        <v>69.836734693877546</v>
      </c>
      <c r="N118" s="4" t="s">
        <v>253</v>
      </c>
      <c r="O118" s="4"/>
      <c r="P118" s="4" t="s">
        <v>258</v>
      </c>
      <c r="Q118" s="4"/>
      <c r="R118" s="4" t="s">
        <v>396</v>
      </c>
      <c r="S118" s="4" t="s">
        <v>397</v>
      </c>
      <c r="T118" s="4"/>
      <c r="U118" s="4" t="s">
        <v>398</v>
      </c>
      <c r="V118" s="4" t="s">
        <v>399</v>
      </c>
      <c r="W118" s="4" t="s">
        <v>400</v>
      </c>
      <c r="X118" s="4" t="s">
        <v>402</v>
      </c>
      <c r="Y118" s="4" t="s">
        <v>403</v>
      </c>
      <c r="Z118" s="4" t="s">
        <v>404</v>
      </c>
      <c r="AA118" s="4">
        <v>318</v>
      </c>
      <c r="AB118" s="4"/>
      <c r="AC118" s="4" t="s">
        <v>376</v>
      </c>
      <c r="AD118" s="4"/>
      <c r="AE118" s="4">
        <v>7200</v>
      </c>
      <c r="AF118" s="4" t="s">
        <v>405</v>
      </c>
      <c r="AG118" s="4"/>
      <c r="AH118" s="59"/>
      <c r="AJ118" s="25">
        <v>32.382418289930797</v>
      </c>
      <c r="AK118" s="25">
        <v>10.191320336549399</v>
      </c>
      <c r="AL118" s="11">
        <f t="shared" si="6"/>
        <v>0.33633354412178684</v>
      </c>
      <c r="AN118" s="63">
        <v>318</v>
      </c>
      <c r="AO118" s="11">
        <f t="shared" ref="AO118:AO181" si="11">75+273.15</f>
        <v>348.15</v>
      </c>
      <c r="AP118" s="65" t="s">
        <v>161</v>
      </c>
      <c r="AQ118" s="66">
        <v>10.191320336549399</v>
      </c>
      <c r="AR118" s="66">
        <v>32.382418289930797</v>
      </c>
      <c r="AS118" s="11"/>
      <c r="AT118" s="11"/>
      <c r="AU118" s="11"/>
      <c r="BD118" s="19" t="s">
        <v>158</v>
      </c>
      <c r="BE118" s="11" t="s">
        <v>409</v>
      </c>
    </row>
    <row r="119" spans="2:57" x14ac:dyDescent="0.3">
      <c r="B119" s="11" t="s">
        <v>163</v>
      </c>
      <c r="C119" s="4" t="s">
        <v>164</v>
      </c>
      <c r="D119" s="4" t="s">
        <v>257</v>
      </c>
      <c r="E119" s="4"/>
      <c r="F119" s="42" t="s">
        <v>254</v>
      </c>
      <c r="G119" s="4"/>
      <c r="H119" s="4">
        <v>1023.654</v>
      </c>
      <c r="I119" s="36">
        <f t="shared" si="5"/>
        <v>167.14632092484374</v>
      </c>
      <c r="J119" s="4" t="s">
        <v>259</v>
      </c>
      <c r="K119" s="4">
        <v>171.1</v>
      </c>
      <c r="L119" s="4">
        <v>2.4500000000000002</v>
      </c>
      <c r="M119" s="4">
        <f t="shared" si="10"/>
        <v>69.836734693877546</v>
      </c>
      <c r="N119" s="4" t="s">
        <v>253</v>
      </c>
      <c r="O119" s="4"/>
      <c r="P119" s="4" t="s">
        <v>258</v>
      </c>
      <c r="Q119" s="4"/>
      <c r="R119" s="4" t="s">
        <v>396</v>
      </c>
      <c r="S119" s="4" t="s">
        <v>397</v>
      </c>
      <c r="T119" s="4"/>
      <c r="U119" s="4" t="s">
        <v>398</v>
      </c>
      <c r="V119" s="4" t="s">
        <v>399</v>
      </c>
      <c r="W119" s="4" t="s">
        <v>400</v>
      </c>
      <c r="X119" s="4" t="s">
        <v>402</v>
      </c>
      <c r="Y119" s="4" t="s">
        <v>403</v>
      </c>
      <c r="Z119" s="4" t="s">
        <v>404</v>
      </c>
      <c r="AA119" s="4">
        <v>318</v>
      </c>
      <c r="AB119" s="4"/>
      <c r="AC119" s="4" t="s">
        <v>376</v>
      </c>
      <c r="AD119" s="4"/>
      <c r="AE119" s="4">
        <v>7200</v>
      </c>
      <c r="AF119" s="4" t="s">
        <v>405</v>
      </c>
      <c r="AG119" s="4"/>
      <c r="AH119" s="59"/>
      <c r="AJ119" s="25">
        <v>32.000343426356501</v>
      </c>
      <c r="AK119" s="25">
        <v>12.9154966501488</v>
      </c>
      <c r="AL119" s="11">
        <f t="shared" si="6"/>
        <v>0.53379790060091326</v>
      </c>
      <c r="AN119" s="63">
        <v>318</v>
      </c>
      <c r="AO119" s="11">
        <f t="shared" si="11"/>
        <v>348.15</v>
      </c>
      <c r="AP119" s="65" t="s">
        <v>161</v>
      </c>
      <c r="AQ119" s="66">
        <v>12.9154966501488</v>
      </c>
      <c r="AR119" s="66">
        <v>32.000343426356501</v>
      </c>
      <c r="AS119" s="11"/>
      <c r="AT119" s="11"/>
      <c r="AU119" s="11"/>
      <c r="BD119" s="19" t="s">
        <v>158</v>
      </c>
      <c r="BE119" s="11" t="s">
        <v>409</v>
      </c>
    </row>
    <row r="120" spans="2:57" x14ac:dyDescent="0.3">
      <c r="B120" s="11" t="s">
        <v>163</v>
      </c>
      <c r="C120" s="4" t="s">
        <v>164</v>
      </c>
      <c r="D120" s="4" t="s">
        <v>257</v>
      </c>
      <c r="E120" s="4"/>
      <c r="F120" s="42" t="s">
        <v>254</v>
      </c>
      <c r="G120" s="4"/>
      <c r="H120" s="4">
        <v>1023.654</v>
      </c>
      <c r="I120" s="36">
        <f t="shared" si="5"/>
        <v>167.14632092484374</v>
      </c>
      <c r="J120" s="4" t="s">
        <v>259</v>
      </c>
      <c r="K120" s="4">
        <v>171.1</v>
      </c>
      <c r="L120" s="4">
        <v>2.4500000000000002</v>
      </c>
      <c r="M120" s="4">
        <f t="shared" si="10"/>
        <v>69.836734693877546</v>
      </c>
      <c r="N120" s="4" t="s">
        <v>253</v>
      </c>
      <c r="O120" s="4"/>
      <c r="P120" s="4" t="s">
        <v>258</v>
      </c>
      <c r="Q120" s="4"/>
      <c r="R120" s="4" t="s">
        <v>396</v>
      </c>
      <c r="S120" s="4" t="s">
        <v>397</v>
      </c>
      <c r="T120" s="4"/>
      <c r="U120" s="4" t="s">
        <v>398</v>
      </c>
      <c r="V120" s="4" t="s">
        <v>399</v>
      </c>
      <c r="W120" s="4" t="s">
        <v>400</v>
      </c>
      <c r="X120" s="4" t="s">
        <v>402</v>
      </c>
      <c r="Y120" s="4" t="s">
        <v>403</v>
      </c>
      <c r="Z120" s="4" t="s">
        <v>404</v>
      </c>
      <c r="AA120" s="4">
        <v>318</v>
      </c>
      <c r="AB120" s="4"/>
      <c r="AC120" s="4" t="s">
        <v>376</v>
      </c>
      <c r="AD120" s="4"/>
      <c r="AE120" s="4">
        <v>7200</v>
      </c>
      <c r="AF120" s="4" t="s">
        <v>405</v>
      </c>
      <c r="AG120" s="4"/>
      <c r="AH120" s="59"/>
      <c r="AJ120" s="25">
        <v>31.6227766016838</v>
      </c>
      <c r="AK120" s="25">
        <v>15.0298529839037</v>
      </c>
      <c r="AL120" s="11">
        <f t="shared" si="6"/>
        <v>0.7143473944844263</v>
      </c>
      <c r="AN120" s="63">
        <v>318</v>
      </c>
      <c r="AO120" s="11">
        <f t="shared" si="11"/>
        <v>348.15</v>
      </c>
      <c r="AP120" s="65" t="s">
        <v>161</v>
      </c>
      <c r="AQ120" s="66">
        <v>15.0298529839037</v>
      </c>
      <c r="AR120" s="66">
        <v>31.6227766016838</v>
      </c>
      <c r="AS120" s="11"/>
      <c r="AT120" s="11"/>
      <c r="AU120" s="11"/>
      <c r="BD120" s="19" t="s">
        <v>158</v>
      </c>
      <c r="BE120" s="11" t="s">
        <v>409</v>
      </c>
    </row>
    <row r="121" spans="2:57" x14ac:dyDescent="0.3">
      <c r="B121" s="11" t="s">
        <v>163</v>
      </c>
      <c r="C121" s="4" t="s">
        <v>164</v>
      </c>
      <c r="D121" s="4" t="s">
        <v>257</v>
      </c>
      <c r="E121" s="4"/>
      <c r="F121" s="42" t="s">
        <v>254</v>
      </c>
      <c r="G121" s="4"/>
      <c r="H121" s="4">
        <v>1023.654</v>
      </c>
      <c r="I121" s="36">
        <f t="shared" si="5"/>
        <v>167.14632092484374</v>
      </c>
      <c r="J121" s="4" t="s">
        <v>259</v>
      </c>
      <c r="K121" s="4">
        <v>171.1</v>
      </c>
      <c r="L121" s="4">
        <v>2.4500000000000002</v>
      </c>
      <c r="M121" s="4">
        <f t="shared" si="10"/>
        <v>69.836734693877546</v>
      </c>
      <c r="N121" s="4" t="s">
        <v>253</v>
      </c>
      <c r="O121" s="4"/>
      <c r="P121" s="4" t="s">
        <v>258</v>
      </c>
      <c r="Q121" s="4"/>
      <c r="R121" s="4" t="s">
        <v>396</v>
      </c>
      <c r="S121" s="4" t="s">
        <v>397</v>
      </c>
      <c r="T121" s="4"/>
      <c r="U121" s="4" t="s">
        <v>398</v>
      </c>
      <c r="V121" s="4" t="s">
        <v>399</v>
      </c>
      <c r="W121" s="4" t="s">
        <v>400</v>
      </c>
      <c r="X121" s="4" t="s">
        <v>402</v>
      </c>
      <c r="Y121" s="4" t="s">
        <v>403</v>
      </c>
      <c r="Z121" s="4" t="s">
        <v>404</v>
      </c>
      <c r="AA121" s="4">
        <v>318</v>
      </c>
      <c r="AB121" s="4"/>
      <c r="AC121" s="4" t="s">
        <v>376</v>
      </c>
      <c r="AD121" s="4"/>
      <c r="AE121" s="4">
        <v>7200</v>
      </c>
      <c r="AF121" s="4" t="s">
        <v>405</v>
      </c>
      <c r="AG121" s="4"/>
      <c r="AH121" s="59"/>
      <c r="AJ121" s="25">
        <v>30.5165955954017</v>
      </c>
      <c r="AK121" s="25">
        <v>17.325394311345001</v>
      </c>
      <c r="AL121" s="11">
        <f t="shared" si="6"/>
        <v>0.91601447733857511</v>
      </c>
      <c r="AN121" s="63">
        <v>318</v>
      </c>
      <c r="AO121" s="11">
        <f t="shared" si="11"/>
        <v>348.15</v>
      </c>
      <c r="AP121" s="65" t="s">
        <v>161</v>
      </c>
      <c r="AQ121" s="66">
        <v>17.325394311345001</v>
      </c>
      <c r="AR121" s="66">
        <v>30.5165955954017</v>
      </c>
      <c r="AS121" s="11"/>
      <c r="AT121" s="11"/>
      <c r="AU121" s="11"/>
      <c r="BD121" s="19" t="s">
        <v>158</v>
      </c>
      <c r="BE121" s="11" t="s">
        <v>409</v>
      </c>
    </row>
    <row r="122" spans="2:57" x14ac:dyDescent="0.3">
      <c r="B122" s="11" t="s">
        <v>163</v>
      </c>
      <c r="C122" s="4" t="s">
        <v>164</v>
      </c>
      <c r="D122" s="4" t="s">
        <v>257</v>
      </c>
      <c r="E122" s="4"/>
      <c r="F122" s="42" t="s">
        <v>254</v>
      </c>
      <c r="G122" s="4"/>
      <c r="H122" s="4">
        <v>1023.654</v>
      </c>
      <c r="I122" s="36">
        <f t="shared" ref="I122:I185" si="12">((K122)*1000)/H122</f>
        <v>167.14632092484374</v>
      </c>
      <c r="J122" s="4" t="s">
        <v>259</v>
      </c>
      <c r="K122" s="4">
        <v>171.1</v>
      </c>
      <c r="L122" s="4">
        <v>2.4500000000000002</v>
      </c>
      <c r="M122" s="4">
        <f t="shared" si="10"/>
        <v>69.836734693877546</v>
      </c>
      <c r="N122" s="4" t="s">
        <v>253</v>
      </c>
      <c r="O122" s="4"/>
      <c r="P122" s="4" t="s">
        <v>258</v>
      </c>
      <c r="Q122" s="4"/>
      <c r="R122" s="4" t="s">
        <v>396</v>
      </c>
      <c r="S122" s="4" t="s">
        <v>397</v>
      </c>
      <c r="T122" s="4"/>
      <c r="U122" s="4" t="s">
        <v>398</v>
      </c>
      <c r="V122" s="4" t="s">
        <v>399</v>
      </c>
      <c r="W122" s="4" t="s">
        <v>400</v>
      </c>
      <c r="X122" s="4" t="s">
        <v>402</v>
      </c>
      <c r="Y122" s="4" t="s">
        <v>403</v>
      </c>
      <c r="Z122" s="4" t="s">
        <v>404</v>
      </c>
      <c r="AA122" s="4">
        <v>318</v>
      </c>
      <c r="AB122" s="4"/>
      <c r="AC122" s="4" t="s">
        <v>376</v>
      </c>
      <c r="AD122" s="4"/>
      <c r="AE122" s="4">
        <v>7200</v>
      </c>
      <c r="AF122" s="4" t="s">
        <v>405</v>
      </c>
      <c r="AG122" s="4"/>
      <c r="AH122" s="59"/>
      <c r="AJ122" s="25">
        <v>29.4491093702288</v>
      </c>
      <c r="AK122" s="25">
        <v>19.971538535011199</v>
      </c>
      <c r="AL122" s="11">
        <f t="shared" ref="AL122:AL185" si="13">((AK122)^2*AJ122)/10000</f>
        <v>1.1746141011677809</v>
      </c>
      <c r="AN122" s="63">
        <v>318</v>
      </c>
      <c r="AO122" s="11">
        <f t="shared" si="11"/>
        <v>348.15</v>
      </c>
      <c r="AP122" s="65" t="s">
        <v>161</v>
      </c>
      <c r="AQ122" s="66">
        <v>19.971538535011199</v>
      </c>
      <c r="AR122" s="66">
        <v>29.4491093702288</v>
      </c>
      <c r="AS122" s="11"/>
      <c r="AT122" s="11"/>
      <c r="AU122" s="11"/>
      <c r="BD122" s="19" t="s">
        <v>158</v>
      </c>
      <c r="BE122" s="11" t="s">
        <v>409</v>
      </c>
    </row>
    <row r="123" spans="2:57" x14ac:dyDescent="0.3">
      <c r="B123" s="11" t="s">
        <v>163</v>
      </c>
      <c r="C123" s="4" t="s">
        <v>164</v>
      </c>
      <c r="D123" s="4" t="s">
        <v>257</v>
      </c>
      <c r="E123" s="4"/>
      <c r="F123" s="42" t="s">
        <v>254</v>
      </c>
      <c r="G123" s="4"/>
      <c r="H123" s="4">
        <v>1023.654</v>
      </c>
      <c r="I123" s="36">
        <f t="shared" si="12"/>
        <v>167.14632092484374</v>
      </c>
      <c r="J123" s="4" t="s">
        <v>259</v>
      </c>
      <c r="K123" s="4">
        <v>171.1</v>
      </c>
      <c r="L123" s="4">
        <v>2.4500000000000002</v>
      </c>
      <c r="M123" s="4">
        <f t="shared" si="10"/>
        <v>69.836734693877546</v>
      </c>
      <c r="N123" s="4" t="s">
        <v>253</v>
      </c>
      <c r="O123" s="4"/>
      <c r="P123" s="4" t="s">
        <v>258</v>
      </c>
      <c r="Q123" s="4"/>
      <c r="R123" s="4" t="s">
        <v>396</v>
      </c>
      <c r="S123" s="4" t="s">
        <v>397</v>
      </c>
      <c r="T123" s="4"/>
      <c r="U123" s="4" t="s">
        <v>398</v>
      </c>
      <c r="V123" s="4" t="s">
        <v>399</v>
      </c>
      <c r="W123" s="4" t="s">
        <v>400</v>
      </c>
      <c r="X123" s="4" t="s">
        <v>402</v>
      </c>
      <c r="Y123" s="4" t="s">
        <v>403</v>
      </c>
      <c r="Z123" s="4" t="s">
        <v>404</v>
      </c>
      <c r="AA123" s="4">
        <v>318</v>
      </c>
      <c r="AB123" s="4"/>
      <c r="AC123" s="4" t="s">
        <v>376</v>
      </c>
      <c r="AD123" s="4"/>
      <c r="AE123" s="4">
        <v>7200</v>
      </c>
      <c r="AF123" s="4" t="s">
        <v>405</v>
      </c>
      <c r="AG123" s="4"/>
      <c r="AH123" s="59"/>
      <c r="AJ123" s="25">
        <v>28.758278594124299</v>
      </c>
      <c r="AK123" s="25">
        <v>22.8047172214673</v>
      </c>
      <c r="AL123" s="11">
        <f t="shared" si="13"/>
        <v>1.4955890242417014</v>
      </c>
      <c r="AN123" s="63">
        <v>318</v>
      </c>
      <c r="AO123" s="11">
        <f t="shared" si="11"/>
        <v>348.15</v>
      </c>
      <c r="AP123" s="65" t="s">
        <v>161</v>
      </c>
      <c r="AQ123" s="66">
        <v>22.8047172214673</v>
      </c>
      <c r="AR123" s="66">
        <v>28.758278594124299</v>
      </c>
      <c r="AS123" s="11"/>
      <c r="AT123" s="11"/>
      <c r="AU123" s="11"/>
      <c r="BD123" s="19" t="s">
        <v>158</v>
      </c>
      <c r="BE123" s="11" t="s">
        <v>409</v>
      </c>
    </row>
    <row r="124" spans="2:57" x14ac:dyDescent="0.3">
      <c r="B124" s="11" t="s">
        <v>163</v>
      </c>
      <c r="C124" s="4" t="s">
        <v>164</v>
      </c>
      <c r="D124" s="4" t="s">
        <v>257</v>
      </c>
      <c r="E124" s="4"/>
      <c r="F124" s="42" t="s">
        <v>254</v>
      </c>
      <c r="G124" s="4"/>
      <c r="H124" s="4">
        <v>1023.654</v>
      </c>
      <c r="I124" s="36">
        <f t="shared" si="12"/>
        <v>167.14632092484374</v>
      </c>
      <c r="J124" s="4" t="s">
        <v>259</v>
      </c>
      <c r="K124" s="4">
        <v>171.1</v>
      </c>
      <c r="L124" s="4">
        <v>2.4500000000000002</v>
      </c>
      <c r="M124" s="4">
        <f t="shared" si="10"/>
        <v>69.836734693877546</v>
      </c>
      <c r="N124" s="4" t="s">
        <v>253</v>
      </c>
      <c r="O124" s="4"/>
      <c r="P124" s="4" t="s">
        <v>258</v>
      </c>
      <c r="Q124" s="4"/>
      <c r="R124" s="4" t="s">
        <v>396</v>
      </c>
      <c r="S124" s="4" t="s">
        <v>397</v>
      </c>
      <c r="T124" s="4"/>
      <c r="U124" s="4" t="s">
        <v>398</v>
      </c>
      <c r="V124" s="4" t="s">
        <v>399</v>
      </c>
      <c r="W124" s="4" t="s">
        <v>400</v>
      </c>
      <c r="X124" s="4" t="s">
        <v>402</v>
      </c>
      <c r="Y124" s="4" t="s">
        <v>403</v>
      </c>
      <c r="Z124" s="4" t="s">
        <v>404</v>
      </c>
      <c r="AA124" s="4">
        <v>318</v>
      </c>
      <c r="AB124" s="4"/>
      <c r="AC124" s="4" t="s">
        <v>376</v>
      </c>
      <c r="AD124" s="4"/>
      <c r="AE124" s="4">
        <v>7200</v>
      </c>
      <c r="AF124" s="4" t="s">
        <v>405</v>
      </c>
      <c r="AG124" s="4"/>
      <c r="AH124" s="59"/>
      <c r="AJ124" s="25">
        <v>27.424854358093199</v>
      </c>
      <c r="AK124" s="25">
        <v>25.071305836487699</v>
      </c>
      <c r="AL124" s="11">
        <f t="shared" si="13"/>
        <v>1.7238451025120136</v>
      </c>
      <c r="AN124" s="63">
        <v>318</v>
      </c>
      <c r="AO124" s="11">
        <f t="shared" si="11"/>
        <v>348.15</v>
      </c>
      <c r="AP124" s="65" t="s">
        <v>161</v>
      </c>
      <c r="AQ124" s="66">
        <v>25.071305836487699</v>
      </c>
      <c r="AR124" s="66">
        <v>27.424854358093199</v>
      </c>
      <c r="AS124" s="11"/>
      <c r="AT124" s="11"/>
      <c r="AU124" s="11"/>
      <c r="BD124" s="19" t="s">
        <v>158</v>
      </c>
      <c r="BE124" s="11" t="s">
        <v>409</v>
      </c>
    </row>
    <row r="125" spans="2:57" x14ac:dyDescent="0.3">
      <c r="B125" s="11" t="s">
        <v>163</v>
      </c>
      <c r="C125" s="4" t="s">
        <v>164</v>
      </c>
      <c r="D125" s="4" t="s">
        <v>257</v>
      </c>
      <c r="E125" s="4"/>
      <c r="F125" s="42" t="s">
        <v>254</v>
      </c>
      <c r="G125" s="4"/>
      <c r="H125" s="4">
        <v>1023.654</v>
      </c>
      <c r="I125" s="36">
        <f t="shared" si="12"/>
        <v>167.14632092484374</v>
      </c>
      <c r="J125" s="4" t="s">
        <v>259</v>
      </c>
      <c r="K125" s="4">
        <v>171.1</v>
      </c>
      <c r="L125" s="4">
        <v>2.4500000000000002</v>
      </c>
      <c r="M125" s="4">
        <f t="shared" si="10"/>
        <v>69.836734693877546</v>
      </c>
      <c r="N125" s="4" t="s">
        <v>253</v>
      </c>
      <c r="O125" s="4"/>
      <c r="P125" s="4" t="s">
        <v>258</v>
      </c>
      <c r="Q125" s="4"/>
      <c r="R125" s="4" t="s">
        <v>396</v>
      </c>
      <c r="S125" s="4" t="s">
        <v>397</v>
      </c>
      <c r="T125" s="4"/>
      <c r="U125" s="4" t="s">
        <v>398</v>
      </c>
      <c r="V125" s="4" t="s">
        <v>399</v>
      </c>
      <c r="W125" s="4" t="s">
        <v>400</v>
      </c>
      <c r="X125" s="4" t="s">
        <v>402</v>
      </c>
      <c r="Y125" s="4" t="s">
        <v>403</v>
      </c>
      <c r="Z125" s="4" t="s">
        <v>404</v>
      </c>
      <c r="AA125" s="4">
        <v>318</v>
      </c>
      <c r="AB125" s="4"/>
      <c r="AC125" s="4" t="s">
        <v>376</v>
      </c>
      <c r="AD125" s="4"/>
      <c r="AE125" s="4">
        <v>7200</v>
      </c>
      <c r="AF125" s="4" t="s">
        <v>405</v>
      </c>
      <c r="AG125" s="4"/>
      <c r="AH125" s="59"/>
      <c r="AJ125" s="25">
        <v>26.1532564997229</v>
      </c>
      <c r="AK125" s="25">
        <v>28.090513016247701</v>
      </c>
      <c r="AL125" s="11">
        <f t="shared" si="13"/>
        <v>2.0636931126419182</v>
      </c>
      <c r="AN125" s="63">
        <v>318</v>
      </c>
      <c r="AO125" s="11">
        <f t="shared" si="11"/>
        <v>348.15</v>
      </c>
      <c r="AP125" s="65" t="s">
        <v>161</v>
      </c>
      <c r="AQ125" s="66">
        <v>28.090513016247701</v>
      </c>
      <c r="AR125" s="66">
        <v>26.1532564997229</v>
      </c>
      <c r="AS125" s="11"/>
      <c r="AT125" s="11"/>
      <c r="AU125" s="11"/>
      <c r="BD125" s="19" t="s">
        <v>158</v>
      </c>
      <c r="BE125" s="11" t="s">
        <v>409</v>
      </c>
    </row>
    <row r="126" spans="2:57" x14ac:dyDescent="0.3">
      <c r="B126" s="11" t="s">
        <v>163</v>
      </c>
      <c r="C126" s="4" t="s">
        <v>164</v>
      </c>
      <c r="D126" s="4" t="s">
        <v>257</v>
      </c>
      <c r="E126" s="4"/>
      <c r="F126" s="42" t="s">
        <v>254</v>
      </c>
      <c r="G126" s="4"/>
      <c r="H126" s="4">
        <v>1023.654</v>
      </c>
      <c r="I126" s="36">
        <f t="shared" si="12"/>
        <v>167.14632092484374</v>
      </c>
      <c r="J126" s="4" t="s">
        <v>259</v>
      </c>
      <c r="K126" s="4">
        <v>171.1</v>
      </c>
      <c r="L126" s="4">
        <v>2.4500000000000002</v>
      </c>
      <c r="M126" s="4">
        <f t="shared" si="10"/>
        <v>69.836734693877546</v>
      </c>
      <c r="N126" s="4" t="s">
        <v>253</v>
      </c>
      <c r="O126" s="4"/>
      <c r="P126" s="4" t="s">
        <v>258</v>
      </c>
      <c r="Q126" s="4"/>
      <c r="R126" s="4" t="s">
        <v>396</v>
      </c>
      <c r="S126" s="4" t="s">
        <v>397</v>
      </c>
      <c r="T126" s="4"/>
      <c r="U126" s="4" t="s">
        <v>398</v>
      </c>
      <c r="V126" s="4" t="s">
        <v>399</v>
      </c>
      <c r="W126" s="4" t="s">
        <v>400</v>
      </c>
      <c r="X126" s="4" t="s">
        <v>402</v>
      </c>
      <c r="Y126" s="4" t="s">
        <v>403</v>
      </c>
      <c r="Z126" s="4" t="s">
        <v>404</v>
      </c>
      <c r="AA126" s="4">
        <v>318</v>
      </c>
      <c r="AB126" s="4"/>
      <c r="AC126" s="4" t="s">
        <v>376</v>
      </c>
      <c r="AD126" s="4"/>
      <c r="AE126" s="4">
        <v>7200</v>
      </c>
      <c r="AF126" s="4" t="s">
        <v>405</v>
      </c>
      <c r="AG126" s="4"/>
      <c r="AH126" s="59"/>
      <c r="AJ126" s="25">
        <v>24.646348057119098</v>
      </c>
      <c r="AK126" s="25">
        <v>30.882463312074101</v>
      </c>
      <c r="AL126" s="11">
        <f t="shared" si="13"/>
        <v>2.3505876261613619</v>
      </c>
      <c r="AN126" s="63">
        <v>318</v>
      </c>
      <c r="AO126" s="11">
        <f t="shared" si="11"/>
        <v>348.15</v>
      </c>
      <c r="AP126" s="65" t="s">
        <v>161</v>
      </c>
      <c r="AQ126" s="66">
        <v>30.882463312074101</v>
      </c>
      <c r="AR126" s="66">
        <v>24.646348057119098</v>
      </c>
      <c r="AS126" s="11"/>
      <c r="AT126" s="11"/>
      <c r="AU126" s="11"/>
      <c r="BD126" s="19" t="s">
        <v>158</v>
      </c>
      <c r="BE126" s="11" t="s">
        <v>409</v>
      </c>
    </row>
    <row r="127" spans="2:57" x14ac:dyDescent="0.3">
      <c r="B127" s="11" t="s">
        <v>163</v>
      </c>
      <c r="C127" s="4" t="s">
        <v>164</v>
      </c>
      <c r="D127" s="4" t="s">
        <v>257</v>
      </c>
      <c r="E127" s="4"/>
      <c r="F127" s="42" t="s">
        <v>254</v>
      </c>
      <c r="G127" s="4"/>
      <c r="H127" s="4">
        <v>1023.654</v>
      </c>
      <c r="I127" s="36">
        <f t="shared" si="12"/>
        <v>167.14632092484374</v>
      </c>
      <c r="J127" s="4" t="s">
        <v>259</v>
      </c>
      <c r="K127" s="4">
        <v>171.1</v>
      </c>
      <c r="L127" s="4">
        <v>2.4500000000000002</v>
      </c>
      <c r="M127" s="4">
        <f t="shared" si="10"/>
        <v>69.836734693877546</v>
      </c>
      <c r="N127" s="4" t="s">
        <v>253</v>
      </c>
      <c r="O127" s="4"/>
      <c r="P127" s="4" t="s">
        <v>258</v>
      </c>
      <c r="Q127" s="4"/>
      <c r="R127" s="4" t="s">
        <v>396</v>
      </c>
      <c r="S127" s="4" t="s">
        <v>397</v>
      </c>
      <c r="T127" s="4"/>
      <c r="U127" s="4" t="s">
        <v>398</v>
      </c>
      <c r="V127" s="4" t="s">
        <v>399</v>
      </c>
      <c r="W127" s="4" t="s">
        <v>400</v>
      </c>
      <c r="X127" s="4" t="s">
        <v>402</v>
      </c>
      <c r="Y127" s="4" t="s">
        <v>403</v>
      </c>
      <c r="Z127" s="4" t="s">
        <v>404</v>
      </c>
      <c r="AA127" s="4">
        <v>318</v>
      </c>
      <c r="AB127" s="4"/>
      <c r="AC127" s="4" t="s">
        <v>376</v>
      </c>
      <c r="AD127" s="4"/>
      <c r="AE127" s="4">
        <v>7200</v>
      </c>
      <c r="AF127" s="4" t="s">
        <v>405</v>
      </c>
      <c r="AG127" s="4"/>
      <c r="AH127" s="59"/>
      <c r="AJ127" s="25">
        <v>23.2262652476604</v>
      </c>
      <c r="AK127" s="25">
        <v>33.314534158963802</v>
      </c>
      <c r="AL127" s="11">
        <f t="shared" si="13"/>
        <v>2.5777860620636597</v>
      </c>
      <c r="AN127" s="63">
        <v>318</v>
      </c>
      <c r="AO127" s="11">
        <f t="shared" si="11"/>
        <v>348.15</v>
      </c>
      <c r="AP127" s="65" t="s">
        <v>161</v>
      </c>
      <c r="AQ127" s="66">
        <v>33.314534158963802</v>
      </c>
      <c r="AR127" s="66">
        <v>23.2262652476604</v>
      </c>
      <c r="AS127" s="11"/>
      <c r="AT127" s="11"/>
      <c r="AU127" s="11"/>
      <c r="BD127" s="19" t="s">
        <v>158</v>
      </c>
      <c r="BE127" s="11" t="s">
        <v>409</v>
      </c>
    </row>
    <row r="128" spans="2:57" x14ac:dyDescent="0.3">
      <c r="B128" s="11" t="s">
        <v>163</v>
      </c>
      <c r="C128" s="4" t="s">
        <v>164</v>
      </c>
      <c r="D128" s="4" t="s">
        <v>257</v>
      </c>
      <c r="E128" s="4"/>
      <c r="F128" s="42" t="s">
        <v>254</v>
      </c>
      <c r="G128" s="4"/>
      <c r="H128" s="4">
        <v>1023.654</v>
      </c>
      <c r="I128" s="36">
        <f t="shared" si="12"/>
        <v>167.14632092484374</v>
      </c>
      <c r="J128" s="4" t="s">
        <v>259</v>
      </c>
      <c r="K128" s="4">
        <v>171.1</v>
      </c>
      <c r="L128" s="4">
        <v>2.4500000000000002</v>
      </c>
      <c r="M128" s="4">
        <f t="shared" si="10"/>
        <v>69.836734693877546</v>
      </c>
      <c r="N128" s="4" t="s">
        <v>253</v>
      </c>
      <c r="O128" s="4"/>
      <c r="P128" s="4" t="s">
        <v>258</v>
      </c>
      <c r="Q128" s="4"/>
      <c r="R128" s="4" t="s">
        <v>396</v>
      </c>
      <c r="S128" s="4" t="s">
        <v>397</v>
      </c>
      <c r="T128" s="4"/>
      <c r="U128" s="4" t="s">
        <v>398</v>
      </c>
      <c r="V128" s="4" t="s">
        <v>399</v>
      </c>
      <c r="W128" s="4" t="s">
        <v>400</v>
      </c>
      <c r="X128" s="4" t="s">
        <v>402</v>
      </c>
      <c r="Y128" s="4" t="s">
        <v>403</v>
      </c>
      <c r="Z128" s="4" t="s">
        <v>404</v>
      </c>
      <c r="AA128" s="4">
        <v>318</v>
      </c>
      <c r="AB128" s="4"/>
      <c r="AC128" s="4" t="s">
        <v>376</v>
      </c>
      <c r="AD128" s="4"/>
      <c r="AE128" s="4">
        <v>7200</v>
      </c>
      <c r="AF128" s="4" t="s">
        <v>405</v>
      </c>
      <c r="AG128" s="4"/>
      <c r="AH128" s="59"/>
      <c r="AJ128" s="25">
        <v>21.6297523192152</v>
      </c>
      <c r="AK128" s="25">
        <v>36.974408456724099</v>
      </c>
      <c r="AL128" s="11">
        <f t="shared" si="13"/>
        <v>2.9570183223969502</v>
      </c>
      <c r="AN128" s="63">
        <v>318</v>
      </c>
      <c r="AO128" s="11">
        <f t="shared" si="11"/>
        <v>348.15</v>
      </c>
      <c r="AP128" s="65" t="s">
        <v>161</v>
      </c>
      <c r="AQ128" s="66">
        <v>36.974408456724099</v>
      </c>
      <c r="AR128" s="66">
        <v>21.6297523192152</v>
      </c>
      <c r="AS128" s="11"/>
      <c r="AT128" s="11"/>
      <c r="AU128" s="11"/>
      <c r="BD128" s="19" t="s">
        <v>158</v>
      </c>
      <c r="BE128" s="11" t="s">
        <v>409</v>
      </c>
    </row>
    <row r="129" spans="2:57" x14ac:dyDescent="0.3">
      <c r="B129" s="11" t="s">
        <v>163</v>
      </c>
      <c r="C129" s="4" t="s">
        <v>164</v>
      </c>
      <c r="D129" s="4" t="s">
        <v>257</v>
      </c>
      <c r="E129" s="4"/>
      <c r="F129" s="42" t="s">
        <v>254</v>
      </c>
      <c r="G129" s="4"/>
      <c r="H129" s="4">
        <v>1023.654</v>
      </c>
      <c r="I129" s="36">
        <f t="shared" si="12"/>
        <v>167.14632092484374</v>
      </c>
      <c r="J129" s="4" t="s">
        <v>259</v>
      </c>
      <c r="K129" s="4">
        <v>171.1</v>
      </c>
      <c r="L129" s="4">
        <v>2.4500000000000002</v>
      </c>
      <c r="M129" s="4">
        <f t="shared" si="10"/>
        <v>69.836734693877546</v>
      </c>
      <c r="N129" s="4" t="s">
        <v>253</v>
      </c>
      <c r="O129" s="4"/>
      <c r="P129" s="4" t="s">
        <v>258</v>
      </c>
      <c r="Q129" s="4"/>
      <c r="R129" s="4" t="s">
        <v>396</v>
      </c>
      <c r="S129" s="4" t="s">
        <v>397</v>
      </c>
      <c r="T129" s="4"/>
      <c r="U129" s="4" t="s">
        <v>398</v>
      </c>
      <c r="V129" s="4" t="s">
        <v>399</v>
      </c>
      <c r="W129" s="4" t="s">
        <v>400</v>
      </c>
      <c r="X129" s="4" t="s">
        <v>402</v>
      </c>
      <c r="Y129" s="4" t="s">
        <v>403</v>
      </c>
      <c r="Z129" s="4" t="s">
        <v>404</v>
      </c>
      <c r="AA129" s="4">
        <v>318</v>
      </c>
      <c r="AB129" s="4"/>
      <c r="AC129" s="4" t="s">
        <v>376</v>
      </c>
      <c r="AD129" s="4"/>
      <c r="AE129" s="4">
        <v>7200</v>
      </c>
      <c r="AF129" s="4" t="s">
        <v>405</v>
      </c>
      <c r="AG129" s="4"/>
      <c r="AH129" s="59"/>
      <c r="AJ129" s="25">
        <v>20.142979527787901</v>
      </c>
      <c r="AK129" s="25">
        <v>40.265979825490803</v>
      </c>
      <c r="AL129" s="11">
        <f t="shared" si="13"/>
        <v>3.2658802359310219</v>
      </c>
      <c r="AN129" s="63">
        <v>318</v>
      </c>
      <c r="AO129" s="11">
        <f t="shared" si="11"/>
        <v>348.15</v>
      </c>
      <c r="AP129" s="65" t="s">
        <v>161</v>
      </c>
      <c r="AQ129" s="66">
        <v>40.265979825490803</v>
      </c>
      <c r="AR129" s="66">
        <v>20.142979527787901</v>
      </c>
      <c r="AS129" s="11"/>
      <c r="AT129" s="11"/>
      <c r="AU129" s="11"/>
      <c r="BD129" s="19" t="s">
        <v>158</v>
      </c>
      <c r="BE129" s="11" t="s">
        <v>409</v>
      </c>
    </row>
    <row r="130" spans="2:57" x14ac:dyDescent="0.3">
      <c r="B130" s="11" t="s">
        <v>163</v>
      </c>
      <c r="C130" s="4" t="s">
        <v>164</v>
      </c>
      <c r="D130" s="4" t="s">
        <v>257</v>
      </c>
      <c r="E130" s="4"/>
      <c r="F130" s="42" t="s">
        <v>254</v>
      </c>
      <c r="G130" s="4"/>
      <c r="H130" s="4">
        <v>1023.654</v>
      </c>
      <c r="I130" s="36">
        <f t="shared" si="12"/>
        <v>167.14632092484374</v>
      </c>
      <c r="J130" s="4" t="s">
        <v>259</v>
      </c>
      <c r="K130" s="4">
        <v>171.1</v>
      </c>
      <c r="L130" s="4">
        <v>2.4500000000000002</v>
      </c>
      <c r="M130" s="4">
        <f t="shared" si="10"/>
        <v>69.836734693877546</v>
      </c>
      <c r="N130" s="4" t="s">
        <v>253</v>
      </c>
      <c r="O130" s="4"/>
      <c r="P130" s="4" t="s">
        <v>258</v>
      </c>
      <c r="Q130" s="4"/>
      <c r="R130" s="4" t="s">
        <v>396</v>
      </c>
      <c r="S130" s="4" t="s">
        <v>397</v>
      </c>
      <c r="T130" s="4"/>
      <c r="U130" s="4" t="s">
        <v>398</v>
      </c>
      <c r="V130" s="4" t="s">
        <v>399</v>
      </c>
      <c r="W130" s="4" t="s">
        <v>400</v>
      </c>
      <c r="X130" s="4" t="s">
        <v>402</v>
      </c>
      <c r="Y130" s="4" t="s">
        <v>403</v>
      </c>
      <c r="Z130" s="4" t="s">
        <v>404</v>
      </c>
      <c r="AA130" s="4">
        <v>318</v>
      </c>
      <c r="AB130" s="4"/>
      <c r="AC130" s="4" t="s">
        <v>376</v>
      </c>
      <c r="AD130" s="4"/>
      <c r="AE130" s="4">
        <v>7200</v>
      </c>
      <c r="AF130" s="4" t="s">
        <v>405</v>
      </c>
      <c r="AG130" s="4"/>
      <c r="AH130" s="59"/>
      <c r="AJ130" s="25">
        <v>18.758403622423199</v>
      </c>
      <c r="AK130" s="25">
        <v>42.621588290153198</v>
      </c>
      <c r="AL130" s="11">
        <f t="shared" si="13"/>
        <v>3.4076512050752901</v>
      </c>
      <c r="AN130" s="63">
        <v>318</v>
      </c>
      <c r="AO130" s="11">
        <f t="shared" si="11"/>
        <v>348.15</v>
      </c>
      <c r="AP130" s="65" t="s">
        <v>161</v>
      </c>
      <c r="AQ130" s="66">
        <v>42.621588290153198</v>
      </c>
      <c r="AR130" s="66">
        <v>18.758403622423199</v>
      </c>
      <c r="AS130" s="11"/>
      <c r="AT130" s="11"/>
      <c r="AU130" s="11"/>
      <c r="BD130" s="19" t="s">
        <v>158</v>
      </c>
      <c r="BE130" s="11" t="s">
        <v>409</v>
      </c>
    </row>
    <row r="131" spans="2:57" x14ac:dyDescent="0.3">
      <c r="B131" s="11" t="s">
        <v>163</v>
      </c>
      <c r="C131" s="4" t="s">
        <v>164</v>
      </c>
      <c r="D131" s="4" t="s">
        <v>257</v>
      </c>
      <c r="E131" s="4"/>
      <c r="F131" s="42" t="s">
        <v>254</v>
      </c>
      <c r="G131" s="4"/>
      <c r="H131" s="4">
        <v>1023.654</v>
      </c>
      <c r="I131" s="36">
        <f t="shared" si="12"/>
        <v>167.14632092484374</v>
      </c>
      <c r="J131" s="4" t="s">
        <v>259</v>
      </c>
      <c r="K131" s="4">
        <v>171.1</v>
      </c>
      <c r="L131" s="4">
        <v>2.4500000000000002</v>
      </c>
      <c r="M131" s="4">
        <f t="shared" si="10"/>
        <v>69.836734693877546</v>
      </c>
      <c r="N131" s="4" t="s">
        <v>253</v>
      </c>
      <c r="O131" s="4"/>
      <c r="P131" s="4" t="s">
        <v>258</v>
      </c>
      <c r="Q131" s="4"/>
      <c r="R131" s="4" t="s">
        <v>396</v>
      </c>
      <c r="S131" s="4" t="s">
        <v>397</v>
      </c>
      <c r="T131" s="4"/>
      <c r="U131" s="4" t="s">
        <v>398</v>
      </c>
      <c r="V131" s="4" t="s">
        <v>399</v>
      </c>
      <c r="W131" s="4" t="s">
        <v>400</v>
      </c>
      <c r="X131" s="4" t="s">
        <v>402</v>
      </c>
      <c r="Y131" s="4" t="s">
        <v>403</v>
      </c>
      <c r="Z131" s="4" t="s">
        <v>404</v>
      </c>
      <c r="AA131" s="4">
        <v>318</v>
      </c>
      <c r="AB131" s="4"/>
      <c r="AC131" s="4" t="s">
        <v>376</v>
      </c>
      <c r="AD131" s="4"/>
      <c r="AE131" s="4">
        <v>7200</v>
      </c>
      <c r="AF131" s="4" t="s">
        <v>405</v>
      </c>
      <c r="AG131" s="4"/>
      <c r="AH131" s="59"/>
      <c r="AJ131" s="25">
        <v>17.262885979925102</v>
      </c>
      <c r="AK131" s="25">
        <v>45.978144445700799</v>
      </c>
      <c r="AL131" s="11">
        <f t="shared" si="13"/>
        <v>3.6493564304747967</v>
      </c>
      <c r="AN131" s="63">
        <v>318</v>
      </c>
      <c r="AO131" s="11">
        <f t="shared" si="11"/>
        <v>348.15</v>
      </c>
      <c r="AP131" s="65" t="s">
        <v>161</v>
      </c>
      <c r="AQ131" s="66">
        <v>45.978144445700799</v>
      </c>
      <c r="AR131" s="66">
        <v>17.262885979925102</v>
      </c>
      <c r="AS131" s="11"/>
      <c r="AT131" s="11"/>
      <c r="AU131" s="11"/>
      <c r="BD131" s="19" t="s">
        <v>158</v>
      </c>
      <c r="BE131" s="11" t="s">
        <v>409</v>
      </c>
    </row>
    <row r="132" spans="2:57" x14ac:dyDescent="0.3">
      <c r="B132" s="11" t="s">
        <v>163</v>
      </c>
      <c r="C132" s="4" t="s">
        <v>164</v>
      </c>
      <c r="D132" s="4" t="s">
        <v>257</v>
      </c>
      <c r="E132" s="4"/>
      <c r="F132" s="42" t="s">
        <v>254</v>
      </c>
      <c r="G132" s="4"/>
      <c r="H132" s="4">
        <v>1023.654</v>
      </c>
      <c r="I132" s="36">
        <f t="shared" si="12"/>
        <v>167.14632092484374</v>
      </c>
      <c r="J132" s="4" t="s">
        <v>259</v>
      </c>
      <c r="K132" s="4">
        <v>171.1</v>
      </c>
      <c r="L132" s="4">
        <v>2.4500000000000002</v>
      </c>
      <c r="M132" s="4">
        <f t="shared" si="10"/>
        <v>69.836734693877546</v>
      </c>
      <c r="N132" s="4" t="s">
        <v>253</v>
      </c>
      <c r="O132" s="4"/>
      <c r="P132" s="4" t="s">
        <v>258</v>
      </c>
      <c r="Q132" s="4"/>
      <c r="R132" s="4" t="s">
        <v>396</v>
      </c>
      <c r="S132" s="4" t="s">
        <v>397</v>
      </c>
      <c r="T132" s="4"/>
      <c r="U132" s="4" t="s">
        <v>398</v>
      </c>
      <c r="V132" s="4" t="s">
        <v>399</v>
      </c>
      <c r="W132" s="4" t="s">
        <v>400</v>
      </c>
      <c r="X132" s="4" t="s">
        <v>402</v>
      </c>
      <c r="Y132" s="4" t="s">
        <v>403</v>
      </c>
      <c r="Z132" s="4" t="s">
        <v>404</v>
      </c>
      <c r="AA132" s="4">
        <v>318</v>
      </c>
      <c r="AB132" s="4"/>
      <c r="AC132" s="4" t="s">
        <v>376</v>
      </c>
      <c r="AD132" s="4"/>
      <c r="AE132" s="4">
        <v>7200</v>
      </c>
      <c r="AF132" s="4" t="s">
        <v>405</v>
      </c>
      <c r="AG132" s="4"/>
      <c r="AH132" s="59"/>
      <c r="AJ132" s="25">
        <v>15.6991554094859</v>
      </c>
      <c r="AK132" s="25">
        <v>49.131273878296597</v>
      </c>
      <c r="AL132" s="11">
        <f t="shared" si="13"/>
        <v>3.7895909802694847</v>
      </c>
      <c r="AN132" s="63">
        <v>318</v>
      </c>
      <c r="AO132" s="11">
        <f t="shared" si="11"/>
        <v>348.15</v>
      </c>
      <c r="AP132" s="65" t="s">
        <v>161</v>
      </c>
      <c r="AQ132" s="66">
        <v>49.131273878296597</v>
      </c>
      <c r="AR132" s="66">
        <v>15.6991554094859</v>
      </c>
      <c r="AS132" s="11"/>
      <c r="AT132" s="11"/>
      <c r="AU132" s="11"/>
      <c r="BD132" s="19" t="s">
        <v>158</v>
      </c>
      <c r="BE132" s="11" t="s">
        <v>409</v>
      </c>
    </row>
    <row r="133" spans="2:57" x14ac:dyDescent="0.3">
      <c r="B133" s="11" t="s">
        <v>163</v>
      </c>
      <c r="C133" s="4" t="s">
        <v>164</v>
      </c>
      <c r="D133" s="4" t="s">
        <v>257</v>
      </c>
      <c r="E133" s="4"/>
      <c r="F133" s="42" t="s">
        <v>254</v>
      </c>
      <c r="G133" s="4"/>
      <c r="H133" s="4">
        <v>1023.654</v>
      </c>
      <c r="I133" s="36">
        <f t="shared" si="12"/>
        <v>167.14632092484374</v>
      </c>
      <c r="J133" s="4" t="s">
        <v>259</v>
      </c>
      <c r="K133" s="4">
        <v>171.1</v>
      </c>
      <c r="L133" s="4">
        <v>2.4500000000000002</v>
      </c>
      <c r="M133" s="4">
        <f t="shared" si="10"/>
        <v>69.836734693877546</v>
      </c>
      <c r="N133" s="4" t="s">
        <v>253</v>
      </c>
      <c r="O133" s="4"/>
      <c r="P133" s="4" t="s">
        <v>258</v>
      </c>
      <c r="Q133" s="4"/>
      <c r="R133" s="4" t="s">
        <v>396</v>
      </c>
      <c r="S133" s="4" t="s">
        <v>397</v>
      </c>
      <c r="T133" s="4"/>
      <c r="U133" s="4" t="s">
        <v>398</v>
      </c>
      <c r="V133" s="4" t="s">
        <v>399</v>
      </c>
      <c r="W133" s="4" t="s">
        <v>400</v>
      </c>
      <c r="X133" s="4" t="s">
        <v>402</v>
      </c>
      <c r="Y133" s="4" t="s">
        <v>403</v>
      </c>
      <c r="Z133" s="4" t="s">
        <v>404</v>
      </c>
      <c r="AA133" s="4">
        <v>318</v>
      </c>
      <c r="AB133" s="4"/>
      <c r="AC133" s="4" t="s">
        <v>376</v>
      </c>
      <c r="AD133" s="4"/>
      <c r="AE133" s="4">
        <v>7200</v>
      </c>
      <c r="AF133" s="4" t="s">
        <v>405</v>
      </c>
      <c r="AG133" s="4"/>
      <c r="AH133" s="59"/>
      <c r="AJ133" s="25">
        <v>14.620036390149</v>
      </c>
      <c r="AK133" s="25">
        <v>52.500641380926901</v>
      </c>
      <c r="AL133" s="11">
        <f t="shared" si="13"/>
        <v>4.0297459892673997</v>
      </c>
      <c r="AN133" s="63">
        <v>318</v>
      </c>
      <c r="AO133" s="11">
        <f t="shared" si="11"/>
        <v>348.15</v>
      </c>
      <c r="AP133" s="65" t="s">
        <v>161</v>
      </c>
      <c r="AQ133" s="66">
        <v>52.500641380926901</v>
      </c>
      <c r="AR133" s="66">
        <v>14.620036390149</v>
      </c>
      <c r="AS133" s="11"/>
      <c r="AT133" s="11"/>
      <c r="AU133" s="11"/>
      <c r="BD133" s="19" t="s">
        <v>158</v>
      </c>
      <c r="BE133" s="11" t="s">
        <v>409</v>
      </c>
    </row>
    <row r="134" spans="2:57" x14ac:dyDescent="0.3">
      <c r="B134" s="11" t="s">
        <v>163</v>
      </c>
      <c r="C134" s="4" t="s">
        <v>164</v>
      </c>
      <c r="D134" s="4" t="s">
        <v>257</v>
      </c>
      <c r="E134" s="4"/>
      <c r="F134" s="42" t="s">
        <v>254</v>
      </c>
      <c r="G134" s="4"/>
      <c r="H134" s="4">
        <v>1023.654</v>
      </c>
      <c r="I134" s="36">
        <f t="shared" si="12"/>
        <v>167.14632092484374</v>
      </c>
      <c r="J134" s="4" t="s">
        <v>259</v>
      </c>
      <c r="K134" s="4">
        <v>171.1</v>
      </c>
      <c r="L134" s="4">
        <v>2.4500000000000002</v>
      </c>
      <c r="M134" s="4">
        <f t="shared" si="10"/>
        <v>69.836734693877546</v>
      </c>
      <c r="N134" s="4" t="s">
        <v>253</v>
      </c>
      <c r="O134" s="4"/>
      <c r="P134" s="4" t="s">
        <v>258</v>
      </c>
      <c r="Q134" s="4"/>
      <c r="R134" s="4" t="s">
        <v>396</v>
      </c>
      <c r="S134" s="4" t="s">
        <v>397</v>
      </c>
      <c r="T134" s="4"/>
      <c r="U134" s="4" t="s">
        <v>398</v>
      </c>
      <c r="V134" s="4" t="s">
        <v>399</v>
      </c>
      <c r="W134" s="4" t="s">
        <v>400</v>
      </c>
      <c r="X134" s="4" t="s">
        <v>402</v>
      </c>
      <c r="Y134" s="4" t="s">
        <v>403</v>
      </c>
      <c r="Z134" s="4" t="s">
        <v>404</v>
      </c>
      <c r="AA134" s="4">
        <v>318</v>
      </c>
      <c r="AB134" s="4"/>
      <c r="AC134" s="4" t="s">
        <v>376</v>
      </c>
      <c r="AD134" s="4"/>
      <c r="AE134" s="4">
        <v>7200</v>
      </c>
      <c r="AF134" s="4" t="s">
        <v>405</v>
      </c>
      <c r="AG134" s="4"/>
      <c r="AH134" s="59"/>
      <c r="AJ134" s="25">
        <v>13.1388302294858</v>
      </c>
      <c r="AK134" s="25">
        <v>55.571992327137302</v>
      </c>
      <c r="AL134" s="11">
        <f t="shared" si="13"/>
        <v>4.0575944252566503</v>
      </c>
      <c r="AN134" s="63">
        <v>318</v>
      </c>
      <c r="AO134" s="11">
        <f t="shared" si="11"/>
        <v>348.15</v>
      </c>
      <c r="AP134" s="65" t="s">
        <v>161</v>
      </c>
      <c r="AQ134" s="66">
        <v>55.571992327137302</v>
      </c>
      <c r="AR134" s="66">
        <v>13.1388302294858</v>
      </c>
      <c r="AS134" s="11"/>
      <c r="AT134" s="11"/>
      <c r="AU134" s="11"/>
      <c r="BD134" s="19" t="s">
        <v>158</v>
      </c>
      <c r="BE134" s="11" t="s">
        <v>409</v>
      </c>
    </row>
    <row r="135" spans="2:57" x14ac:dyDescent="0.3">
      <c r="B135" s="11" t="s">
        <v>163</v>
      </c>
      <c r="C135" s="4" t="s">
        <v>164</v>
      </c>
      <c r="D135" s="4" t="s">
        <v>257</v>
      </c>
      <c r="E135" s="4"/>
      <c r="F135" s="42" t="s">
        <v>254</v>
      </c>
      <c r="G135" s="4"/>
      <c r="H135" s="4">
        <v>1023.654</v>
      </c>
      <c r="I135" s="36">
        <f t="shared" si="12"/>
        <v>167.14632092484374</v>
      </c>
      <c r="J135" s="4" t="s">
        <v>259</v>
      </c>
      <c r="K135" s="4">
        <v>171.1</v>
      </c>
      <c r="L135" s="4">
        <v>2.4500000000000002</v>
      </c>
      <c r="M135" s="4">
        <f t="shared" si="10"/>
        <v>69.836734693877546</v>
      </c>
      <c r="N135" s="4" t="s">
        <v>253</v>
      </c>
      <c r="O135" s="4"/>
      <c r="P135" s="4" t="s">
        <v>258</v>
      </c>
      <c r="Q135" s="4"/>
      <c r="R135" s="4" t="s">
        <v>396</v>
      </c>
      <c r="S135" s="4" t="s">
        <v>397</v>
      </c>
      <c r="T135" s="4"/>
      <c r="U135" s="4" t="s">
        <v>398</v>
      </c>
      <c r="V135" s="4" t="s">
        <v>399</v>
      </c>
      <c r="W135" s="4" t="s">
        <v>400</v>
      </c>
      <c r="X135" s="4" t="s">
        <v>402</v>
      </c>
      <c r="Y135" s="4" t="s">
        <v>403</v>
      </c>
      <c r="Z135" s="4" t="s">
        <v>404</v>
      </c>
      <c r="AA135" s="4">
        <v>318</v>
      </c>
      <c r="AB135" s="4"/>
      <c r="AC135" s="4" t="s">
        <v>376</v>
      </c>
      <c r="AD135" s="4"/>
      <c r="AE135" s="4">
        <v>7200</v>
      </c>
      <c r="AF135" s="4" t="s">
        <v>405</v>
      </c>
      <c r="AG135" s="4"/>
      <c r="AH135" s="59"/>
      <c r="AJ135" s="25">
        <v>11.9486705705765</v>
      </c>
      <c r="AK135" s="25">
        <v>59.383057056850902</v>
      </c>
      <c r="AL135" s="11">
        <f t="shared" si="13"/>
        <v>4.2135164181657645</v>
      </c>
      <c r="AN135" s="63">
        <v>318</v>
      </c>
      <c r="AO135" s="11">
        <f t="shared" si="11"/>
        <v>348.15</v>
      </c>
      <c r="AP135" s="65" t="s">
        <v>161</v>
      </c>
      <c r="AQ135" s="66">
        <v>59.383057056850902</v>
      </c>
      <c r="AR135" s="66">
        <v>11.9486705705765</v>
      </c>
      <c r="AS135" s="11"/>
      <c r="AT135" s="11"/>
      <c r="AU135" s="11"/>
      <c r="BD135" s="19" t="s">
        <v>158</v>
      </c>
      <c r="BE135" s="11" t="s">
        <v>409</v>
      </c>
    </row>
    <row r="136" spans="2:57" x14ac:dyDescent="0.3">
      <c r="B136" s="11" t="s">
        <v>163</v>
      </c>
      <c r="C136" s="4" t="s">
        <v>164</v>
      </c>
      <c r="D136" s="4" t="s">
        <v>257</v>
      </c>
      <c r="E136" s="4"/>
      <c r="F136" s="42" t="s">
        <v>254</v>
      </c>
      <c r="G136" s="4"/>
      <c r="H136" s="4">
        <v>1023.654</v>
      </c>
      <c r="I136" s="36">
        <f t="shared" si="12"/>
        <v>167.14632092484374</v>
      </c>
      <c r="J136" s="4" t="s">
        <v>259</v>
      </c>
      <c r="K136" s="4">
        <v>171.1</v>
      </c>
      <c r="L136" s="4">
        <v>2.4500000000000002</v>
      </c>
      <c r="M136" s="4">
        <f t="shared" si="10"/>
        <v>69.836734693877546</v>
      </c>
      <c r="N136" s="4" t="s">
        <v>253</v>
      </c>
      <c r="O136" s="4"/>
      <c r="P136" s="4" t="s">
        <v>258</v>
      </c>
      <c r="Q136" s="4"/>
      <c r="R136" s="4" t="s">
        <v>396</v>
      </c>
      <c r="S136" s="4" t="s">
        <v>397</v>
      </c>
      <c r="T136" s="4"/>
      <c r="U136" s="4" t="s">
        <v>398</v>
      </c>
      <c r="V136" s="4" t="s">
        <v>399</v>
      </c>
      <c r="W136" s="4" t="s">
        <v>400</v>
      </c>
      <c r="X136" s="4" t="s">
        <v>402</v>
      </c>
      <c r="Y136" s="4" t="s">
        <v>403</v>
      </c>
      <c r="Z136" s="4" t="s">
        <v>404</v>
      </c>
      <c r="AA136" s="4">
        <v>318</v>
      </c>
      <c r="AB136" s="4"/>
      <c r="AC136" s="4" t="s">
        <v>376</v>
      </c>
      <c r="AD136" s="4"/>
      <c r="AE136" s="4">
        <v>7200</v>
      </c>
      <c r="AF136" s="4" t="s">
        <v>405</v>
      </c>
      <c r="AG136" s="4"/>
      <c r="AH136" s="59"/>
      <c r="AJ136" s="25">
        <v>10.866319596988101</v>
      </c>
      <c r="AK136" s="25">
        <v>62.857037634670696</v>
      </c>
      <c r="AL136" s="11">
        <f t="shared" si="13"/>
        <v>4.2932906750117592</v>
      </c>
      <c r="AN136" s="63">
        <v>318</v>
      </c>
      <c r="AO136" s="11">
        <f t="shared" si="11"/>
        <v>348.15</v>
      </c>
      <c r="AP136" s="65" t="s">
        <v>161</v>
      </c>
      <c r="AQ136" s="66">
        <v>62.857037634670696</v>
      </c>
      <c r="AR136" s="66">
        <v>10.866319596988101</v>
      </c>
      <c r="AS136" s="11"/>
      <c r="AT136" s="11"/>
      <c r="AU136" s="11"/>
      <c r="BD136" s="19" t="s">
        <v>158</v>
      </c>
      <c r="BE136" s="11" t="s">
        <v>409</v>
      </c>
    </row>
    <row r="137" spans="2:57" x14ac:dyDescent="0.3">
      <c r="B137" s="11" t="s">
        <v>163</v>
      </c>
      <c r="C137" s="4" t="s">
        <v>164</v>
      </c>
      <c r="D137" s="4" t="s">
        <v>257</v>
      </c>
      <c r="E137" s="4"/>
      <c r="F137" s="42" t="s">
        <v>254</v>
      </c>
      <c r="G137" s="4"/>
      <c r="H137" s="4">
        <v>1023.654</v>
      </c>
      <c r="I137" s="36">
        <f t="shared" si="12"/>
        <v>167.14632092484374</v>
      </c>
      <c r="J137" s="4" t="s">
        <v>259</v>
      </c>
      <c r="K137" s="4">
        <v>171.1</v>
      </c>
      <c r="L137" s="4">
        <v>2.4500000000000002</v>
      </c>
      <c r="M137" s="4">
        <f t="shared" si="10"/>
        <v>69.836734693877546</v>
      </c>
      <c r="N137" s="4" t="s">
        <v>253</v>
      </c>
      <c r="O137" s="4"/>
      <c r="P137" s="4" t="s">
        <v>258</v>
      </c>
      <c r="Q137" s="4"/>
      <c r="R137" s="4" t="s">
        <v>396</v>
      </c>
      <c r="S137" s="4" t="s">
        <v>397</v>
      </c>
      <c r="T137" s="4"/>
      <c r="U137" s="4" t="s">
        <v>398</v>
      </c>
      <c r="V137" s="4" t="s">
        <v>399</v>
      </c>
      <c r="W137" s="4" t="s">
        <v>400</v>
      </c>
      <c r="X137" s="4" t="s">
        <v>402</v>
      </c>
      <c r="Y137" s="4" t="s">
        <v>403</v>
      </c>
      <c r="Z137" s="4" t="s">
        <v>404</v>
      </c>
      <c r="AA137" s="4">
        <v>318</v>
      </c>
      <c r="AB137" s="4"/>
      <c r="AC137" s="4" t="s">
        <v>376</v>
      </c>
      <c r="AD137" s="4"/>
      <c r="AE137" s="4">
        <v>7200</v>
      </c>
      <c r="AF137" s="4" t="s">
        <v>405</v>
      </c>
      <c r="AG137" s="4"/>
      <c r="AH137" s="59"/>
      <c r="AJ137" s="25">
        <v>9.8820116335496007</v>
      </c>
      <c r="AK137" s="25">
        <v>66.534250273169405</v>
      </c>
      <c r="AL137" s="11">
        <f t="shared" si="13"/>
        <v>4.3745752931389248</v>
      </c>
      <c r="AN137" s="63">
        <v>318</v>
      </c>
      <c r="AO137" s="11">
        <f t="shared" si="11"/>
        <v>348.15</v>
      </c>
      <c r="AP137" s="65" t="s">
        <v>161</v>
      </c>
      <c r="AQ137" s="66">
        <v>66.534250273169405</v>
      </c>
      <c r="AR137" s="66">
        <v>9.8820116335496007</v>
      </c>
      <c r="AS137" s="11"/>
      <c r="AT137" s="11"/>
      <c r="AU137" s="11"/>
      <c r="BD137" s="19" t="s">
        <v>158</v>
      </c>
      <c r="BE137" s="11" t="s">
        <v>409</v>
      </c>
    </row>
    <row r="138" spans="2:57" x14ac:dyDescent="0.3">
      <c r="B138" s="11" t="s">
        <v>163</v>
      </c>
      <c r="C138" s="4" t="s">
        <v>164</v>
      </c>
      <c r="D138" s="4" t="s">
        <v>257</v>
      </c>
      <c r="E138" s="4"/>
      <c r="F138" s="42" t="s">
        <v>254</v>
      </c>
      <c r="G138" s="4"/>
      <c r="H138" s="4">
        <v>1023.654</v>
      </c>
      <c r="I138" s="36">
        <f t="shared" si="12"/>
        <v>167.14632092484374</v>
      </c>
      <c r="J138" s="4" t="s">
        <v>259</v>
      </c>
      <c r="K138" s="4">
        <v>171.1</v>
      </c>
      <c r="L138" s="4">
        <v>2.4500000000000002</v>
      </c>
      <c r="M138" s="4">
        <f t="shared" si="10"/>
        <v>69.836734693877546</v>
      </c>
      <c r="N138" s="4" t="s">
        <v>253</v>
      </c>
      <c r="O138" s="4"/>
      <c r="P138" s="4" t="s">
        <v>258</v>
      </c>
      <c r="Q138" s="4"/>
      <c r="R138" s="4" t="s">
        <v>396</v>
      </c>
      <c r="S138" s="4" t="s">
        <v>397</v>
      </c>
      <c r="T138" s="4"/>
      <c r="U138" s="4" t="s">
        <v>398</v>
      </c>
      <c r="V138" s="4" t="s">
        <v>399</v>
      </c>
      <c r="W138" s="4" t="s">
        <v>400</v>
      </c>
      <c r="X138" s="4" t="s">
        <v>402</v>
      </c>
      <c r="Y138" s="4" t="s">
        <v>403</v>
      </c>
      <c r="Z138" s="4" t="s">
        <v>404</v>
      </c>
      <c r="AA138" s="4">
        <v>318</v>
      </c>
      <c r="AB138" s="4"/>
      <c r="AC138" s="4" t="s">
        <v>376</v>
      </c>
      <c r="AD138" s="4"/>
      <c r="AE138" s="4">
        <v>7200</v>
      </c>
      <c r="AF138" s="4" t="s">
        <v>405</v>
      </c>
      <c r="AG138" s="4"/>
      <c r="AH138" s="59"/>
      <c r="AJ138" s="25">
        <v>8.7760475787679297</v>
      </c>
      <c r="AK138" s="25">
        <v>71.097094323124296</v>
      </c>
      <c r="AL138" s="11">
        <f t="shared" si="13"/>
        <v>4.4361137403779143</v>
      </c>
      <c r="AN138" s="63">
        <v>318</v>
      </c>
      <c r="AO138" s="11">
        <f t="shared" si="11"/>
        <v>348.15</v>
      </c>
      <c r="AP138" s="65" t="s">
        <v>161</v>
      </c>
      <c r="AQ138" s="66">
        <v>71.097094323124296</v>
      </c>
      <c r="AR138" s="66">
        <v>8.7760475787679297</v>
      </c>
      <c r="AS138" s="11"/>
      <c r="AT138" s="11"/>
      <c r="AU138" s="11"/>
      <c r="BD138" s="19" t="s">
        <v>158</v>
      </c>
      <c r="BE138" s="11" t="s">
        <v>409</v>
      </c>
    </row>
    <row r="139" spans="2:57" x14ac:dyDescent="0.3">
      <c r="B139" s="11" t="s">
        <v>163</v>
      </c>
      <c r="C139" s="4" t="s">
        <v>164</v>
      </c>
      <c r="D139" s="4" t="s">
        <v>257</v>
      </c>
      <c r="E139" s="4"/>
      <c r="F139" s="42" t="s">
        <v>254</v>
      </c>
      <c r="G139" s="4"/>
      <c r="H139" s="4">
        <v>1023.654</v>
      </c>
      <c r="I139" s="36">
        <f t="shared" si="12"/>
        <v>167.14632092484374</v>
      </c>
      <c r="J139" s="4" t="s">
        <v>259</v>
      </c>
      <c r="K139" s="4">
        <v>171.1</v>
      </c>
      <c r="L139" s="4">
        <v>2.4500000000000002</v>
      </c>
      <c r="M139" s="4">
        <f t="shared" si="10"/>
        <v>69.836734693877546</v>
      </c>
      <c r="N139" s="4" t="s">
        <v>253</v>
      </c>
      <c r="O139" s="4"/>
      <c r="P139" s="4" t="s">
        <v>258</v>
      </c>
      <c r="Q139" s="4"/>
      <c r="R139" s="4" t="s">
        <v>396</v>
      </c>
      <c r="S139" s="4" t="s">
        <v>397</v>
      </c>
      <c r="T139" s="4"/>
      <c r="U139" s="4" t="s">
        <v>398</v>
      </c>
      <c r="V139" s="4" t="s">
        <v>399</v>
      </c>
      <c r="W139" s="4" t="s">
        <v>400</v>
      </c>
      <c r="X139" s="4" t="s">
        <v>402</v>
      </c>
      <c r="Y139" s="4" t="s">
        <v>403</v>
      </c>
      <c r="Z139" s="4" t="s">
        <v>404</v>
      </c>
      <c r="AA139" s="4">
        <v>318</v>
      </c>
      <c r="AB139" s="4"/>
      <c r="AC139" s="4" t="s">
        <v>376</v>
      </c>
      <c r="AD139" s="4"/>
      <c r="AE139" s="4">
        <v>7200</v>
      </c>
      <c r="AF139" s="4" t="s">
        <v>405</v>
      </c>
      <c r="AG139" s="4"/>
      <c r="AH139" s="59"/>
      <c r="AJ139" s="25">
        <v>7.8869160203332997</v>
      </c>
      <c r="AK139" s="25">
        <v>73.843582330271204</v>
      </c>
      <c r="AL139" s="11">
        <f t="shared" si="13"/>
        <v>4.3006364444740024</v>
      </c>
      <c r="AN139" s="63">
        <v>318</v>
      </c>
      <c r="AO139" s="11">
        <f t="shared" si="11"/>
        <v>348.15</v>
      </c>
      <c r="AP139" s="65" t="s">
        <v>161</v>
      </c>
      <c r="AQ139" s="66">
        <v>73.843582330271204</v>
      </c>
      <c r="AR139" s="66">
        <v>7.8869160203332997</v>
      </c>
      <c r="AS139" s="11"/>
      <c r="AT139" s="11"/>
      <c r="AU139" s="11"/>
      <c r="BD139" s="19" t="s">
        <v>158</v>
      </c>
      <c r="BE139" s="11" t="s">
        <v>409</v>
      </c>
    </row>
    <row r="140" spans="2:57" x14ac:dyDescent="0.3">
      <c r="B140" s="11" t="s">
        <v>163</v>
      </c>
      <c r="C140" s="4" t="s">
        <v>164</v>
      </c>
      <c r="D140" s="4" t="s">
        <v>257</v>
      </c>
      <c r="E140" s="4"/>
      <c r="F140" s="42" t="s">
        <v>254</v>
      </c>
      <c r="G140" s="4"/>
      <c r="H140" s="4">
        <v>1023.654</v>
      </c>
      <c r="I140" s="36">
        <f t="shared" si="12"/>
        <v>167.14632092484374</v>
      </c>
      <c r="J140" s="4" t="s">
        <v>259</v>
      </c>
      <c r="K140" s="4">
        <v>171.1</v>
      </c>
      <c r="L140" s="4">
        <v>2.4500000000000002</v>
      </c>
      <c r="M140" s="4">
        <f t="shared" si="10"/>
        <v>69.836734693877546</v>
      </c>
      <c r="N140" s="4" t="s">
        <v>253</v>
      </c>
      <c r="O140" s="4"/>
      <c r="P140" s="4" t="s">
        <v>258</v>
      </c>
      <c r="Q140" s="4"/>
      <c r="R140" s="4" t="s">
        <v>396</v>
      </c>
      <c r="S140" s="4" t="s">
        <v>397</v>
      </c>
      <c r="T140" s="4"/>
      <c r="U140" s="4" t="s">
        <v>398</v>
      </c>
      <c r="V140" s="4" t="s">
        <v>399</v>
      </c>
      <c r="W140" s="4" t="s">
        <v>400</v>
      </c>
      <c r="X140" s="4" t="s">
        <v>402</v>
      </c>
      <c r="Y140" s="4" t="s">
        <v>403</v>
      </c>
      <c r="Z140" s="4" t="s">
        <v>404</v>
      </c>
      <c r="AA140" s="4">
        <v>318</v>
      </c>
      <c r="AB140" s="4"/>
      <c r="AC140" s="4" t="s">
        <v>376</v>
      </c>
      <c r="AD140" s="4"/>
      <c r="AE140" s="4">
        <v>7200</v>
      </c>
      <c r="AF140" s="4" t="s">
        <v>405</v>
      </c>
      <c r="AG140" s="4"/>
      <c r="AH140" s="59"/>
      <c r="AJ140" s="25">
        <v>7.0878654375438996</v>
      </c>
      <c r="AK140" s="25">
        <v>75.972853086008598</v>
      </c>
      <c r="AL140" s="11">
        <f t="shared" si="13"/>
        <v>4.0910269112331825</v>
      </c>
      <c r="AN140" s="63">
        <v>318</v>
      </c>
      <c r="AO140" s="11">
        <f t="shared" si="11"/>
        <v>348.15</v>
      </c>
      <c r="AP140" s="65" t="s">
        <v>161</v>
      </c>
      <c r="AQ140" s="66">
        <v>75.972853086008598</v>
      </c>
      <c r="AR140" s="66">
        <v>7.0878654375438996</v>
      </c>
      <c r="AS140" s="11"/>
      <c r="AT140" s="11"/>
      <c r="AU140" s="11"/>
      <c r="BD140" s="19" t="s">
        <v>158</v>
      </c>
      <c r="BE140" s="11" t="s">
        <v>409</v>
      </c>
    </row>
    <row r="141" spans="2:57" x14ac:dyDescent="0.3">
      <c r="B141" s="11" t="s">
        <v>163</v>
      </c>
      <c r="C141" s="4" t="s">
        <v>164</v>
      </c>
      <c r="D141" s="4" t="s">
        <v>257</v>
      </c>
      <c r="E141" s="4"/>
      <c r="F141" s="42" t="s">
        <v>254</v>
      </c>
      <c r="G141" s="4"/>
      <c r="H141" s="4">
        <v>1023.654</v>
      </c>
      <c r="I141" s="36">
        <f t="shared" si="12"/>
        <v>167.14632092484374</v>
      </c>
      <c r="J141" s="4" t="s">
        <v>259</v>
      </c>
      <c r="K141" s="4">
        <v>171.1</v>
      </c>
      <c r="L141" s="4">
        <v>2.4500000000000002</v>
      </c>
      <c r="M141" s="4">
        <f t="shared" si="10"/>
        <v>69.836734693877546</v>
      </c>
      <c r="N141" s="4" t="s">
        <v>253</v>
      </c>
      <c r="O141" s="4"/>
      <c r="P141" s="4" t="s">
        <v>258</v>
      </c>
      <c r="Q141" s="4"/>
      <c r="R141" s="4" t="s">
        <v>396</v>
      </c>
      <c r="S141" s="4" t="s">
        <v>397</v>
      </c>
      <c r="T141" s="4"/>
      <c r="U141" s="4" t="s">
        <v>398</v>
      </c>
      <c r="V141" s="4" t="s">
        <v>399</v>
      </c>
      <c r="W141" s="4" t="s">
        <v>400</v>
      </c>
      <c r="X141" s="4" t="s">
        <v>402</v>
      </c>
      <c r="Y141" s="4" t="s">
        <v>403</v>
      </c>
      <c r="Z141" s="4" t="s">
        <v>404</v>
      </c>
      <c r="AA141" s="4">
        <v>318</v>
      </c>
      <c r="AB141" s="4"/>
      <c r="AC141" s="4" t="s">
        <v>376</v>
      </c>
      <c r="AD141" s="4"/>
      <c r="AE141" s="4">
        <v>7200</v>
      </c>
      <c r="AF141" s="4" t="s">
        <v>405</v>
      </c>
      <c r="AG141" s="4"/>
      <c r="AH141" s="59"/>
      <c r="AJ141" s="25">
        <v>6.4458226251928501</v>
      </c>
      <c r="AK141" s="25">
        <v>80.417356773477593</v>
      </c>
      <c r="AL141" s="11">
        <f t="shared" si="13"/>
        <v>4.1684820814975279</v>
      </c>
      <c r="AN141" s="63">
        <v>318</v>
      </c>
      <c r="AO141" s="11">
        <f t="shared" si="11"/>
        <v>348.15</v>
      </c>
      <c r="AP141" s="65" t="s">
        <v>161</v>
      </c>
      <c r="AQ141" s="66">
        <v>80.417356773477593</v>
      </c>
      <c r="AR141" s="66">
        <v>6.4458226251928501</v>
      </c>
      <c r="AS141" s="11"/>
      <c r="AT141" s="11"/>
      <c r="AU141" s="11"/>
      <c r="BD141" s="19" t="s">
        <v>158</v>
      </c>
      <c r="BE141" s="11" t="s">
        <v>409</v>
      </c>
    </row>
    <row r="142" spans="2:57" x14ac:dyDescent="0.3">
      <c r="B142" s="11" t="s">
        <v>163</v>
      </c>
      <c r="C142" s="4" t="s">
        <v>164</v>
      </c>
      <c r="D142" s="4" t="s">
        <v>257</v>
      </c>
      <c r="E142" s="4"/>
      <c r="F142" s="42" t="s">
        <v>254</v>
      </c>
      <c r="G142" s="4"/>
      <c r="H142" s="4">
        <v>1023.654</v>
      </c>
      <c r="I142" s="36">
        <f t="shared" si="12"/>
        <v>167.14632092484374</v>
      </c>
      <c r="J142" s="4" t="s">
        <v>259</v>
      </c>
      <c r="K142" s="4">
        <v>171.1</v>
      </c>
      <c r="L142" s="4">
        <v>2.4500000000000002</v>
      </c>
      <c r="M142" s="4">
        <f t="shared" si="10"/>
        <v>69.836734693877546</v>
      </c>
      <c r="N142" s="4" t="s">
        <v>253</v>
      </c>
      <c r="O142" s="4"/>
      <c r="P142" s="4" t="s">
        <v>258</v>
      </c>
      <c r="Q142" s="4"/>
      <c r="R142" s="4" t="s">
        <v>396</v>
      </c>
      <c r="S142" s="4" t="s">
        <v>397</v>
      </c>
      <c r="T142" s="4"/>
      <c r="U142" s="4" t="s">
        <v>398</v>
      </c>
      <c r="V142" s="4" t="s">
        <v>399</v>
      </c>
      <c r="W142" s="4" t="s">
        <v>400</v>
      </c>
      <c r="X142" s="4" t="s">
        <v>402</v>
      </c>
      <c r="Y142" s="4" t="s">
        <v>403</v>
      </c>
      <c r="Z142" s="4" t="s">
        <v>404</v>
      </c>
      <c r="AA142" s="4">
        <v>318</v>
      </c>
      <c r="AB142" s="4"/>
      <c r="AC142" s="4" t="s">
        <v>376</v>
      </c>
      <c r="AD142" s="4"/>
      <c r="AE142" s="4">
        <v>7200</v>
      </c>
      <c r="AF142" s="4" t="s">
        <v>405</v>
      </c>
      <c r="AG142" s="4"/>
      <c r="AH142" s="59"/>
      <c r="AJ142" s="25">
        <v>5.7927741697587001</v>
      </c>
      <c r="AK142" s="25">
        <v>84.319092928662499</v>
      </c>
      <c r="AL142" s="11">
        <f t="shared" si="13"/>
        <v>4.118494115398919</v>
      </c>
      <c r="AN142" s="63">
        <v>318</v>
      </c>
      <c r="AO142" s="11">
        <f t="shared" si="11"/>
        <v>348.15</v>
      </c>
      <c r="AP142" s="65" t="s">
        <v>161</v>
      </c>
      <c r="AQ142" s="66">
        <v>84.319092928662499</v>
      </c>
      <c r="AR142" s="66">
        <v>5.7927741697587001</v>
      </c>
      <c r="AS142" s="11"/>
      <c r="AT142" s="11"/>
      <c r="AU142" s="11"/>
      <c r="BD142" s="19" t="s">
        <v>158</v>
      </c>
      <c r="BE142" s="11" t="s">
        <v>409</v>
      </c>
    </row>
    <row r="143" spans="2:57" x14ac:dyDescent="0.3">
      <c r="B143" s="11" t="s">
        <v>163</v>
      </c>
      <c r="C143" s="4" t="s">
        <v>164</v>
      </c>
      <c r="D143" s="4" t="s">
        <v>257</v>
      </c>
      <c r="E143" s="4"/>
      <c r="F143" s="42" t="s">
        <v>254</v>
      </c>
      <c r="G143" s="4"/>
      <c r="H143" s="4">
        <v>1023.654</v>
      </c>
      <c r="I143" s="36">
        <f t="shared" si="12"/>
        <v>167.14632092484374</v>
      </c>
      <c r="J143" s="4" t="s">
        <v>259</v>
      </c>
      <c r="K143" s="4">
        <v>171.1</v>
      </c>
      <c r="L143" s="4">
        <v>2.4500000000000002</v>
      </c>
      <c r="M143" s="4">
        <f t="shared" si="10"/>
        <v>69.836734693877546</v>
      </c>
      <c r="N143" s="4" t="s">
        <v>253</v>
      </c>
      <c r="O143" s="4"/>
      <c r="P143" s="4" t="s">
        <v>258</v>
      </c>
      <c r="Q143" s="4"/>
      <c r="R143" s="4" t="s">
        <v>396</v>
      </c>
      <c r="S143" s="4" t="s">
        <v>397</v>
      </c>
      <c r="T143" s="4"/>
      <c r="U143" s="4" t="s">
        <v>398</v>
      </c>
      <c r="V143" s="4" t="s">
        <v>399</v>
      </c>
      <c r="W143" s="4" t="s">
        <v>400</v>
      </c>
      <c r="X143" s="4" t="s">
        <v>402</v>
      </c>
      <c r="Y143" s="4" t="s">
        <v>403</v>
      </c>
      <c r="Z143" s="4" t="s">
        <v>404</v>
      </c>
      <c r="AA143" s="4">
        <v>318</v>
      </c>
      <c r="AB143" s="4"/>
      <c r="AC143" s="4" t="s">
        <v>376</v>
      </c>
      <c r="AD143" s="4"/>
      <c r="AE143" s="4">
        <v>7200</v>
      </c>
      <c r="AF143" s="4" t="s">
        <v>405</v>
      </c>
      <c r="AG143" s="4"/>
      <c r="AH143" s="59"/>
      <c r="AJ143" s="25">
        <v>5.1444648733528604</v>
      </c>
      <c r="AK143" s="25">
        <v>87.576348090871804</v>
      </c>
      <c r="AL143" s="11">
        <f t="shared" si="13"/>
        <v>3.9456073936389529</v>
      </c>
      <c r="AN143" s="63">
        <v>318</v>
      </c>
      <c r="AO143" s="11">
        <f t="shared" si="11"/>
        <v>348.15</v>
      </c>
      <c r="AP143" s="65" t="s">
        <v>161</v>
      </c>
      <c r="AQ143" s="66">
        <v>87.576348090871804</v>
      </c>
      <c r="AR143" s="66">
        <v>5.1444648733528604</v>
      </c>
      <c r="AS143" s="11"/>
      <c r="AT143" s="11"/>
      <c r="AU143" s="11"/>
      <c r="BD143" s="19" t="s">
        <v>158</v>
      </c>
      <c r="BE143" s="11" t="s">
        <v>409</v>
      </c>
    </row>
    <row r="144" spans="2:57" x14ac:dyDescent="0.3">
      <c r="B144" s="11" t="s">
        <v>163</v>
      </c>
      <c r="C144" s="4" t="s">
        <v>164</v>
      </c>
      <c r="D144" s="4" t="s">
        <v>257</v>
      </c>
      <c r="E144" s="4"/>
      <c r="F144" s="42" t="s">
        <v>254</v>
      </c>
      <c r="G144" s="4"/>
      <c r="H144" s="4">
        <v>1023.654</v>
      </c>
      <c r="I144" s="36">
        <f t="shared" si="12"/>
        <v>167.14632092484374</v>
      </c>
      <c r="J144" s="4" t="s">
        <v>259</v>
      </c>
      <c r="K144" s="4">
        <v>171.1</v>
      </c>
      <c r="L144" s="4">
        <v>2.4500000000000002</v>
      </c>
      <c r="M144" s="4">
        <f t="shared" si="10"/>
        <v>69.836734693877546</v>
      </c>
      <c r="N144" s="4" t="s">
        <v>253</v>
      </c>
      <c r="O144" s="4"/>
      <c r="P144" s="4" t="s">
        <v>258</v>
      </c>
      <c r="Q144" s="4"/>
      <c r="R144" s="4" t="s">
        <v>396</v>
      </c>
      <c r="S144" s="4" t="s">
        <v>397</v>
      </c>
      <c r="T144" s="4"/>
      <c r="U144" s="4" t="s">
        <v>398</v>
      </c>
      <c r="V144" s="4" t="s">
        <v>399</v>
      </c>
      <c r="W144" s="4" t="s">
        <v>400</v>
      </c>
      <c r="X144" s="4" t="s">
        <v>402</v>
      </c>
      <c r="Y144" s="4" t="s">
        <v>403</v>
      </c>
      <c r="Z144" s="4" t="s">
        <v>404</v>
      </c>
      <c r="AA144" s="4">
        <v>318</v>
      </c>
      <c r="AB144" s="4"/>
      <c r="AC144" s="4" t="s">
        <v>376</v>
      </c>
      <c r="AD144" s="4"/>
      <c r="AE144" s="4">
        <v>7200</v>
      </c>
      <c r="AF144" s="4" t="s">
        <v>405</v>
      </c>
      <c r="AG144" s="4"/>
      <c r="AH144" s="59"/>
      <c r="AJ144" s="25">
        <v>4.5148068495845104</v>
      </c>
      <c r="AK144" s="25">
        <v>94.473203465281102</v>
      </c>
      <c r="AL144" s="11">
        <f t="shared" si="13"/>
        <v>4.0295491667643057</v>
      </c>
      <c r="AN144" s="63">
        <v>318</v>
      </c>
      <c r="AO144" s="11">
        <f t="shared" si="11"/>
        <v>348.15</v>
      </c>
      <c r="AP144" s="65" t="s">
        <v>161</v>
      </c>
      <c r="AQ144" s="66">
        <v>94.473203465281102</v>
      </c>
      <c r="AR144" s="66">
        <v>4.5148068495845104</v>
      </c>
      <c r="AS144" s="11"/>
      <c r="AT144" s="11"/>
      <c r="AU144" s="11"/>
      <c r="BD144" s="19" t="s">
        <v>158</v>
      </c>
      <c r="BE144" s="11" t="s">
        <v>409</v>
      </c>
    </row>
    <row r="145" spans="2:57" x14ac:dyDescent="0.3">
      <c r="B145" s="11" t="s">
        <v>163</v>
      </c>
      <c r="C145" s="4" t="s">
        <v>164</v>
      </c>
      <c r="D145" s="4" t="s">
        <v>257</v>
      </c>
      <c r="E145" s="4"/>
      <c r="F145" s="42" t="s">
        <v>254</v>
      </c>
      <c r="G145" s="4"/>
      <c r="H145" s="4">
        <v>1023.654</v>
      </c>
      <c r="I145" s="36">
        <f t="shared" si="12"/>
        <v>167.14632092484374</v>
      </c>
      <c r="J145" s="4" t="s">
        <v>259</v>
      </c>
      <c r="K145" s="4">
        <v>171.1</v>
      </c>
      <c r="L145" s="4">
        <v>2.4500000000000002</v>
      </c>
      <c r="M145" s="4">
        <f t="shared" si="10"/>
        <v>69.836734693877546</v>
      </c>
      <c r="N145" s="4" t="s">
        <v>253</v>
      </c>
      <c r="O145" s="4"/>
      <c r="P145" s="4" t="s">
        <v>258</v>
      </c>
      <c r="Q145" s="4"/>
      <c r="R145" s="4" t="s">
        <v>396</v>
      </c>
      <c r="S145" s="4" t="s">
        <v>397</v>
      </c>
      <c r="T145" s="4"/>
      <c r="U145" s="4" t="s">
        <v>398</v>
      </c>
      <c r="V145" s="4" t="s">
        <v>399</v>
      </c>
      <c r="W145" s="4" t="s">
        <v>400</v>
      </c>
      <c r="X145" s="4" t="s">
        <v>402</v>
      </c>
      <c r="Y145" s="4" t="s">
        <v>403</v>
      </c>
      <c r="Z145" s="4" t="s">
        <v>404</v>
      </c>
      <c r="AA145" s="4">
        <v>318</v>
      </c>
      <c r="AB145" s="4"/>
      <c r="AC145" s="4" t="s">
        <v>376</v>
      </c>
      <c r="AD145" s="4"/>
      <c r="AE145" s="4">
        <v>7200</v>
      </c>
      <c r="AF145" s="4" t="s">
        <v>405</v>
      </c>
      <c r="AG145" s="4"/>
      <c r="AH145" s="59"/>
      <c r="AJ145" s="25">
        <v>4.20447079564142</v>
      </c>
      <c r="AK145" s="25">
        <v>95.372654022160702</v>
      </c>
      <c r="AL145" s="11">
        <f t="shared" si="13"/>
        <v>3.8243627270892806</v>
      </c>
      <c r="AN145" s="63">
        <v>318</v>
      </c>
      <c r="AO145" s="11">
        <f t="shared" si="11"/>
        <v>348.15</v>
      </c>
      <c r="AP145" s="65" t="s">
        <v>161</v>
      </c>
      <c r="AQ145" s="66">
        <v>95.372654022160702</v>
      </c>
      <c r="AR145" s="66">
        <v>4.20447079564142</v>
      </c>
      <c r="AS145" s="11"/>
      <c r="AT145" s="11"/>
      <c r="AU145" s="11"/>
      <c r="BD145" s="19" t="s">
        <v>158</v>
      </c>
      <c r="BE145" s="11" t="s">
        <v>409</v>
      </c>
    </row>
    <row r="146" spans="2:57" x14ac:dyDescent="0.3">
      <c r="B146" s="11" t="s">
        <v>163</v>
      </c>
      <c r="C146" s="4" t="s">
        <v>164</v>
      </c>
      <c r="D146" s="4" t="s">
        <v>257</v>
      </c>
      <c r="E146" s="4"/>
      <c r="F146" s="42" t="s">
        <v>254</v>
      </c>
      <c r="G146" s="4"/>
      <c r="H146" s="4">
        <v>1023.654</v>
      </c>
      <c r="I146" s="36">
        <f t="shared" si="12"/>
        <v>167.14632092484374</v>
      </c>
      <c r="J146" s="4" t="s">
        <v>259</v>
      </c>
      <c r="K146" s="4">
        <v>171.1</v>
      </c>
      <c r="L146" s="4">
        <v>2.4500000000000002</v>
      </c>
      <c r="M146" s="4">
        <f t="shared" si="10"/>
        <v>69.836734693877546</v>
      </c>
      <c r="N146" s="4" t="s">
        <v>253</v>
      </c>
      <c r="O146" s="4"/>
      <c r="P146" s="4" t="s">
        <v>258</v>
      </c>
      <c r="Q146" s="4"/>
      <c r="R146" s="4" t="s">
        <v>396</v>
      </c>
      <c r="S146" s="4" t="s">
        <v>397</v>
      </c>
      <c r="T146" s="4"/>
      <c r="U146" s="4" t="s">
        <v>398</v>
      </c>
      <c r="V146" s="4" t="s">
        <v>399</v>
      </c>
      <c r="W146" s="4" t="s">
        <v>400</v>
      </c>
      <c r="X146" s="4" t="s">
        <v>402</v>
      </c>
      <c r="Y146" s="4" t="s">
        <v>403</v>
      </c>
      <c r="Z146" s="4" t="s">
        <v>404</v>
      </c>
      <c r="AA146" s="4">
        <v>318</v>
      </c>
      <c r="AB146" s="4"/>
      <c r="AC146" s="4" t="s">
        <v>376</v>
      </c>
      <c r="AD146" s="4"/>
      <c r="AE146" s="4">
        <v>7200</v>
      </c>
      <c r="AF146" s="4" t="s">
        <v>405</v>
      </c>
      <c r="AG146" s="4"/>
      <c r="AH146" s="59"/>
      <c r="AJ146" s="25">
        <v>3.7785014014045699</v>
      </c>
      <c r="AK146" s="25">
        <v>97.197326848674606</v>
      </c>
      <c r="AL146" s="11">
        <f t="shared" si="13"/>
        <v>3.5696713168874266</v>
      </c>
      <c r="AN146" s="63">
        <v>318</v>
      </c>
      <c r="AO146" s="11">
        <f t="shared" si="11"/>
        <v>348.15</v>
      </c>
      <c r="AP146" s="65" t="s">
        <v>161</v>
      </c>
      <c r="AQ146" s="66">
        <v>97.197326848674606</v>
      </c>
      <c r="AR146" s="66">
        <v>3.7785014014045699</v>
      </c>
      <c r="AS146" s="11"/>
      <c r="AT146" s="11"/>
      <c r="AU146" s="11"/>
      <c r="BD146" s="19" t="s">
        <v>158</v>
      </c>
      <c r="BE146" s="11" t="s">
        <v>409</v>
      </c>
    </row>
    <row r="147" spans="2:57" x14ac:dyDescent="0.3">
      <c r="B147" s="11" t="s">
        <v>163</v>
      </c>
      <c r="C147" s="4" t="s">
        <v>164</v>
      </c>
      <c r="D147" s="4" t="s">
        <v>257</v>
      </c>
      <c r="E147" s="4"/>
      <c r="F147" s="42" t="s">
        <v>254</v>
      </c>
      <c r="G147" s="4"/>
      <c r="H147" s="4">
        <v>1023.654</v>
      </c>
      <c r="I147" s="36">
        <f t="shared" si="12"/>
        <v>167.14632092484374</v>
      </c>
      <c r="J147" s="4" t="s">
        <v>259</v>
      </c>
      <c r="K147" s="4">
        <v>171.1</v>
      </c>
      <c r="L147" s="4">
        <v>2.4500000000000002</v>
      </c>
      <c r="M147" s="4">
        <f t="shared" si="10"/>
        <v>69.836734693877546</v>
      </c>
      <c r="N147" s="4" t="s">
        <v>253</v>
      </c>
      <c r="O147" s="4"/>
      <c r="P147" s="4" t="s">
        <v>258</v>
      </c>
      <c r="Q147" s="4"/>
      <c r="R147" s="4" t="s">
        <v>396</v>
      </c>
      <c r="S147" s="4" t="s">
        <v>397</v>
      </c>
      <c r="T147" s="4"/>
      <c r="U147" s="4" t="s">
        <v>398</v>
      </c>
      <c r="V147" s="4" t="s">
        <v>399</v>
      </c>
      <c r="W147" s="4" t="s">
        <v>400</v>
      </c>
      <c r="X147" s="4" t="s">
        <v>402</v>
      </c>
      <c r="Y147" s="4" t="s">
        <v>403</v>
      </c>
      <c r="Z147" s="4" t="s">
        <v>404</v>
      </c>
      <c r="AA147" s="4">
        <v>318</v>
      </c>
      <c r="AB147" s="4"/>
      <c r="AC147" s="4" t="s">
        <v>376</v>
      </c>
      <c r="AD147" s="4"/>
      <c r="AE147" s="4">
        <v>7200</v>
      </c>
      <c r="AF147" s="4" t="s">
        <v>405</v>
      </c>
      <c r="AG147" s="4"/>
      <c r="AH147" s="59"/>
      <c r="AJ147" s="25">
        <v>3.3956884312805</v>
      </c>
      <c r="AK147" s="25">
        <v>101.913203365494</v>
      </c>
      <c r="AL147" s="11">
        <f t="shared" si="13"/>
        <v>3.5268642218146145</v>
      </c>
      <c r="AN147" s="63">
        <v>318</v>
      </c>
      <c r="AO147" s="11">
        <f t="shared" si="11"/>
        <v>348.15</v>
      </c>
      <c r="AP147" s="65" t="s">
        <v>161</v>
      </c>
      <c r="AQ147" s="66">
        <v>101.913203365494</v>
      </c>
      <c r="AR147" s="66">
        <v>3.3956884312805</v>
      </c>
      <c r="AS147" s="11"/>
      <c r="AT147" s="11"/>
      <c r="AU147" s="11"/>
      <c r="BD147" s="19" t="s">
        <v>158</v>
      </c>
      <c r="BE147" s="11" t="s">
        <v>409</v>
      </c>
    </row>
    <row r="148" spans="2:57" x14ac:dyDescent="0.3">
      <c r="B148" s="11" t="s">
        <v>163</v>
      </c>
      <c r="C148" s="4" t="s">
        <v>164</v>
      </c>
      <c r="D148" s="4" t="s">
        <v>257</v>
      </c>
      <c r="E148" s="4"/>
      <c r="F148" s="42" t="s">
        <v>254</v>
      </c>
      <c r="G148" s="4"/>
      <c r="H148" s="4">
        <v>1023.654</v>
      </c>
      <c r="I148" s="36">
        <f t="shared" si="12"/>
        <v>167.14632092484374</v>
      </c>
      <c r="J148" s="4" t="s">
        <v>259</v>
      </c>
      <c r="K148" s="4">
        <v>171.1</v>
      </c>
      <c r="L148" s="4">
        <v>2.4500000000000002</v>
      </c>
      <c r="M148" s="4">
        <f t="shared" si="10"/>
        <v>69.836734693877546</v>
      </c>
      <c r="N148" s="4" t="s">
        <v>253</v>
      </c>
      <c r="O148" s="4"/>
      <c r="P148" s="4" t="s">
        <v>258</v>
      </c>
      <c r="Q148" s="4"/>
      <c r="R148" s="4" t="s">
        <v>396</v>
      </c>
      <c r="S148" s="4" t="s">
        <v>397</v>
      </c>
      <c r="T148" s="4"/>
      <c r="U148" s="4" t="s">
        <v>398</v>
      </c>
      <c r="V148" s="4" t="s">
        <v>399</v>
      </c>
      <c r="W148" s="4" t="s">
        <v>400</v>
      </c>
      <c r="X148" s="4" t="s">
        <v>402</v>
      </c>
      <c r="Y148" s="4" t="s">
        <v>403</v>
      </c>
      <c r="Z148" s="4" t="s">
        <v>404</v>
      </c>
      <c r="AA148" s="4">
        <v>318</v>
      </c>
      <c r="AB148" s="4"/>
      <c r="AC148" s="4" t="s">
        <v>376</v>
      </c>
      <c r="AD148" s="4"/>
      <c r="AE148" s="4">
        <v>7200</v>
      </c>
      <c r="AF148" s="4" t="s">
        <v>405</v>
      </c>
      <c r="AG148" s="4"/>
      <c r="AH148" s="59"/>
      <c r="AJ148" s="25">
        <v>3.0880954938160001</v>
      </c>
      <c r="AK148" s="25">
        <v>103.863010202167</v>
      </c>
      <c r="AL148" s="11">
        <f t="shared" si="13"/>
        <v>3.3312906996849598</v>
      </c>
      <c r="AN148" s="63">
        <v>318</v>
      </c>
      <c r="AO148" s="11">
        <f t="shared" si="11"/>
        <v>348.15</v>
      </c>
      <c r="AP148" s="65" t="s">
        <v>161</v>
      </c>
      <c r="AQ148" s="66">
        <v>103.863010202167</v>
      </c>
      <c r="AR148" s="66">
        <v>3.0880954938160001</v>
      </c>
      <c r="AS148" s="11"/>
      <c r="AT148" s="11"/>
      <c r="AU148" s="11"/>
      <c r="BD148" s="19" t="s">
        <v>158</v>
      </c>
      <c r="BE148" s="11" t="s">
        <v>409</v>
      </c>
    </row>
    <row r="149" spans="2:57" x14ac:dyDescent="0.3">
      <c r="B149" s="11" t="s">
        <v>163</v>
      </c>
      <c r="C149" s="4" t="s">
        <v>164</v>
      </c>
      <c r="D149" s="4" t="s">
        <v>257</v>
      </c>
      <c r="E149" s="4"/>
      <c r="F149" s="42" t="s">
        <v>254</v>
      </c>
      <c r="G149" s="4"/>
      <c r="H149" s="4">
        <v>1023.654</v>
      </c>
      <c r="I149" s="36">
        <f t="shared" si="12"/>
        <v>167.14632092484374</v>
      </c>
      <c r="J149" s="4" t="s">
        <v>259</v>
      </c>
      <c r="K149" s="4">
        <v>171.1</v>
      </c>
      <c r="L149" s="4">
        <v>2.4500000000000002</v>
      </c>
      <c r="M149" s="4">
        <f t="shared" si="10"/>
        <v>69.836734693877546</v>
      </c>
      <c r="N149" s="4" t="s">
        <v>253</v>
      </c>
      <c r="O149" s="4"/>
      <c r="P149" s="4" t="s">
        <v>258</v>
      </c>
      <c r="Q149" s="4"/>
      <c r="R149" s="4" t="s">
        <v>396</v>
      </c>
      <c r="S149" s="4" t="s">
        <v>397</v>
      </c>
      <c r="T149" s="4"/>
      <c r="U149" s="4" t="s">
        <v>398</v>
      </c>
      <c r="V149" s="4" t="s">
        <v>399</v>
      </c>
      <c r="W149" s="4" t="s">
        <v>400</v>
      </c>
      <c r="X149" s="4" t="s">
        <v>402</v>
      </c>
      <c r="Y149" s="4" t="s">
        <v>403</v>
      </c>
      <c r="Z149" s="4" t="s">
        <v>404</v>
      </c>
      <c r="AA149" s="4">
        <v>318</v>
      </c>
      <c r="AB149" s="4"/>
      <c r="AC149" s="4" t="s">
        <v>376</v>
      </c>
      <c r="AD149" s="4"/>
      <c r="AE149" s="4">
        <v>7200</v>
      </c>
      <c r="AF149" s="4" t="s">
        <v>405</v>
      </c>
      <c r="AG149" s="4"/>
      <c r="AH149" s="59"/>
      <c r="AJ149" s="25">
        <v>2.8083653644661801</v>
      </c>
      <c r="AK149" s="25">
        <v>107.875248882555</v>
      </c>
      <c r="AL149" s="11">
        <f t="shared" si="13"/>
        <v>3.2681142426317242</v>
      </c>
      <c r="AN149" s="63">
        <v>318</v>
      </c>
      <c r="AO149" s="11">
        <f t="shared" si="11"/>
        <v>348.15</v>
      </c>
      <c r="AP149" s="65" t="s">
        <v>161</v>
      </c>
      <c r="AQ149" s="66">
        <v>107.875248882555</v>
      </c>
      <c r="AR149" s="66">
        <v>2.8083653644661801</v>
      </c>
      <c r="AS149" s="11"/>
      <c r="AT149" s="11"/>
      <c r="AU149" s="11"/>
      <c r="BD149" s="19" t="s">
        <v>158</v>
      </c>
      <c r="BE149" s="11" t="s">
        <v>409</v>
      </c>
    </row>
    <row r="150" spans="2:57" x14ac:dyDescent="0.3">
      <c r="B150" s="11" t="s">
        <v>163</v>
      </c>
      <c r="C150" s="4" t="s">
        <v>164</v>
      </c>
      <c r="D150" s="4" t="s">
        <v>257</v>
      </c>
      <c r="E150" s="4"/>
      <c r="F150" s="42" t="s">
        <v>254</v>
      </c>
      <c r="G150" s="4"/>
      <c r="H150" s="4">
        <v>1023.654</v>
      </c>
      <c r="I150" s="36">
        <f t="shared" si="12"/>
        <v>167.14632092484374</v>
      </c>
      <c r="J150" s="4" t="s">
        <v>259</v>
      </c>
      <c r="K150" s="4">
        <v>171.1</v>
      </c>
      <c r="L150" s="4">
        <v>2.4500000000000002</v>
      </c>
      <c r="M150" s="4">
        <f t="shared" si="10"/>
        <v>69.836734693877546</v>
      </c>
      <c r="N150" s="4" t="s">
        <v>253</v>
      </c>
      <c r="O150" s="4"/>
      <c r="P150" s="4" t="s">
        <v>258</v>
      </c>
      <c r="Q150" s="4"/>
      <c r="R150" s="4" t="s">
        <v>396</v>
      </c>
      <c r="S150" s="4" t="s">
        <v>397</v>
      </c>
      <c r="T150" s="4"/>
      <c r="U150" s="4" t="s">
        <v>398</v>
      </c>
      <c r="V150" s="4" t="s">
        <v>399</v>
      </c>
      <c r="W150" s="4" t="s">
        <v>400</v>
      </c>
      <c r="X150" s="4" t="s">
        <v>402</v>
      </c>
      <c r="Y150" s="4" t="s">
        <v>403</v>
      </c>
      <c r="Z150" s="4" t="s">
        <v>404</v>
      </c>
      <c r="AA150" s="4">
        <v>318</v>
      </c>
      <c r="AB150" s="4"/>
      <c r="AC150" s="4" t="s">
        <v>376</v>
      </c>
      <c r="AD150" s="4"/>
      <c r="AE150" s="4">
        <v>7200</v>
      </c>
      <c r="AF150" s="4" t="s">
        <v>405</v>
      </c>
      <c r="AG150" s="4"/>
      <c r="AH150" s="59"/>
      <c r="AJ150" s="25">
        <v>2.5238402122549899</v>
      </c>
      <c r="AK150" s="25">
        <v>113.109203039992</v>
      </c>
      <c r="AL150" s="11">
        <f t="shared" si="13"/>
        <v>3.2289233859186499</v>
      </c>
      <c r="AN150" s="63">
        <v>318</v>
      </c>
      <c r="AO150" s="11">
        <f t="shared" si="11"/>
        <v>348.15</v>
      </c>
      <c r="AP150" s="65" t="s">
        <v>161</v>
      </c>
      <c r="AQ150" s="66">
        <v>113.109203039992</v>
      </c>
      <c r="AR150" s="66">
        <v>2.5238402122549899</v>
      </c>
      <c r="AS150" s="11"/>
      <c r="AT150" s="11"/>
      <c r="AU150" s="11"/>
      <c r="BD150" s="19" t="s">
        <v>158</v>
      </c>
      <c r="BE150" s="11" t="s">
        <v>409</v>
      </c>
    </row>
    <row r="151" spans="2:57" x14ac:dyDescent="0.3">
      <c r="B151" s="11" t="s">
        <v>163</v>
      </c>
      <c r="C151" s="4" t="s">
        <v>164</v>
      </c>
      <c r="D151" s="4" t="s">
        <v>257</v>
      </c>
      <c r="E151" s="4"/>
      <c r="F151" s="42" t="s">
        <v>254</v>
      </c>
      <c r="G151" s="4"/>
      <c r="H151" s="4">
        <v>1023.654</v>
      </c>
      <c r="I151" s="36">
        <f t="shared" si="12"/>
        <v>167.14632092484374</v>
      </c>
      <c r="J151" s="4" t="s">
        <v>259</v>
      </c>
      <c r="K151" s="4">
        <v>171.1</v>
      </c>
      <c r="L151" s="4">
        <v>2.4500000000000002</v>
      </c>
      <c r="M151" s="4">
        <f t="shared" si="10"/>
        <v>69.836734693877546</v>
      </c>
      <c r="N151" s="4" t="s">
        <v>253</v>
      </c>
      <c r="O151" s="4"/>
      <c r="P151" s="4" t="s">
        <v>258</v>
      </c>
      <c r="Q151" s="4"/>
      <c r="R151" s="4" t="s">
        <v>396</v>
      </c>
      <c r="S151" s="4" t="s">
        <v>397</v>
      </c>
      <c r="T151" s="4"/>
      <c r="U151" s="4" t="s">
        <v>398</v>
      </c>
      <c r="V151" s="4" t="s">
        <v>399</v>
      </c>
      <c r="W151" s="4" t="s">
        <v>400</v>
      </c>
      <c r="X151" s="4" t="s">
        <v>402</v>
      </c>
      <c r="Y151" s="4" t="s">
        <v>403</v>
      </c>
      <c r="Z151" s="4" t="s">
        <v>404</v>
      </c>
      <c r="AA151" s="4">
        <v>318</v>
      </c>
      <c r="AB151" s="4"/>
      <c r="AC151" s="4" t="s">
        <v>376</v>
      </c>
      <c r="AD151" s="4"/>
      <c r="AE151" s="4">
        <v>7200</v>
      </c>
      <c r="AF151" s="4" t="s">
        <v>405</v>
      </c>
      <c r="AG151" s="4"/>
      <c r="AH151" s="59"/>
      <c r="AJ151" s="25">
        <v>2.2149341783957501</v>
      </c>
      <c r="AK151" s="25">
        <v>117.47862309301701</v>
      </c>
      <c r="AL151" s="11">
        <f t="shared" si="13"/>
        <v>3.0568809128791883</v>
      </c>
      <c r="AN151" s="63">
        <v>318</v>
      </c>
      <c r="AO151" s="11">
        <f t="shared" si="11"/>
        <v>348.15</v>
      </c>
      <c r="AP151" s="65" t="s">
        <v>161</v>
      </c>
      <c r="AQ151" s="66">
        <v>117.47862309301701</v>
      </c>
      <c r="AR151" s="66">
        <v>2.2149341783957501</v>
      </c>
      <c r="AS151" s="11"/>
      <c r="AT151" s="11"/>
      <c r="AU151" s="11"/>
      <c r="BD151" s="19" t="s">
        <v>158</v>
      </c>
      <c r="BE151" s="11" t="s">
        <v>409</v>
      </c>
    </row>
    <row r="152" spans="2:57" x14ac:dyDescent="0.3">
      <c r="B152" s="11" t="s">
        <v>163</v>
      </c>
      <c r="C152" s="4" t="s">
        <v>164</v>
      </c>
      <c r="D152" s="4" t="s">
        <v>257</v>
      </c>
      <c r="E152" s="4"/>
      <c r="F152" s="42" t="s">
        <v>254</v>
      </c>
      <c r="G152" s="4"/>
      <c r="H152" s="4">
        <v>1023.654</v>
      </c>
      <c r="I152" s="36">
        <f t="shared" si="12"/>
        <v>167.14632092484374</v>
      </c>
      <c r="J152" s="4" t="s">
        <v>259</v>
      </c>
      <c r="K152" s="4">
        <v>171.1</v>
      </c>
      <c r="L152" s="4">
        <v>2.4500000000000002</v>
      </c>
      <c r="M152" s="4">
        <f t="shared" si="10"/>
        <v>69.836734693877546</v>
      </c>
      <c r="N152" s="4" t="s">
        <v>253</v>
      </c>
      <c r="O152" s="4"/>
      <c r="P152" s="4" t="s">
        <v>258</v>
      </c>
      <c r="Q152" s="4"/>
      <c r="R152" s="4" t="s">
        <v>396</v>
      </c>
      <c r="S152" s="4" t="s">
        <v>397</v>
      </c>
      <c r="T152" s="4"/>
      <c r="U152" s="4" t="s">
        <v>398</v>
      </c>
      <c r="V152" s="4" t="s">
        <v>399</v>
      </c>
      <c r="W152" s="4" t="s">
        <v>400</v>
      </c>
      <c r="X152" s="4" t="s">
        <v>402</v>
      </c>
      <c r="Y152" s="4" t="s">
        <v>403</v>
      </c>
      <c r="Z152" s="4" t="s">
        <v>404</v>
      </c>
      <c r="AA152" s="4">
        <v>318</v>
      </c>
      <c r="AB152" s="4"/>
      <c r="AC152" s="4" t="s">
        <v>376</v>
      </c>
      <c r="AD152" s="4"/>
      <c r="AE152" s="4">
        <v>7200</v>
      </c>
      <c r="AF152" s="4" t="s">
        <v>405</v>
      </c>
      <c r="AG152" s="4"/>
      <c r="AH152" s="59"/>
      <c r="AJ152" s="25">
        <v>2.0142979527787999</v>
      </c>
      <c r="AK152" s="25">
        <v>120.86610496595</v>
      </c>
      <c r="AL152" s="11">
        <f t="shared" si="13"/>
        <v>2.9426103951426934</v>
      </c>
      <c r="AN152" s="63">
        <v>318</v>
      </c>
      <c r="AO152" s="11">
        <f t="shared" si="11"/>
        <v>348.15</v>
      </c>
      <c r="AP152" s="65" t="s">
        <v>161</v>
      </c>
      <c r="AQ152" s="66">
        <v>120.86610496595</v>
      </c>
      <c r="AR152" s="66">
        <v>2.0142979527787999</v>
      </c>
      <c r="AS152" s="11"/>
      <c r="AT152" s="11"/>
      <c r="AU152" s="11"/>
      <c r="BD152" s="19" t="s">
        <v>158</v>
      </c>
      <c r="BE152" s="11" t="s">
        <v>409</v>
      </c>
    </row>
    <row r="153" spans="2:57" x14ac:dyDescent="0.3">
      <c r="B153" s="11" t="s">
        <v>163</v>
      </c>
      <c r="C153" s="4" t="s">
        <v>164</v>
      </c>
      <c r="D153" s="4" t="s">
        <v>257</v>
      </c>
      <c r="E153" s="4"/>
      <c r="F153" s="42" t="s">
        <v>254</v>
      </c>
      <c r="G153" s="4"/>
      <c r="H153" s="4">
        <v>1023.654</v>
      </c>
      <c r="I153" s="36">
        <f t="shared" si="12"/>
        <v>167.14632092484374</v>
      </c>
      <c r="J153" s="4" t="s">
        <v>259</v>
      </c>
      <c r="K153" s="4">
        <v>171.1</v>
      </c>
      <c r="L153" s="4">
        <v>2.4500000000000002</v>
      </c>
      <c r="M153" s="4">
        <f t="shared" si="10"/>
        <v>69.836734693877546</v>
      </c>
      <c r="N153" s="4" t="s">
        <v>253</v>
      </c>
      <c r="O153" s="4"/>
      <c r="P153" s="4" t="s">
        <v>258</v>
      </c>
      <c r="Q153" s="4"/>
      <c r="R153" s="4" t="s">
        <v>396</v>
      </c>
      <c r="S153" s="4" t="s">
        <v>397</v>
      </c>
      <c r="T153" s="4"/>
      <c r="U153" s="4" t="s">
        <v>398</v>
      </c>
      <c r="V153" s="4" t="s">
        <v>399</v>
      </c>
      <c r="W153" s="4" t="s">
        <v>400</v>
      </c>
      <c r="X153" s="4" t="s">
        <v>402</v>
      </c>
      <c r="Y153" s="4" t="s">
        <v>403</v>
      </c>
      <c r="Z153" s="4" t="s">
        <v>404</v>
      </c>
      <c r="AA153" s="4">
        <v>318</v>
      </c>
      <c r="AB153" s="4"/>
      <c r="AC153" s="4" t="s">
        <v>376</v>
      </c>
      <c r="AD153" s="4"/>
      <c r="AE153" s="4">
        <v>7200</v>
      </c>
      <c r="AF153" s="4" t="s">
        <v>405</v>
      </c>
      <c r="AG153" s="4"/>
      <c r="AH153" s="59"/>
      <c r="AJ153" s="25">
        <v>1.7677574671401599</v>
      </c>
      <c r="AK153" s="25">
        <v>124.351264468544</v>
      </c>
      <c r="AL153" s="11">
        <f t="shared" si="13"/>
        <v>2.7335252628582856</v>
      </c>
      <c r="AN153" s="63">
        <v>318</v>
      </c>
      <c r="AO153" s="11">
        <f t="shared" si="11"/>
        <v>348.15</v>
      </c>
      <c r="AP153" s="65" t="s">
        <v>161</v>
      </c>
      <c r="AQ153" s="66">
        <v>124.351264468544</v>
      </c>
      <c r="AR153" s="66">
        <v>1.7677574671401599</v>
      </c>
      <c r="AS153" s="11"/>
      <c r="AT153" s="11"/>
      <c r="AU153" s="11"/>
      <c r="BD153" s="19" t="s">
        <v>158</v>
      </c>
      <c r="BE153" s="11" t="s">
        <v>409</v>
      </c>
    </row>
    <row r="154" spans="2:57" x14ac:dyDescent="0.3">
      <c r="B154" s="11" t="s">
        <v>163</v>
      </c>
      <c r="C154" s="4" t="s">
        <v>164</v>
      </c>
      <c r="D154" s="4" t="s">
        <v>257</v>
      </c>
      <c r="E154" s="4"/>
      <c r="F154" s="42" t="s">
        <v>254</v>
      </c>
      <c r="G154" s="4"/>
      <c r="H154" s="4">
        <v>1023.654</v>
      </c>
      <c r="I154" s="36">
        <f t="shared" si="12"/>
        <v>167.14632092484374</v>
      </c>
      <c r="J154" s="4" t="s">
        <v>259</v>
      </c>
      <c r="K154" s="4">
        <v>171.1</v>
      </c>
      <c r="L154" s="4">
        <v>2.4500000000000002</v>
      </c>
      <c r="M154" s="4">
        <f t="shared" si="10"/>
        <v>69.836734693877546</v>
      </c>
      <c r="N154" s="4" t="s">
        <v>253</v>
      </c>
      <c r="O154" s="4"/>
      <c r="P154" s="4" t="s">
        <v>258</v>
      </c>
      <c r="Q154" s="4"/>
      <c r="R154" s="4" t="s">
        <v>396</v>
      </c>
      <c r="S154" s="4" t="s">
        <v>397</v>
      </c>
      <c r="T154" s="4"/>
      <c r="U154" s="4" t="s">
        <v>398</v>
      </c>
      <c r="V154" s="4" t="s">
        <v>399</v>
      </c>
      <c r="W154" s="4" t="s">
        <v>400</v>
      </c>
      <c r="X154" s="4" t="s">
        <v>402</v>
      </c>
      <c r="Y154" s="4" t="s">
        <v>403</v>
      </c>
      <c r="Z154" s="4" t="s">
        <v>404</v>
      </c>
      <c r="AA154" s="4">
        <v>318</v>
      </c>
      <c r="AB154" s="4"/>
      <c r="AC154" s="4" t="s">
        <v>376</v>
      </c>
      <c r="AD154" s="4"/>
      <c r="AE154" s="4">
        <v>7200</v>
      </c>
      <c r="AF154" s="4" t="s">
        <v>405</v>
      </c>
      <c r="AG154" s="4"/>
      <c r="AH154" s="59"/>
      <c r="AJ154" s="25">
        <v>1.5886598793495701</v>
      </c>
      <c r="AK154" s="25">
        <v>127.936918123422</v>
      </c>
      <c r="AL154" s="11">
        <f t="shared" si="13"/>
        <v>2.6002954579567406</v>
      </c>
      <c r="AN154" s="63">
        <v>318</v>
      </c>
      <c r="AO154" s="11">
        <f t="shared" si="11"/>
        <v>348.15</v>
      </c>
      <c r="AP154" s="65" t="s">
        <v>161</v>
      </c>
      <c r="AQ154" s="66">
        <v>127.936918123422</v>
      </c>
      <c r="AR154" s="66">
        <v>1.5886598793495701</v>
      </c>
      <c r="AS154" s="11"/>
      <c r="AT154" s="11"/>
      <c r="AU154" s="11"/>
      <c r="BD154" s="19" t="s">
        <v>158</v>
      </c>
      <c r="BE154" s="11" t="s">
        <v>409</v>
      </c>
    </row>
    <row r="155" spans="2:57" x14ac:dyDescent="0.3">
      <c r="B155" s="11" t="s">
        <v>163</v>
      </c>
      <c r="C155" s="4" t="s">
        <v>164</v>
      </c>
      <c r="D155" s="4" t="s">
        <v>257</v>
      </c>
      <c r="E155" s="4"/>
      <c r="F155" s="42" t="s">
        <v>254</v>
      </c>
      <c r="G155" s="4"/>
      <c r="H155" s="4">
        <v>1023.654</v>
      </c>
      <c r="I155" s="36">
        <f t="shared" si="12"/>
        <v>167.14632092484374</v>
      </c>
      <c r="J155" s="4" t="s">
        <v>259</v>
      </c>
      <c r="K155" s="4">
        <v>171.1</v>
      </c>
      <c r="L155" s="4">
        <v>2.4500000000000002</v>
      </c>
      <c r="M155" s="4">
        <f t="shared" si="10"/>
        <v>69.836734693877546</v>
      </c>
      <c r="N155" s="4" t="s">
        <v>253</v>
      </c>
      <c r="O155" s="4"/>
      <c r="P155" s="4" t="s">
        <v>258</v>
      </c>
      <c r="Q155" s="4"/>
      <c r="R155" s="4" t="s">
        <v>396</v>
      </c>
      <c r="S155" s="4" t="s">
        <v>397</v>
      </c>
      <c r="T155" s="4"/>
      <c r="U155" s="4" t="s">
        <v>398</v>
      </c>
      <c r="V155" s="4" t="s">
        <v>399</v>
      </c>
      <c r="W155" s="4" t="s">
        <v>400</v>
      </c>
      <c r="X155" s="4" t="s">
        <v>402</v>
      </c>
      <c r="Y155" s="4" t="s">
        <v>403</v>
      </c>
      <c r="Z155" s="4" t="s">
        <v>404</v>
      </c>
      <c r="AA155" s="4">
        <v>318</v>
      </c>
      <c r="AB155" s="4"/>
      <c r="AC155" s="4" t="s">
        <v>376</v>
      </c>
      <c r="AD155" s="4"/>
      <c r="AE155" s="4">
        <v>7200</v>
      </c>
      <c r="AF155" s="4" t="s">
        <v>405</v>
      </c>
      <c r="AG155" s="4"/>
      <c r="AH155" s="59"/>
      <c r="AJ155" s="25">
        <v>1.44475369690371</v>
      </c>
      <c r="AK155" s="25">
        <v>130.38461154666999</v>
      </c>
      <c r="AL155" s="11">
        <f t="shared" si="13"/>
        <v>2.4561025122388567</v>
      </c>
      <c r="AN155" s="63">
        <v>318</v>
      </c>
      <c r="AO155" s="11">
        <f t="shared" si="11"/>
        <v>348.15</v>
      </c>
      <c r="AP155" s="65" t="s">
        <v>161</v>
      </c>
      <c r="AQ155" s="66">
        <v>130.38461154666999</v>
      </c>
      <c r="AR155" s="66">
        <v>1.44475369690371</v>
      </c>
      <c r="AS155" s="11"/>
      <c r="AT155" s="11"/>
      <c r="AU155" s="11"/>
      <c r="BD155" s="19" t="s">
        <v>158</v>
      </c>
      <c r="BE155" s="11" t="s">
        <v>409</v>
      </c>
    </row>
    <row r="156" spans="2:57" x14ac:dyDescent="0.3">
      <c r="B156" s="11" t="s">
        <v>163</v>
      </c>
      <c r="C156" s="4" t="s">
        <v>164</v>
      </c>
      <c r="D156" s="4" t="s">
        <v>257</v>
      </c>
      <c r="E156" s="4"/>
      <c r="F156" s="42" t="s">
        <v>254</v>
      </c>
      <c r="G156" s="4"/>
      <c r="H156" s="4">
        <v>1023.654</v>
      </c>
      <c r="I156" s="36">
        <f t="shared" si="12"/>
        <v>167.14632092484374</v>
      </c>
      <c r="J156" s="4" t="s">
        <v>259</v>
      </c>
      <c r="K156" s="4">
        <v>171.1</v>
      </c>
      <c r="L156" s="4">
        <v>2.4500000000000002</v>
      </c>
      <c r="M156" s="4">
        <f t="shared" si="10"/>
        <v>69.836734693877546</v>
      </c>
      <c r="N156" s="4" t="s">
        <v>253</v>
      </c>
      <c r="O156" s="4"/>
      <c r="P156" s="4" t="s">
        <v>258</v>
      </c>
      <c r="Q156" s="4"/>
      <c r="R156" s="4" t="s">
        <v>396</v>
      </c>
      <c r="S156" s="4" t="s">
        <v>397</v>
      </c>
      <c r="T156" s="4"/>
      <c r="U156" s="4" t="s">
        <v>398</v>
      </c>
      <c r="V156" s="4" t="s">
        <v>399</v>
      </c>
      <c r="W156" s="4" t="s">
        <v>400</v>
      </c>
      <c r="X156" s="4" t="s">
        <v>402</v>
      </c>
      <c r="Y156" s="4" t="s">
        <v>403</v>
      </c>
      <c r="Z156" s="4" t="s">
        <v>404</v>
      </c>
      <c r="AA156" s="4">
        <v>318</v>
      </c>
      <c r="AB156" s="4"/>
      <c r="AC156" s="4" t="s">
        <v>376</v>
      </c>
      <c r="AD156" s="4"/>
      <c r="AE156" s="4">
        <v>7200</v>
      </c>
      <c r="AF156" s="4" t="s">
        <v>405</v>
      </c>
      <c r="AG156" s="4"/>
      <c r="AH156" s="59"/>
      <c r="AJ156" s="25">
        <v>1.3138830229485801</v>
      </c>
      <c r="AK156" s="25">
        <v>135.42138239277401</v>
      </c>
      <c r="AL156" s="11">
        <f t="shared" si="13"/>
        <v>2.4095236126857484</v>
      </c>
      <c r="AN156" s="63">
        <v>318</v>
      </c>
      <c r="AO156" s="11">
        <f t="shared" si="11"/>
        <v>348.15</v>
      </c>
      <c r="AP156" s="65" t="s">
        <v>161</v>
      </c>
      <c r="AQ156" s="66">
        <v>135.42138239277401</v>
      </c>
      <c r="AR156" s="66">
        <v>1.3138830229485801</v>
      </c>
      <c r="AS156" s="11"/>
      <c r="AT156" s="11"/>
      <c r="AU156" s="11"/>
      <c r="BD156" s="19" t="s">
        <v>158</v>
      </c>
      <c r="BE156" s="11" t="s">
        <v>409</v>
      </c>
    </row>
    <row r="157" spans="2:57" x14ac:dyDescent="0.3">
      <c r="B157" s="11" t="s">
        <v>163</v>
      </c>
      <c r="C157" s="4" t="s">
        <v>164</v>
      </c>
      <c r="D157" s="4" t="s">
        <v>257</v>
      </c>
      <c r="E157" s="4"/>
      <c r="F157" s="42" t="s">
        <v>254</v>
      </c>
      <c r="G157" s="4"/>
      <c r="H157" s="4">
        <v>1023.654</v>
      </c>
      <c r="I157" s="36">
        <f t="shared" si="12"/>
        <v>167.14632092484374</v>
      </c>
      <c r="J157" s="4" t="s">
        <v>259</v>
      </c>
      <c r="K157" s="4">
        <v>171.1</v>
      </c>
      <c r="L157" s="4">
        <v>2.4500000000000002</v>
      </c>
      <c r="M157" s="4">
        <f t="shared" si="10"/>
        <v>69.836734693877546</v>
      </c>
      <c r="N157" s="4" t="s">
        <v>253</v>
      </c>
      <c r="O157" s="4"/>
      <c r="P157" s="4" t="s">
        <v>258</v>
      </c>
      <c r="Q157" s="4"/>
      <c r="R157" s="4" t="s">
        <v>396</v>
      </c>
      <c r="S157" s="4" t="s">
        <v>397</v>
      </c>
      <c r="T157" s="4"/>
      <c r="U157" s="4" t="s">
        <v>398</v>
      </c>
      <c r="V157" s="4" t="s">
        <v>399</v>
      </c>
      <c r="W157" s="4" t="s">
        <v>400</v>
      </c>
      <c r="X157" s="4" t="s">
        <v>402</v>
      </c>
      <c r="Y157" s="4" t="s">
        <v>403</v>
      </c>
      <c r="Z157" s="4" t="s">
        <v>404</v>
      </c>
      <c r="AA157" s="4">
        <v>318</v>
      </c>
      <c r="AB157" s="4"/>
      <c r="AC157" s="4" t="s">
        <v>376</v>
      </c>
      <c r="AD157" s="4"/>
      <c r="AE157" s="4">
        <v>7200</v>
      </c>
      <c r="AF157" s="4" t="s">
        <v>405</v>
      </c>
      <c r="AG157" s="4"/>
      <c r="AH157" s="59"/>
      <c r="AJ157" s="25">
        <v>1.16683731510549</v>
      </c>
      <c r="AK157" s="25">
        <v>140.65272421052299</v>
      </c>
      <c r="AL157" s="11">
        <f t="shared" si="13"/>
        <v>2.3083762936103436</v>
      </c>
      <c r="AN157" s="63">
        <v>318</v>
      </c>
      <c r="AO157" s="11">
        <f t="shared" si="11"/>
        <v>348.15</v>
      </c>
      <c r="AP157" s="65" t="s">
        <v>161</v>
      </c>
      <c r="AQ157" s="66">
        <v>140.65272421052299</v>
      </c>
      <c r="AR157" s="66">
        <v>1.16683731510549</v>
      </c>
      <c r="AS157" s="11"/>
      <c r="AT157" s="11"/>
      <c r="AU157" s="11"/>
      <c r="BD157" s="19" t="s">
        <v>158</v>
      </c>
      <c r="BE157" s="11" t="s">
        <v>409</v>
      </c>
    </row>
    <row r="158" spans="2:57" x14ac:dyDescent="0.3">
      <c r="B158" s="11" t="s">
        <v>163</v>
      </c>
      <c r="C158" s="4" t="s">
        <v>164</v>
      </c>
      <c r="D158" s="4" t="s">
        <v>257</v>
      </c>
      <c r="E158" s="4"/>
      <c r="F158" s="42" t="s">
        <v>254</v>
      </c>
      <c r="G158" s="4"/>
      <c r="H158" s="4">
        <v>1023.654</v>
      </c>
      <c r="I158" s="36">
        <f t="shared" si="12"/>
        <v>167.14632092484374</v>
      </c>
      <c r="J158" s="4" t="s">
        <v>259</v>
      </c>
      <c r="K158" s="4">
        <v>171.1</v>
      </c>
      <c r="L158" s="4">
        <v>2.4500000000000002</v>
      </c>
      <c r="M158" s="4">
        <f t="shared" si="10"/>
        <v>69.836734693877546</v>
      </c>
      <c r="N158" s="4" t="s">
        <v>253</v>
      </c>
      <c r="O158" s="4"/>
      <c r="P158" s="4" t="s">
        <v>258</v>
      </c>
      <c r="Q158" s="4"/>
      <c r="R158" s="4" t="s">
        <v>396</v>
      </c>
      <c r="S158" s="4" t="s">
        <v>397</v>
      </c>
      <c r="T158" s="4"/>
      <c r="U158" s="4" t="s">
        <v>398</v>
      </c>
      <c r="V158" s="4" t="s">
        <v>399</v>
      </c>
      <c r="W158" s="4" t="s">
        <v>400</v>
      </c>
      <c r="X158" s="4" t="s">
        <v>402</v>
      </c>
      <c r="Y158" s="4" t="s">
        <v>403</v>
      </c>
      <c r="Z158" s="4" t="s">
        <v>404</v>
      </c>
      <c r="AA158" s="4">
        <v>318</v>
      </c>
      <c r="AB158" s="4"/>
      <c r="AC158" s="4" t="s">
        <v>376</v>
      </c>
      <c r="AD158" s="4"/>
      <c r="AE158" s="4">
        <v>7200</v>
      </c>
      <c r="AF158" s="4" t="s">
        <v>405</v>
      </c>
      <c r="AG158" s="4"/>
      <c r="AH158" s="59"/>
      <c r="AJ158" s="25">
        <v>1.0611412465291501</v>
      </c>
      <c r="AK158" s="25">
        <v>144.70842848333001</v>
      </c>
      <c r="AL158" s="11">
        <f t="shared" si="13"/>
        <v>2.2220859336914591</v>
      </c>
      <c r="AN158" s="63">
        <v>318</v>
      </c>
      <c r="AO158" s="11">
        <f t="shared" si="11"/>
        <v>348.15</v>
      </c>
      <c r="AP158" s="65" t="s">
        <v>161</v>
      </c>
      <c r="AQ158" s="66">
        <v>144.70842848333001</v>
      </c>
      <c r="AR158" s="66">
        <v>1.0611412465291501</v>
      </c>
      <c r="AS158" s="11"/>
      <c r="AT158" s="11"/>
      <c r="AU158" s="11"/>
      <c r="BD158" s="19" t="s">
        <v>158</v>
      </c>
      <c r="BE158" s="11" t="s">
        <v>409</v>
      </c>
    </row>
    <row r="159" spans="2:57" x14ac:dyDescent="0.3">
      <c r="B159" s="11" t="s">
        <v>163</v>
      </c>
      <c r="C159" s="4" t="s">
        <v>164</v>
      </c>
      <c r="D159" s="4" t="s">
        <v>257</v>
      </c>
      <c r="E159" s="4"/>
      <c r="F159" s="42" t="s">
        <v>254</v>
      </c>
      <c r="G159" s="4"/>
      <c r="H159" s="4">
        <v>1023.654</v>
      </c>
      <c r="I159" s="36">
        <f t="shared" si="12"/>
        <v>167.14632092484374</v>
      </c>
      <c r="J159" s="4" t="s">
        <v>259</v>
      </c>
      <c r="K159" s="4">
        <v>171.1</v>
      </c>
      <c r="L159" s="4">
        <v>2.4500000000000002</v>
      </c>
      <c r="M159" s="4">
        <f t="shared" si="10"/>
        <v>69.836734693877546</v>
      </c>
      <c r="N159" s="4" t="s">
        <v>253</v>
      </c>
      <c r="O159" s="4"/>
      <c r="P159" s="4" t="s">
        <v>258</v>
      </c>
      <c r="Q159" s="4"/>
      <c r="R159" s="4" t="s">
        <v>396</v>
      </c>
      <c r="S159" s="4" t="s">
        <v>397</v>
      </c>
      <c r="T159" s="4"/>
      <c r="U159" s="4" t="s">
        <v>398</v>
      </c>
      <c r="V159" s="4" t="s">
        <v>399</v>
      </c>
      <c r="W159" s="4" t="s">
        <v>400</v>
      </c>
      <c r="X159" s="4" t="s">
        <v>402</v>
      </c>
      <c r="Y159" s="4" t="s">
        <v>403</v>
      </c>
      <c r="Z159" s="4" t="s">
        <v>404</v>
      </c>
      <c r="AA159" s="4">
        <v>318</v>
      </c>
      <c r="AB159" s="4"/>
      <c r="AC159" s="4" t="s">
        <v>376</v>
      </c>
      <c r="AD159" s="4"/>
      <c r="AE159" s="4">
        <v>7200</v>
      </c>
      <c r="AF159" s="4" t="s">
        <v>405</v>
      </c>
      <c r="AG159" s="4"/>
      <c r="AH159" s="59"/>
      <c r="AJ159" s="25">
        <v>0.96501948515732205</v>
      </c>
      <c r="AK159" s="25">
        <v>148.88107849779101</v>
      </c>
      <c r="AL159" s="11">
        <f t="shared" si="13"/>
        <v>2.1390212290678545</v>
      </c>
      <c r="AN159" s="63">
        <v>318</v>
      </c>
      <c r="AO159" s="11">
        <f t="shared" si="11"/>
        <v>348.15</v>
      </c>
      <c r="AP159" s="65" t="s">
        <v>161</v>
      </c>
      <c r="AQ159" s="66">
        <v>148.88107849779101</v>
      </c>
      <c r="AR159" s="66">
        <v>0.96501948515732205</v>
      </c>
      <c r="AS159" s="11"/>
      <c r="AT159" s="11"/>
      <c r="AU159" s="11"/>
      <c r="BD159" s="19" t="s">
        <v>158</v>
      </c>
      <c r="BE159" s="11" t="s">
        <v>409</v>
      </c>
    </row>
    <row r="160" spans="2:57" x14ac:dyDescent="0.3">
      <c r="B160" s="11" t="s">
        <v>163</v>
      </c>
      <c r="C160" s="4" t="s">
        <v>164</v>
      </c>
      <c r="D160" s="4" t="s">
        <v>257</v>
      </c>
      <c r="E160" s="4"/>
      <c r="F160" s="42" t="s">
        <v>254</v>
      </c>
      <c r="G160" s="4"/>
      <c r="H160" s="4">
        <v>1023.654</v>
      </c>
      <c r="I160" s="36">
        <f t="shared" si="12"/>
        <v>167.14632092484374</v>
      </c>
      <c r="J160" s="4" t="s">
        <v>259</v>
      </c>
      <c r="K160" s="4">
        <v>171.1</v>
      </c>
      <c r="L160" s="4">
        <v>2.4500000000000002</v>
      </c>
      <c r="M160" s="4">
        <f t="shared" ref="M160:M223" si="14">K160/L160</f>
        <v>69.836734693877546</v>
      </c>
      <c r="N160" s="4" t="s">
        <v>253</v>
      </c>
      <c r="O160" s="4"/>
      <c r="P160" s="4" t="s">
        <v>258</v>
      </c>
      <c r="Q160" s="4"/>
      <c r="R160" s="4" t="s">
        <v>396</v>
      </c>
      <c r="S160" s="4" t="s">
        <v>397</v>
      </c>
      <c r="T160" s="4"/>
      <c r="U160" s="4" t="s">
        <v>398</v>
      </c>
      <c r="V160" s="4" t="s">
        <v>399</v>
      </c>
      <c r="W160" s="4" t="s">
        <v>400</v>
      </c>
      <c r="X160" s="4" t="s">
        <v>402</v>
      </c>
      <c r="Y160" s="4" t="s">
        <v>403</v>
      </c>
      <c r="Z160" s="4" t="s">
        <v>404</v>
      </c>
      <c r="AA160" s="4">
        <v>318</v>
      </c>
      <c r="AB160" s="4"/>
      <c r="AC160" s="4" t="s">
        <v>376</v>
      </c>
      <c r="AD160" s="4"/>
      <c r="AE160" s="4">
        <v>7200</v>
      </c>
      <c r="AF160" s="4" t="s">
        <v>405</v>
      </c>
      <c r="AG160" s="4"/>
      <c r="AH160" s="59"/>
      <c r="AJ160" s="25">
        <v>0.86725004269969597</v>
      </c>
      <c r="AK160" s="25">
        <v>150.298529839037</v>
      </c>
      <c r="AL160" s="11">
        <f t="shared" si="13"/>
        <v>1.959087325481875</v>
      </c>
      <c r="AN160" s="63">
        <v>318</v>
      </c>
      <c r="AO160" s="11">
        <f t="shared" si="11"/>
        <v>348.15</v>
      </c>
      <c r="AP160" s="65" t="s">
        <v>161</v>
      </c>
      <c r="AQ160" s="66">
        <v>150.298529839037</v>
      </c>
      <c r="AR160" s="66">
        <v>0.86725004269969597</v>
      </c>
      <c r="AS160" s="11"/>
      <c r="AT160" s="11"/>
      <c r="AU160" s="11"/>
      <c r="BD160" s="19" t="s">
        <v>158</v>
      </c>
      <c r="BE160" s="11" t="s">
        <v>409</v>
      </c>
    </row>
    <row r="161" spans="2:57" x14ac:dyDescent="0.3">
      <c r="B161" s="11" t="s">
        <v>163</v>
      </c>
      <c r="C161" s="4" t="s">
        <v>164</v>
      </c>
      <c r="D161" s="4" t="s">
        <v>257</v>
      </c>
      <c r="E161" s="4"/>
      <c r="F161" s="42" t="s">
        <v>254</v>
      </c>
      <c r="G161" s="4"/>
      <c r="H161" s="4">
        <v>1023.654</v>
      </c>
      <c r="I161" s="36">
        <f t="shared" si="12"/>
        <v>167.14632092484374</v>
      </c>
      <c r="J161" s="4" t="s">
        <v>259</v>
      </c>
      <c r="K161" s="4">
        <v>171.1</v>
      </c>
      <c r="L161" s="4">
        <v>2.4500000000000002</v>
      </c>
      <c r="M161" s="4">
        <f t="shared" si="14"/>
        <v>69.836734693877546</v>
      </c>
      <c r="N161" s="4" t="s">
        <v>253</v>
      </c>
      <c r="O161" s="4"/>
      <c r="P161" s="4" t="s">
        <v>258</v>
      </c>
      <c r="Q161" s="4"/>
      <c r="R161" s="4" t="s">
        <v>396</v>
      </c>
      <c r="S161" s="4" t="s">
        <v>397</v>
      </c>
      <c r="T161" s="4"/>
      <c r="U161" s="4" t="s">
        <v>398</v>
      </c>
      <c r="V161" s="4" t="s">
        <v>399</v>
      </c>
      <c r="W161" s="4" t="s">
        <v>400</v>
      </c>
      <c r="X161" s="4" t="s">
        <v>402</v>
      </c>
      <c r="Y161" s="4" t="s">
        <v>403</v>
      </c>
      <c r="Z161" s="4" t="s">
        <v>404</v>
      </c>
      <c r="AA161" s="4">
        <v>318</v>
      </c>
      <c r="AB161" s="4"/>
      <c r="AC161" s="4" t="s">
        <v>376</v>
      </c>
      <c r="AD161" s="4"/>
      <c r="AE161" s="4">
        <v>7200</v>
      </c>
      <c r="AF161" s="4" t="s">
        <v>405</v>
      </c>
      <c r="AG161" s="4"/>
      <c r="AH161" s="59"/>
      <c r="AJ161" s="25">
        <v>0.77938595865762506</v>
      </c>
      <c r="AK161" s="25">
        <v>153.17404637020701</v>
      </c>
      <c r="AL161" s="11">
        <f t="shared" si="13"/>
        <v>1.8286178200395093</v>
      </c>
      <c r="AN161" s="63">
        <v>318</v>
      </c>
      <c r="AO161" s="11">
        <f t="shared" si="11"/>
        <v>348.15</v>
      </c>
      <c r="AP161" s="65" t="s">
        <v>161</v>
      </c>
      <c r="AQ161" s="66">
        <v>153.17404637020701</v>
      </c>
      <c r="AR161" s="66">
        <v>0.77938595865762506</v>
      </c>
      <c r="AS161" s="11"/>
      <c r="AT161" s="11"/>
      <c r="AU161" s="11"/>
      <c r="BD161" s="19" t="s">
        <v>158</v>
      </c>
      <c r="BE161" s="11" t="s">
        <v>409</v>
      </c>
    </row>
    <row r="162" spans="2:57" x14ac:dyDescent="0.3">
      <c r="B162" s="11" t="s">
        <v>163</v>
      </c>
      <c r="C162" s="4" t="s">
        <v>164</v>
      </c>
      <c r="D162" s="4" t="s">
        <v>257</v>
      </c>
      <c r="E162" s="4"/>
      <c r="F162" s="42" t="s">
        <v>254</v>
      </c>
      <c r="G162" s="4"/>
      <c r="H162" s="4">
        <v>1023.654</v>
      </c>
      <c r="I162" s="36">
        <f t="shared" si="12"/>
        <v>167.14632092484374</v>
      </c>
      <c r="J162" s="4" t="s">
        <v>259</v>
      </c>
      <c r="K162" s="4">
        <v>171.1</v>
      </c>
      <c r="L162" s="4">
        <v>2.4500000000000002</v>
      </c>
      <c r="M162" s="4">
        <f t="shared" si="14"/>
        <v>69.836734693877546</v>
      </c>
      <c r="N162" s="4" t="s">
        <v>253</v>
      </c>
      <c r="O162" s="4"/>
      <c r="P162" s="4" t="s">
        <v>258</v>
      </c>
      <c r="Q162" s="4"/>
      <c r="R162" s="4" t="s">
        <v>396</v>
      </c>
      <c r="S162" s="4" t="s">
        <v>397</v>
      </c>
      <c r="T162" s="4"/>
      <c r="U162" s="4" t="s">
        <v>398</v>
      </c>
      <c r="V162" s="4" t="s">
        <v>399</v>
      </c>
      <c r="W162" s="4" t="s">
        <v>400</v>
      </c>
      <c r="X162" s="4" t="s">
        <v>402</v>
      </c>
      <c r="Y162" s="4" t="s">
        <v>403</v>
      </c>
      <c r="Z162" s="4" t="s">
        <v>404</v>
      </c>
      <c r="AA162" s="4">
        <v>318</v>
      </c>
      <c r="AB162" s="4"/>
      <c r="AC162" s="4" t="s">
        <v>376</v>
      </c>
      <c r="AD162" s="4"/>
      <c r="AE162" s="4">
        <v>7200</v>
      </c>
      <c r="AF162" s="4" t="s">
        <v>405</v>
      </c>
      <c r="AG162" s="4"/>
      <c r="AH162" s="59"/>
      <c r="AJ162" s="25">
        <v>0.70042368710842995</v>
      </c>
      <c r="AK162" s="25">
        <v>157.590801451445</v>
      </c>
      <c r="AL162" s="11">
        <f t="shared" si="13"/>
        <v>1.7394924701795269</v>
      </c>
      <c r="AN162" s="63">
        <v>318</v>
      </c>
      <c r="AO162" s="11">
        <f t="shared" si="11"/>
        <v>348.15</v>
      </c>
      <c r="AP162" s="65" t="s">
        <v>161</v>
      </c>
      <c r="AQ162" s="66">
        <v>157.590801451445</v>
      </c>
      <c r="AR162" s="66">
        <v>0.70042368710842995</v>
      </c>
      <c r="AS162" s="11"/>
      <c r="AT162" s="11"/>
      <c r="AU162" s="11"/>
      <c r="BD162" s="19" t="s">
        <v>158</v>
      </c>
      <c r="BE162" s="11" t="s">
        <v>409</v>
      </c>
    </row>
    <row r="163" spans="2:57" x14ac:dyDescent="0.3">
      <c r="B163" s="11" t="s">
        <v>163</v>
      </c>
      <c r="C163" s="4" t="s">
        <v>164</v>
      </c>
      <c r="D163" s="4" t="s">
        <v>257</v>
      </c>
      <c r="E163" s="4"/>
      <c r="F163" s="42" t="s">
        <v>254</v>
      </c>
      <c r="G163" s="4"/>
      <c r="H163" s="4">
        <v>1023.654</v>
      </c>
      <c r="I163" s="36">
        <f t="shared" si="12"/>
        <v>167.14632092484374</v>
      </c>
      <c r="J163" s="4" t="s">
        <v>259</v>
      </c>
      <c r="K163" s="4">
        <v>171.1</v>
      </c>
      <c r="L163" s="4">
        <v>2.4500000000000002</v>
      </c>
      <c r="M163" s="4">
        <f t="shared" si="14"/>
        <v>69.836734693877546</v>
      </c>
      <c r="N163" s="4" t="s">
        <v>253</v>
      </c>
      <c r="O163" s="4"/>
      <c r="P163" s="4" t="s">
        <v>258</v>
      </c>
      <c r="Q163" s="4"/>
      <c r="R163" s="4" t="s">
        <v>396</v>
      </c>
      <c r="S163" s="4" t="s">
        <v>397</v>
      </c>
      <c r="T163" s="4"/>
      <c r="U163" s="4" t="s">
        <v>398</v>
      </c>
      <c r="V163" s="4" t="s">
        <v>399</v>
      </c>
      <c r="W163" s="4" t="s">
        <v>400</v>
      </c>
      <c r="X163" s="4" t="s">
        <v>402</v>
      </c>
      <c r="Y163" s="4" t="s">
        <v>403</v>
      </c>
      <c r="Z163" s="4" t="s">
        <v>404</v>
      </c>
      <c r="AA163" s="4">
        <v>318</v>
      </c>
      <c r="AB163" s="4"/>
      <c r="AC163" s="4" t="s">
        <v>376</v>
      </c>
      <c r="AD163" s="4"/>
      <c r="AE163" s="4">
        <v>7200</v>
      </c>
      <c r="AF163" s="4" t="s">
        <v>405</v>
      </c>
      <c r="AG163" s="4"/>
      <c r="AH163" s="59"/>
      <c r="AJ163" s="25">
        <v>0.63697694169953101</v>
      </c>
      <c r="AK163" s="25">
        <v>162.134913130683</v>
      </c>
      <c r="AL163" s="11">
        <f t="shared" si="13"/>
        <v>1.6744677895226279</v>
      </c>
      <c r="AN163" s="63">
        <v>318</v>
      </c>
      <c r="AO163" s="11">
        <f t="shared" si="11"/>
        <v>348.15</v>
      </c>
      <c r="AP163" s="65" t="s">
        <v>161</v>
      </c>
      <c r="AQ163" s="66">
        <v>162.134913130683</v>
      </c>
      <c r="AR163" s="66">
        <v>0.63697694169953101</v>
      </c>
      <c r="AS163" s="11"/>
      <c r="AT163" s="11"/>
      <c r="AU163" s="11"/>
      <c r="BD163" s="19" t="s">
        <v>158</v>
      </c>
      <c r="BE163" s="11" t="s">
        <v>409</v>
      </c>
    </row>
    <row r="164" spans="2:57" x14ac:dyDescent="0.3">
      <c r="B164" s="11" t="s">
        <v>163</v>
      </c>
      <c r="C164" s="4" t="s">
        <v>164</v>
      </c>
      <c r="D164" s="4" t="s">
        <v>257</v>
      </c>
      <c r="E164" s="4"/>
      <c r="F164" s="42" t="s">
        <v>254</v>
      </c>
      <c r="G164" s="4"/>
      <c r="H164" s="4">
        <v>1023.654</v>
      </c>
      <c r="I164" s="36">
        <f t="shared" si="12"/>
        <v>167.14632092484374</v>
      </c>
      <c r="J164" s="4" t="s">
        <v>259</v>
      </c>
      <c r="K164" s="4">
        <v>171.1</v>
      </c>
      <c r="L164" s="4">
        <v>2.4500000000000002</v>
      </c>
      <c r="M164" s="4">
        <f t="shared" si="14"/>
        <v>69.836734693877546</v>
      </c>
      <c r="N164" s="4" t="s">
        <v>253</v>
      </c>
      <c r="O164" s="4"/>
      <c r="P164" s="4" t="s">
        <v>258</v>
      </c>
      <c r="Q164" s="4"/>
      <c r="R164" s="4" t="s">
        <v>396</v>
      </c>
      <c r="S164" s="4" t="s">
        <v>397</v>
      </c>
      <c r="T164" s="4"/>
      <c r="U164" s="4" t="s">
        <v>398</v>
      </c>
      <c r="V164" s="4" t="s">
        <v>399</v>
      </c>
      <c r="W164" s="4" t="s">
        <v>400</v>
      </c>
      <c r="X164" s="4" t="s">
        <v>402</v>
      </c>
      <c r="Y164" s="4" t="s">
        <v>403</v>
      </c>
      <c r="Z164" s="4" t="s">
        <v>404</v>
      </c>
      <c r="AA164" s="4">
        <v>318</v>
      </c>
      <c r="AB164" s="4"/>
      <c r="AC164" s="4" t="s">
        <v>376</v>
      </c>
      <c r="AD164" s="4"/>
      <c r="AE164" s="4">
        <v>7200</v>
      </c>
      <c r="AF164" s="4" t="s">
        <v>405</v>
      </c>
      <c r="AG164" s="4"/>
      <c r="AH164" s="59"/>
      <c r="AJ164" s="25">
        <v>0.58619382212546101</v>
      </c>
      <c r="AK164" s="25">
        <v>166.81005372000499</v>
      </c>
      <c r="AL164" s="11">
        <f t="shared" si="13"/>
        <v>1.6311191312709148</v>
      </c>
      <c r="AN164" s="63">
        <v>318</v>
      </c>
      <c r="AO164" s="11">
        <f t="shared" si="11"/>
        <v>348.15</v>
      </c>
      <c r="AP164" s="65" t="s">
        <v>161</v>
      </c>
      <c r="AQ164" s="66">
        <v>166.81005372000499</v>
      </c>
      <c r="AR164" s="66">
        <v>0.58619382212546101</v>
      </c>
      <c r="AS164" s="11"/>
      <c r="AT164" s="11"/>
      <c r="AU164" s="11"/>
      <c r="BD164" s="19" t="s">
        <v>158</v>
      </c>
      <c r="BE164" s="11" t="s">
        <v>409</v>
      </c>
    </row>
    <row r="165" spans="2:57" x14ac:dyDescent="0.3">
      <c r="B165" s="11" t="s">
        <v>163</v>
      </c>
      <c r="C165" s="4" t="s">
        <v>164</v>
      </c>
      <c r="D165" s="4" t="s">
        <v>257</v>
      </c>
      <c r="E165" s="4"/>
      <c r="F165" s="42" t="s">
        <v>254</v>
      </c>
      <c r="G165" s="4"/>
      <c r="H165" s="4">
        <v>1023.654</v>
      </c>
      <c r="I165" s="36">
        <f t="shared" si="12"/>
        <v>167.14632092484374</v>
      </c>
      <c r="J165" s="4" t="s">
        <v>259</v>
      </c>
      <c r="K165" s="4">
        <v>171.1</v>
      </c>
      <c r="L165" s="4">
        <v>2.4500000000000002</v>
      </c>
      <c r="M165" s="4">
        <f t="shared" si="14"/>
        <v>69.836734693877546</v>
      </c>
      <c r="N165" s="4" t="s">
        <v>253</v>
      </c>
      <c r="O165" s="4"/>
      <c r="P165" s="4" t="s">
        <v>258</v>
      </c>
      <c r="Q165" s="4"/>
      <c r="R165" s="4" t="s">
        <v>396</v>
      </c>
      <c r="S165" s="4" t="s">
        <v>397</v>
      </c>
      <c r="T165" s="4"/>
      <c r="U165" s="4" t="s">
        <v>398</v>
      </c>
      <c r="V165" s="4" t="s">
        <v>399</v>
      </c>
      <c r="W165" s="4" t="s">
        <v>400</v>
      </c>
      <c r="X165" s="4" t="s">
        <v>402</v>
      </c>
      <c r="Y165" s="4" t="s">
        <v>403</v>
      </c>
      <c r="Z165" s="4" t="s">
        <v>404</v>
      </c>
      <c r="AA165" s="4">
        <v>318</v>
      </c>
      <c r="AB165" s="4"/>
      <c r="AC165" s="4" t="s">
        <v>376</v>
      </c>
      <c r="AD165" s="4"/>
      <c r="AE165" s="4">
        <v>7200</v>
      </c>
      <c r="AF165" s="4" t="s">
        <v>405</v>
      </c>
      <c r="AG165" s="4"/>
      <c r="AH165" s="59"/>
      <c r="AJ165" s="25">
        <v>0.52680451025890696</v>
      </c>
      <c r="AK165" s="25">
        <v>168.39820136619699</v>
      </c>
      <c r="AL165" s="11">
        <f t="shared" si="13"/>
        <v>1.4939098186587054</v>
      </c>
      <c r="AN165" s="63">
        <v>318</v>
      </c>
      <c r="AO165" s="11">
        <f t="shared" si="11"/>
        <v>348.15</v>
      </c>
      <c r="AP165" s="65" t="s">
        <v>161</v>
      </c>
      <c r="AQ165" s="66">
        <v>168.39820136619699</v>
      </c>
      <c r="AR165" s="66">
        <v>0.52680451025890696</v>
      </c>
      <c r="AS165" s="11"/>
      <c r="AT165" s="11"/>
      <c r="AU165" s="11"/>
      <c r="BD165" s="19" t="s">
        <v>158</v>
      </c>
      <c r="BE165" s="11" t="s">
        <v>409</v>
      </c>
    </row>
    <row r="166" spans="2:57" x14ac:dyDescent="0.3">
      <c r="B166" s="11" t="s">
        <v>163</v>
      </c>
      <c r="C166" s="4" t="s">
        <v>164</v>
      </c>
      <c r="D166" s="4" t="s">
        <v>257</v>
      </c>
      <c r="E166" s="4"/>
      <c r="F166" s="42" t="s">
        <v>254</v>
      </c>
      <c r="G166" s="4"/>
      <c r="H166" s="4">
        <v>1023.654</v>
      </c>
      <c r="I166" s="36">
        <f t="shared" si="12"/>
        <v>167.14632092484374</v>
      </c>
      <c r="J166" s="4" t="s">
        <v>259</v>
      </c>
      <c r="K166" s="4">
        <v>171.1</v>
      </c>
      <c r="L166" s="4">
        <v>2.4500000000000002</v>
      </c>
      <c r="M166" s="4">
        <f t="shared" si="14"/>
        <v>69.836734693877546</v>
      </c>
      <c r="N166" s="4" t="s">
        <v>253</v>
      </c>
      <c r="O166" s="4"/>
      <c r="P166" s="4" t="s">
        <v>258</v>
      </c>
      <c r="Q166" s="4"/>
      <c r="R166" s="4" t="s">
        <v>396</v>
      </c>
      <c r="S166" s="4" t="s">
        <v>397</v>
      </c>
      <c r="T166" s="4"/>
      <c r="U166" s="4" t="s">
        <v>398</v>
      </c>
      <c r="V166" s="4" t="s">
        <v>399</v>
      </c>
      <c r="W166" s="4" t="s">
        <v>400</v>
      </c>
      <c r="X166" s="4" t="s">
        <v>402</v>
      </c>
      <c r="Y166" s="4" t="s">
        <v>403</v>
      </c>
      <c r="Z166" s="4" t="s">
        <v>404</v>
      </c>
      <c r="AA166" s="4">
        <v>318</v>
      </c>
      <c r="AB166" s="4"/>
      <c r="AC166" s="4" t="s">
        <v>376</v>
      </c>
      <c r="AD166" s="4"/>
      <c r="AE166" s="4">
        <v>7200</v>
      </c>
      <c r="AF166" s="4" t="s">
        <v>405</v>
      </c>
      <c r="AG166" s="4"/>
      <c r="AH166" s="59"/>
      <c r="AJ166" s="25">
        <v>0.47908477682064798</v>
      </c>
      <c r="AK166" s="25">
        <v>174.90344106524</v>
      </c>
      <c r="AL166" s="11">
        <f t="shared" si="13"/>
        <v>1.4655784786442192</v>
      </c>
      <c r="AN166" s="63">
        <v>318</v>
      </c>
      <c r="AO166" s="11">
        <f t="shared" si="11"/>
        <v>348.15</v>
      </c>
      <c r="AP166" s="65" t="s">
        <v>161</v>
      </c>
      <c r="AQ166" s="66">
        <v>174.90344106524</v>
      </c>
      <c r="AR166" s="66">
        <v>0.47908477682064798</v>
      </c>
      <c r="AS166" s="11"/>
      <c r="AT166" s="11"/>
      <c r="AU166" s="11"/>
      <c r="BD166" s="19" t="s">
        <v>158</v>
      </c>
      <c r="BE166" s="11" t="s">
        <v>409</v>
      </c>
    </row>
    <row r="167" spans="2:57" x14ac:dyDescent="0.3">
      <c r="B167" s="11" t="s">
        <v>163</v>
      </c>
      <c r="C167" s="4" t="s">
        <v>164</v>
      </c>
      <c r="D167" s="4" t="s">
        <v>257</v>
      </c>
      <c r="E167" s="4"/>
      <c r="F167" s="42" t="s">
        <v>254</v>
      </c>
      <c r="G167" s="4"/>
      <c r="H167" s="4">
        <v>1023.654</v>
      </c>
      <c r="I167" s="36">
        <f t="shared" si="12"/>
        <v>167.14632092484374</v>
      </c>
      <c r="J167" s="4" t="s">
        <v>259</v>
      </c>
      <c r="K167" s="4">
        <v>171.1</v>
      </c>
      <c r="L167" s="4">
        <v>2.4500000000000002</v>
      </c>
      <c r="M167" s="4">
        <f t="shared" si="14"/>
        <v>69.836734693877546</v>
      </c>
      <c r="N167" s="4" t="s">
        <v>253</v>
      </c>
      <c r="O167" s="4"/>
      <c r="P167" s="4" t="s">
        <v>258</v>
      </c>
      <c r="Q167" s="4"/>
      <c r="R167" s="4" t="s">
        <v>396</v>
      </c>
      <c r="S167" s="4" t="s">
        <v>397</v>
      </c>
      <c r="T167" s="4"/>
      <c r="U167" s="4" t="s">
        <v>398</v>
      </c>
      <c r="V167" s="4" t="s">
        <v>399</v>
      </c>
      <c r="W167" s="4" t="s">
        <v>400</v>
      </c>
      <c r="X167" s="4" t="s">
        <v>402</v>
      </c>
      <c r="Y167" s="4" t="s">
        <v>403</v>
      </c>
      <c r="Z167" s="4" t="s">
        <v>404</v>
      </c>
      <c r="AA167" s="4">
        <v>318</v>
      </c>
      <c r="AB167" s="4"/>
      <c r="AC167" s="4" t="s">
        <v>376</v>
      </c>
      <c r="AD167" s="4"/>
      <c r="AE167" s="4">
        <v>7200</v>
      </c>
      <c r="AF167" s="4" t="s">
        <v>405</v>
      </c>
      <c r="AG167" s="4"/>
      <c r="AH167" s="59"/>
      <c r="AJ167" s="25">
        <v>0.42546709633159802</v>
      </c>
      <c r="AK167" s="25">
        <v>178.24969958606701</v>
      </c>
      <c r="AL167" s="11">
        <f t="shared" si="13"/>
        <v>1.351834707698488</v>
      </c>
      <c r="AN167" s="63">
        <v>318</v>
      </c>
      <c r="AO167" s="11">
        <f t="shared" si="11"/>
        <v>348.15</v>
      </c>
      <c r="AP167" s="65" t="s">
        <v>161</v>
      </c>
      <c r="AQ167" s="66">
        <v>178.24969958606701</v>
      </c>
      <c r="AR167" s="66">
        <v>0.42546709633159802</v>
      </c>
      <c r="AS167" s="11"/>
      <c r="AT167" s="11"/>
      <c r="AU167" s="11"/>
      <c r="BD167" s="19" t="s">
        <v>158</v>
      </c>
      <c r="BE167" s="11" t="s">
        <v>409</v>
      </c>
    </row>
    <row r="168" spans="2:57" x14ac:dyDescent="0.3">
      <c r="B168" s="11" t="s">
        <v>163</v>
      </c>
      <c r="C168" s="4" t="s">
        <v>164</v>
      </c>
      <c r="D168" s="4" t="s">
        <v>257</v>
      </c>
      <c r="E168" s="4"/>
      <c r="F168" s="42" t="s">
        <v>254</v>
      </c>
      <c r="G168" s="4"/>
      <c r="H168" s="4">
        <v>1023.654</v>
      </c>
      <c r="I168" s="36">
        <f t="shared" si="12"/>
        <v>167.14632092484374</v>
      </c>
      <c r="J168" s="4" t="s">
        <v>259</v>
      </c>
      <c r="K168" s="4">
        <v>171.1</v>
      </c>
      <c r="L168" s="4">
        <v>2.4500000000000002</v>
      </c>
      <c r="M168" s="4">
        <f t="shared" si="14"/>
        <v>69.836734693877546</v>
      </c>
      <c r="N168" s="4" t="s">
        <v>253</v>
      </c>
      <c r="O168" s="4"/>
      <c r="P168" s="4" t="s">
        <v>258</v>
      </c>
      <c r="Q168" s="4"/>
      <c r="R168" s="4" t="s">
        <v>396</v>
      </c>
      <c r="S168" s="4" t="s">
        <v>397</v>
      </c>
      <c r="T168" s="4"/>
      <c r="U168" s="4" t="s">
        <v>398</v>
      </c>
      <c r="V168" s="4" t="s">
        <v>399</v>
      </c>
      <c r="W168" s="4" t="s">
        <v>400</v>
      </c>
      <c r="X168" s="4" t="s">
        <v>402</v>
      </c>
      <c r="Y168" s="4" t="s">
        <v>403</v>
      </c>
      <c r="Z168" s="4" t="s">
        <v>404</v>
      </c>
      <c r="AA168" s="4">
        <v>318</v>
      </c>
      <c r="AB168" s="4"/>
      <c r="AC168" s="4" t="s">
        <v>376</v>
      </c>
      <c r="AD168" s="4"/>
      <c r="AE168" s="4">
        <v>7200</v>
      </c>
      <c r="AF168" s="4" t="s">
        <v>405</v>
      </c>
      <c r="AG168" s="4"/>
      <c r="AH168" s="59"/>
      <c r="AJ168" s="25">
        <v>0.39154664330830502</v>
      </c>
      <c r="AK168" s="25">
        <v>186.898122332475</v>
      </c>
      <c r="AL168" s="11">
        <f t="shared" si="13"/>
        <v>1.3677079826562322</v>
      </c>
      <c r="AN168" s="63">
        <v>318</v>
      </c>
      <c r="AO168" s="11">
        <f t="shared" si="11"/>
        <v>348.15</v>
      </c>
      <c r="AP168" s="65" t="s">
        <v>161</v>
      </c>
      <c r="AQ168" s="66">
        <v>186.898122332475</v>
      </c>
      <c r="AR168" s="66">
        <v>0.39154664330830502</v>
      </c>
      <c r="AS168" s="11"/>
      <c r="AT168" s="11"/>
      <c r="AU168" s="11"/>
      <c r="BD168" s="19" t="s">
        <v>158</v>
      </c>
      <c r="BE168" s="11" t="s">
        <v>409</v>
      </c>
    </row>
    <row r="169" spans="2:57" x14ac:dyDescent="0.3">
      <c r="B169" s="11" t="s">
        <v>163</v>
      </c>
      <c r="C169" s="4" t="s">
        <v>164</v>
      </c>
      <c r="D169" s="4" t="s">
        <v>257</v>
      </c>
      <c r="E169" s="4"/>
      <c r="F169" s="42" t="s">
        <v>254</v>
      </c>
      <c r="G169" s="4"/>
      <c r="H169" s="4">
        <v>1023.654</v>
      </c>
      <c r="I169" s="36">
        <f t="shared" si="12"/>
        <v>167.14632092484374</v>
      </c>
      <c r="J169" s="4" t="s">
        <v>259</v>
      </c>
      <c r="K169" s="4">
        <v>171.1</v>
      </c>
      <c r="L169" s="4">
        <v>2.4500000000000002</v>
      </c>
      <c r="M169" s="4">
        <f t="shared" si="14"/>
        <v>69.836734693877546</v>
      </c>
      <c r="N169" s="4" t="s">
        <v>253</v>
      </c>
      <c r="O169" s="4"/>
      <c r="P169" s="4" t="s">
        <v>258</v>
      </c>
      <c r="Q169" s="4"/>
      <c r="R169" s="4" t="s">
        <v>396</v>
      </c>
      <c r="S169" s="4" t="s">
        <v>397</v>
      </c>
      <c r="T169" s="4"/>
      <c r="U169" s="4" t="s">
        <v>398</v>
      </c>
      <c r="V169" s="4" t="s">
        <v>399</v>
      </c>
      <c r="W169" s="4" t="s">
        <v>400</v>
      </c>
      <c r="X169" s="4" t="s">
        <v>402</v>
      </c>
      <c r="Y169" s="4" t="s">
        <v>403</v>
      </c>
      <c r="Z169" s="4" t="s">
        <v>404</v>
      </c>
      <c r="AA169" s="4">
        <v>318</v>
      </c>
      <c r="AB169" s="4"/>
      <c r="AC169" s="4" t="s">
        <v>376</v>
      </c>
      <c r="AD169" s="4"/>
      <c r="AE169" s="4">
        <v>7200</v>
      </c>
      <c r="AF169" s="4" t="s">
        <v>405</v>
      </c>
      <c r="AG169" s="4"/>
      <c r="AH169" s="59"/>
      <c r="AJ169" s="25">
        <v>0.35607902470698599</v>
      </c>
      <c r="AK169" s="25">
        <v>188.67752235328101</v>
      </c>
      <c r="AL169" s="11">
        <f t="shared" si="13"/>
        <v>1.2676131066065723</v>
      </c>
      <c r="AN169" s="63">
        <v>318</v>
      </c>
      <c r="AO169" s="11">
        <f t="shared" si="11"/>
        <v>348.15</v>
      </c>
      <c r="AP169" s="65" t="s">
        <v>161</v>
      </c>
      <c r="AQ169" s="66">
        <v>188.67752235328101</v>
      </c>
      <c r="AR169" s="66">
        <v>0.35607902470698599</v>
      </c>
      <c r="AS169" s="11"/>
      <c r="AT169" s="11"/>
      <c r="AU169" s="11"/>
      <c r="BD169" s="19" t="s">
        <v>158</v>
      </c>
      <c r="BE169" s="11" t="s">
        <v>409</v>
      </c>
    </row>
    <row r="170" spans="2:57" x14ac:dyDescent="0.3">
      <c r="B170" s="11" t="s">
        <v>163</v>
      </c>
      <c r="C170" s="4" t="s">
        <v>164</v>
      </c>
      <c r="D170" s="4" t="s">
        <v>257</v>
      </c>
      <c r="E170" s="4"/>
      <c r="F170" s="42" t="s">
        <v>254</v>
      </c>
      <c r="G170" s="4"/>
      <c r="H170" s="4">
        <v>1023.654</v>
      </c>
      <c r="I170" s="36">
        <f t="shared" si="12"/>
        <v>167.14632092484374</v>
      </c>
      <c r="J170" s="4" t="s">
        <v>259</v>
      </c>
      <c r="K170" s="4">
        <v>171.1</v>
      </c>
      <c r="L170" s="4">
        <v>2.4500000000000002</v>
      </c>
      <c r="M170" s="4">
        <f t="shared" si="14"/>
        <v>69.836734693877546</v>
      </c>
      <c r="N170" s="4" t="s">
        <v>253</v>
      </c>
      <c r="O170" s="4"/>
      <c r="P170" s="4" t="s">
        <v>258</v>
      </c>
      <c r="Q170" s="4"/>
      <c r="R170" s="4" t="s">
        <v>396</v>
      </c>
      <c r="S170" s="4" t="s">
        <v>397</v>
      </c>
      <c r="T170" s="4"/>
      <c r="U170" s="4" t="s">
        <v>398</v>
      </c>
      <c r="V170" s="4" t="s">
        <v>399</v>
      </c>
      <c r="W170" s="4" t="s">
        <v>400</v>
      </c>
      <c r="X170" s="4" t="s">
        <v>402</v>
      </c>
      <c r="Y170" s="4" t="s">
        <v>403</v>
      </c>
      <c r="Z170" s="4" t="s">
        <v>404</v>
      </c>
      <c r="AA170" s="4">
        <v>318</v>
      </c>
      <c r="AB170" s="4"/>
      <c r="AC170" s="4" t="s">
        <v>376</v>
      </c>
      <c r="AD170" s="4"/>
      <c r="AE170" s="4">
        <v>7200</v>
      </c>
      <c r="AF170" s="4" t="s">
        <v>405</v>
      </c>
      <c r="AG170" s="4"/>
      <c r="AH170" s="59"/>
      <c r="AJ170" s="25">
        <v>0.32382418289930798</v>
      </c>
      <c r="AK170" s="25">
        <v>192.287307060877</v>
      </c>
      <c r="AL170" s="11">
        <f t="shared" si="13"/>
        <v>1.1973207606683913</v>
      </c>
      <c r="AN170" s="63">
        <v>318</v>
      </c>
      <c r="AO170" s="11">
        <f t="shared" si="11"/>
        <v>348.15</v>
      </c>
      <c r="AP170" s="65" t="s">
        <v>161</v>
      </c>
      <c r="AQ170" s="66">
        <v>192.287307060877</v>
      </c>
      <c r="AR170" s="66">
        <v>0.32382418289930798</v>
      </c>
      <c r="AS170" s="11"/>
      <c r="AT170" s="11"/>
      <c r="AU170" s="11"/>
      <c r="BD170" s="19" t="s">
        <v>158</v>
      </c>
      <c r="BE170" s="11" t="s">
        <v>409</v>
      </c>
    </row>
    <row r="171" spans="2:57" x14ac:dyDescent="0.3">
      <c r="B171" s="11" t="s">
        <v>163</v>
      </c>
      <c r="C171" s="4" t="s">
        <v>164</v>
      </c>
      <c r="D171" s="4" t="s">
        <v>257</v>
      </c>
      <c r="E171" s="4"/>
      <c r="F171" s="42" t="s">
        <v>254</v>
      </c>
      <c r="G171" s="4"/>
      <c r="H171" s="4">
        <v>1023.654</v>
      </c>
      <c r="I171" s="36">
        <f t="shared" si="12"/>
        <v>167.14632092484374</v>
      </c>
      <c r="J171" s="4" t="s">
        <v>259</v>
      </c>
      <c r="K171" s="4">
        <v>171.1</v>
      </c>
      <c r="L171" s="4">
        <v>2.4500000000000002</v>
      </c>
      <c r="M171" s="4">
        <f t="shared" si="14"/>
        <v>69.836734693877546</v>
      </c>
      <c r="N171" s="4" t="s">
        <v>253</v>
      </c>
      <c r="O171" s="4"/>
      <c r="P171" s="4" t="s">
        <v>258</v>
      </c>
      <c r="Q171" s="4"/>
      <c r="R171" s="4" t="s">
        <v>396</v>
      </c>
      <c r="S171" s="4" t="s">
        <v>397</v>
      </c>
      <c r="T171" s="4"/>
      <c r="U171" s="4" t="s">
        <v>398</v>
      </c>
      <c r="V171" s="4" t="s">
        <v>399</v>
      </c>
      <c r="W171" s="4" t="s">
        <v>400</v>
      </c>
      <c r="X171" s="4" t="s">
        <v>402</v>
      </c>
      <c r="Y171" s="4" t="s">
        <v>403</v>
      </c>
      <c r="Z171" s="4" t="s">
        <v>404</v>
      </c>
      <c r="AA171" s="4">
        <v>318</v>
      </c>
      <c r="AB171" s="4"/>
      <c r="AC171" s="4" t="s">
        <v>376</v>
      </c>
      <c r="AD171" s="4"/>
      <c r="AE171" s="4">
        <v>7200</v>
      </c>
      <c r="AF171" s="4" t="s">
        <v>405</v>
      </c>
      <c r="AG171" s="4"/>
      <c r="AH171" s="59"/>
      <c r="AJ171" s="25">
        <v>0.29101644139427502</v>
      </c>
      <c r="AK171" s="25">
        <v>194.118015865838</v>
      </c>
      <c r="AL171" s="11">
        <f t="shared" si="13"/>
        <v>1.0966024529751646</v>
      </c>
      <c r="AN171" s="63">
        <v>318</v>
      </c>
      <c r="AO171" s="11">
        <f t="shared" si="11"/>
        <v>348.15</v>
      </c>
      <c r="AP171" s="65" t="s">
        <v>161</v>
      </c>
      <c r="AQ171" s="66">
        <v>194.118015865838</v>
      </c>
      <c r="AR171" s="66">
        <v>0.29101644139427502</v>
      </c>
      <c r="AS171" s="11"/>
      <c r="AT171" s="11"/>
      <c r="AU171" s="11"/>
      <c r="BD171" s="19" t="s">
        <v>158</v>
      </c>
      <c r="BE171" s="11" t="s">
        <v>409</v>
      </c>
    </row>
    <row r="172" spans="2:57" x14ac:dyDescent="0.3">
      <c r="B172" s="11" t="s">
        <v>163</v>
      </c>
      <c r="C172" s="4" t="s">
        <v>164</v>
      </c>
      <c r="D172" s="4" t="s">
        <v>257</v>
      </c>
      <c r="E172" s="4"/>
      <c r="F172" s="42" t="s">
        <v>254</v>
      </c>
      <c r="G172" s="4"/>
      <c r="H172" s="4">
        <v>1023.654</v>
      </c>
      <c r="I172" s="36">
        <f t="shared" si="12"/>
        <v>167.14632092484374</v>
      </c>
      <c r="J172" s="4" t="s">
        <v>259</v>
      </c>
      <c r="K172" s="4">
        <v>171.1</v>
      </c>
      <c r="L172" s="4">
        <v>2.4500000000000002</v>
      </c>
      <c r="M172" s="4">
        <f t="shared" si="14"/>
        <v>69.836734693877546</v>
      </c>
      <c r="N172" s="4" t="s">
        <v>253</v>
      </c>
      <c r="O172" s="4"/>
      <c r="P172" s="4" t="s">
        <v>258</v>
      </c>
      <c r="Q172" s="4"/>
      <c r="R172" s="4" t="s">
        <v>396</v>
      </c>
      <c r="S172" s="4" t="s">
        <v>397</v>
      </c>
      <c r="T172" s="4"/>
      <c r="U172" s="4" t="s">
        <v>398</v>
      </c>
      <c r="V172" s="4" t="s">
        <v>399</v>
      </c>
      <c r="W172" s="4" t="s">
        <v>400</v>
      </c>
      <c r="X172" s="4" t="s">
        <v>402</v>
      </c>
      <c r="Y172" s="4" t="s">
        <v>403</v>
      </c>
      <c r="Z172" s="4" t="s">
        <v>404</v>
      </c>
      <c r="AA172" s="4">
        <v>318</v>
      </c>
      <c r="AB172" s="4"/>
      <c r="AC172" s="4" t="s">
        <v>376</v>
      </c>
      <c r="AD172" s="4"/>
      <c r="AE172" s="4">
        <v>7200</v>
      </c>
      <c r="AF172" s="4" t="s">
        <v>405</v>
      </c>
      <c r="AG172" s="4"/>
      <c r="AH172" s="59"/>
      <c r="AJ172" s="25">
        <v>0.26153256499722799</v>
      </c>
      <c r="AK172" s="25">
        <v>201.616814622981</v>
      </c>
      <c r="AL172" s="11">
        <f t="shared" si="13"/>
        <v>1.0631126139617046</v>
      </c>
      <c r="AN172" s="63">
        <v>318</v>
      </c>
      <c r="AO172" s="11">
        <f t="shared" si="11"/>
        <v>348.15</v>
      </c>
      <c r="AP172" s="65" t="s">
        <v>161</v>
      </c>
      <c r="AQ172" s="66">
        <v>201.616814622981</v>
      </c>
      <c r="AR172" s="66">
        <v>0.26153256499722799</v>
      </c>
      <c r="AS172" s="11"/>
      <c r="AT172" s="11"/>
      <c r="AU172" s="11"/>
      <c r="BD172" s="19" t="s">
        <v>158</v>
      </c>
      <c r="BE172" s="11" t="s">
        <v>409</v>
      </c>
    </row>
    <row r="173" spans="2:57" x14ac:dyDescent="0.3">
      <c r="B173" s="11" t="s">
        <v>163</v>
      </c>
      <c r="C173" s="4" t="s">
        <v>164</v>
      </c>
      <c r="D173" s="4" t="s">
        <v>257</v>
      </c>
      <c r="E173" s="4"/>
      <c r="F173" s="42" t="s">
        <v>254</v>
      </c>
      <c r="G173" s="4"/>
      <c r="H173" s="4">
        <v>1023.654</v>
      </c>
      <c r="I173" s="36">
        <f t="shared" si="12"/>
        <v>167.14632092484374</v>
      </c>
      <c r="J173" s="4" t="s">
        <v>259</v>
      </c>
      <c r="K173" s="4">
        <v>171.1</v>
      </c>
      <c r="L173" s="4">
        <v>2.4500000000000002</v>
      </c>
      <c r="M173" s="4">
        <f t="shared" si="14"/>
        <v>69.836734693877546</v>
      </c>
      <c r="N173" s="4" t="s">
        <v>253</v>
      </c>
      <c r="O173" s="4"/>
      <c r="P173" s="4" t="s">
        <v>258</v>
      </c>
      <c r="Q173" s="4"/>
      <c r="R173" s="4" t="s">
        <v>396</v>
      </c>
      <c r="S173" s="4" t="s">
        <v>397</v>
      </c>
      <c r="T173" s="4"/>
      <c r="U173" s="4" t="s">
        <v>398</v>
      </c>
      <c r="V173" s="4" t="s">
        <v>399</v>
      </c>
      <c r="W173" s="4" t="s">
        <v>400</v>
      </c>
      <c r="X173" s="4" t="s">
        <v>402</v>
      </c>
      <c r="Y173" s="4" t="s">
        <v>403</v>
      </c>
      <c r="Z173" s="4" t="s">
        <v>404</v>
      </c>
      <c r="AA173" s="4">
        <v>318</v>
      </c>
      <c r="AB173" s="4"/>
      <c r="AC173" s="4" t="s">
        <v>376</v>
      </c>
      <c r="AD173" s="4"/>
      <c r="AE173" s="4">
        <v>7200</v>
      </c>
      <c r="AF173" s="4" t="s">
        <v>405</v>
      </c>
      <c r="AG173" s="4"/>
      <c r="AH173" s="59"/>
      <c r="AJ173" s="25">
        <v>0.243555498224965</v>
      </c>
      <c r="AK173" s="25">
        <v>205.47415430575199</v>
      </c>
      <c r="AL173" s="11">
        <f t="shared" si="13"/>
        <v>1.0282822553763726</v>
      </c>
      <c r="AN173" s="63">
        <v>318</v>
      </c>
      <c r="AO173" s="11">
        <f t="shared" si="11"/>
        <v>348.15</v>
      </c>
      <c r="AP173" s="65" t="s">
        <v>161</v>
      </c>
      <c r="AQ173" s="66">
        <v>205.47415430575199</v>
      </c>
      <c r="AR173" s="66">
        <v>0.243555498224965</v>
      </c>
      <c r="AS173" s="11"/>
      <c r="AT173" s="11"/>
      <c r="AU173" s="11"/>
      <c r="BD173" s="19" t="s">
        <v>158</v>
      </c>
      <c r="BE173" s="11" t="s">
        <v>409</v>
      </c>
    </row>
    <row r="174" spans="2:57" x14ac:dyDescent="0.3">
      <c r="B174" s="11" t="s">
        <v>163</v>
      </c>
      <c r="C174" s="4" t="s">
        <v>164</v>
      </c>
      <c r="D174" s="4" t="s">
        <v>257</v>
      </c>
      <c r="E174" s="4"/>
      <c r="F174" s="42" t="s">
        <v>254</v>
      </c>
      <c r="G174" s="4"/>
      <c r="H174" s="4">
        <v>1023.654</v>
      </c>
      <c r="I174" s="36">
        <f t="shared" si="12"/>
        <v>167.14632092484374</v>
      </c>
      <c r="J174" s="4" t="s">
        <v>259</v>
      </c>
      <c r="K174" s="4">
        <v>171.1</v>
      </c>
      <c r="L174" s="4">
        <v>2.4500000000000002</v>
      </c>
      <c r="M174" s="4">
        <f t="shared" si="14"/>
        <v>69.836734693877546</v>
      </c>
      <c r="N174" s="4" t="s">
        <v>253</v>
      </c>
      <c r="O174" s="4"/>
      <c r="P174" s="4" t="s">
        <v>258</v>
      </c>
      <c r="Q174" s="4"/>
      <c r="R174" s="4" t="s">
        <v>396</v>
      </c>
      <c r="S174" s="4" t="s">
        <v>397</v>
      </c>
      <c r="T174" s="4"/>
      <c r="U174" s="4" t="s">
        <v>398</v>
      </c>
      <c r="V174" s="4" t="s">
        <v>399</v>
      </c>
      <c r="W174" s="4" t="s">
        <v>400</v>
      </c>
      <c r="X174" s="4" t="s">
        <v>402</v>
      </c>
      <c r="Y174" s="4" t="s">
        <v>403</v>
      </c>
      <c r="Z174" s="4" t="s">
        <v>404</v>
      </c>
      <c r="AA174" s="4">
        <v>318</v>
      </c>
      <c r="AB174" s="4"/>
      <c r="AC174" s="4" t="s">
        <v>376</v>
      </c>
      <c r="AD174" s="4"/>
      <c r="AE174" s="4">
        <v>7200</v>
      </c>
      <c r="AF174" s="4" t="s">
        <v>405</v>
      </c>
      <c r="AG174" s="4"/>
      <c r="AH174" s="59"/>
      <c r="AJ174" s="25">
        <v>0.22149341783957499</v>
      </c>
      <c r="AK174" s="25">
        <v>211.398976666973</v>
      </c>
      <c r="AL174" s="11">
        <f t="shared" si="13"/>
        <v>0.98984361512510699</v>
      </c>
      <c r="AN174" s="63">
        <v>318</v>
      </c>
      <c r="AO174" s="11">
        <f t="shared" si="11"/>
        <v>348.15</v>
      </c>
      <c r="AP174" s="65" t="s">
        <v>161</v>
      </c>
      <c r="AQ174" s="66">
        <v>211.398976666973</v>
      </c>
      <c r="AR174" s="66">
        <v>0.22149341783957499</v>
      </c>
      <c r="AS174" s="11"/>
      <c r="AT174" s="11"/>
      <c r="AU174" s="11"/>
      <c r="BD174" s="19" t="s">
        <v>158</v>
      </c>
      <c r="BE174" s="11" t="s">
        <v>409</v>
      </c>
    </row>
    <row r="175" spans="2:57" x14ac:dyDescent="0.3">
      <c r="B175" s="11" t="s">
        <v>163</v>
      </c>
      <c r="C175" s="4" t="s">
        <v>164</v>
      </c>
      <c r="D175" s="4" t="s">
        <v>257</v>
      </c>
      <c r="E175" s="4"/>
      <c r="F175" s="42" t="s">
        <v>254</v>
      </c>
      <c r="G175" s="4"/>
      <c r="H175" s="4">
        <v>1023.654</v>
      </c>
      <c r="I175" s="36">
        <f t="shared" si="12"/>
        <v>167.14632092484374</v>
      </c>
      <c r="J175" s="4" t="s">
        <v>259</v>
      </c>
      <c r="K175" s="4">
        <v>171.1</v>
      </c>
      <c r="L175" s="4">
        <v>2.4500000000000002</v>
      </c>
      <c r="M175" s="4">
        <f t="shared" si="14"/>
        <v>69.836734693877546</v>
      </c>
      <c r="N175" s="4" t="s">
        <v>253</v>
      </c>
      <c r="O175" s="4"/>
      <c r="P175" s="4" t="s">
        <v>258</v>
      </c>
      <c r="Q175" s="4"/>
      <c r="R175" s="4" t="s">
        <v>396</v>
      </c>
      <c r="S175" s="4" t="s">
        <v>397</v>
      </c>
      <c r="T175" s="4"/>
      <c r="U175" s="4" t="s">
        <v>398</v>
      </c>
      <c r="V175" s="4" t="s">
        <v>399</v>
      </c>
      <c r="W175" s="4" t="s">
        <v>400</v>
      </c>
      <c r="X175" s="4" t="s">
        <v>402</v>
      </c>
      <c r="Y175" s="4" t="s">
        <v>403</v>
      </c>
      <c r="Z175" s="4" t="s">
        <v>404</v>
      </c>
      <c r="AA175" s="4">
        <v>318</v>
      </c>
      <c r="AB175" s="4"/>
      <c r="AC175" s="4" t="s">
        <v>376</v>
      </c>
      <c r="AD175" s="4"/>
      <c r="AE175" s="4">
        <v>7200</v>
      </c>
      <c r="AF175" s="4" t="s">
        <v>405</v>
      </c>
      <c r="AG175" s="4"/>
      <c r="AH175" s="59"/>
      <c r="AJ175" s="25">
        <v>0.19905315802795201</v>
      </c>
      <c r="AK175" s="25">
        <v>213.41164184940001</v>
      </c>
      <c r="AL175" s="11">
        <f t="shared" si="13"/>
        <v>0.90657823038335572</v>
      </c>
      <c r="AN175" s="63">
        <v>318</v>
      </c>
      <c r="AO175" s="11">
        <f t="shared" si="11"/>
        <v>348.15</v>
      </c>
      <c r="AP175" s="65" t="s">
        <v>161</v>
      </c>
      <c r="AQ175" s="66">
        <v>213.41164184940001</v>
      </c>
      <c r="AR175" s="66">
        <v>0.19905315802795201</v>
      </c>
      <c r="AS175" s="11"/>
      <c r="AT175" s="11"/>
      <c r="AU175" s="11"/>
      <c r="BD175" s="19" t="s">
        <v>158</v>
      </c>
      <c r="BE175" s="11" t="s">
        <v>409</v>
      </c>
    </row>
    <row r="176" spans="2:57" x14ac:dyDescent="0.3">
      <c r="B176" s="11" t="s">
        <v>163</v>
      </c>
      <c r="C176" s="4" t="s">
        <v>164</v>
      </c>
      <c r="D176" s="4" t="s">
        <v>257</v>
      </c>
      <c r="E176" s="4"/>
      <c r="F176" s="42" t="s">
        <v>254</v>
      </c>
      <c r="G176" s="4"/>
      <c r="H176" s="4">
        <v>1023.654</v>
      </c>
      <c r="I176" s="36">
        <f t="shared" si="12"/>
        <v>167.14632092484374</v>
      </c>
      <c r="J176" s="4" t="s">
        <v>259</v>
      </c>
      <c r="K176" s="4">
        <v>171.1</v>
      </c>
      <c r="L176" s="4">
        <v>2.4500000000000002</v>
      </c>
      <c r="M176" s="4">
        <f t="shared" si="14"/>
        <v>69.836734693877546</v>
      </c>
      <c r="N176" s="4" t="s">
        <v>253</v>
      </c>
      <c r="O176" s="4"/>
      <c r="P176" s="4" t="s">
        <v>258</v>
      </c>
      <c r="Q176" s="4"/>
      <c r="R176" s="4" t="s">
        <v>396</v>
      </c>
      <c r="S176" s="4" t="s">
        <v>397</v>
      </c>
      <c r="T176" s="4"/>
      <c r="U176" s="4" t="s">
        <v>398</v>
      </c>
      <c r="V176" s="4" t="s">
        <v>399</v>
      </c>
      <c r="W176" s="4" t="s">
        <v>400</v>
      </c>
      <c r="X176" s="4" t="s">
        <v>402</v>
      </c>
      <c r="Y176" s="4" t="s">
        <v>403</v>
      </c>
      <c r="Z176" s="4" t="s">
        <v>404</v>
      </c>
      <c r="AA176" s="4">
        <v>318</v>
      </c>
      <c r="AB176" s="4"/>
      <c r="AC176" s="4" t="s">
        <v>376</v>
      </c>
      <c r="AD176" s="4"/>
      <c r="AE176" s="4">
        <v>7200</v>
      </c>
      <c r="AF176" s="4" t="s">
        <v>405</v>
      </c>
      <c r="AG176" s="4"/>
      <c r="AH176" s="59"/>
      <c r="AJ176" s="25">
        <v>0.18102225006084099</v>
      </c>
      <c r="AK176" s="25">
        <v>221.65575534665601</v>
      </c>
      <c r="AL176" s="11">
        <f t="shared" si="13"/>
        <v>0.88938537458046774</v>
      </c>
      <c r="AN176" s="63">
        <v>318</v>
      </c>
      <c r="AO176" s="11">
        <f t="shared" si="11"/>
        <v>348.15</v>
      </c>
      <c r="AP176" s="65" t="s">
        <v>161</v>
      </c>
      <c r="AQ176" s="66">
        <v>221.65575534665601</v>
      </c>
      <c r="AR176" s="66">
        <v>0.18102225006084099</v>
      </c>
      <c r="AS176" s="11"/>
      <c r="AT176" s="11"/>
      <c r="AU176" s="11"/>
      <c r="BD176" s="19" t="s">
        <v>158</v>
      </c>
      <c r="BE176" s="11" t="s">
        <v>409</v>
      </c>
    </row>
    <row r="177" spans="2:57" x14ac:dyDescent="0.3">
      <c r="B177" s="11" t="s">
        <v>163</v>
      </c>
      <c r="C177" s="4" t="s">
        <v>164</v>
      </c>
      <c r="D177" s="4" t="s">
        <v>257</v>
      </c>
      <c r="E177" s="4"/>
      <c r="F177" s="42" t="s">
        <v>254</v>
      </c>
      <c r="G177" s="4"/>
      <c r="H177" s="4">
        <v>1023.654</v>
      </c>
      <c r="I177" s="36">
        <f t="shared" si="12"/>
        <v>167.14632092484374</v>
      </c>
      <c r="J177" s="4" t="s">
        <v>259</v>
      </c>
      <c r="K177" s="4">
        <v>171.1</v>
      </c>
      <c r="L177" s="4">
        <v>2.4500000000000002</v>
      </c>
      <c r="M177" s="4">
        <f t="shared" si="14"/>
        <v>69.836734693877546</v>
      </c>
      <c r="N177" s="4" t="s">
        <v>253</v>
      </c>
      <c r="O177" s="4"/>
      <c r="P177" s="4" t="s">
        <v>258</v>
      </c>
      <c r="Q177" s="4"/>
      <c r="R177" s="4" t="s">
        <v>396</v>
      </c>
      <c r="S177" s="4" t="s">
        <v>397</v>
      </c>
      <c r="T177" s="4"/>
      <c r="U177" s="4" t="s">
        <v>398</v>
      </c>
      <c r="V177" s="4" t="s">
        <v>399</v>
      </c>
      <c r="W177" s="4" t="s">
        <v>400</v>
      </c>
      <c r="X177" s="4" t="s">
        <v>402</v>
      </c>
      <c r="Y177" s="4" t="s">
        <v>403</v>
      </c>
      <c r="Z177" s="4" t="s">
        <v>404</v>
      </c>
      <c r="AA177" s="4">
        <v>318</v>
      </c>
      <c r="AB177" s="4"/>
      <c r="AC177" s="4" t="s">
        <v>376</v>
      </c>
      <c r="AD177" s="4"/>
      <c r="AE177" s="4">
        <v>7200</v>
      </c>
      <c r="AF177" s="4" t="s">
        <v>405</v>
      </c>
      <c r="AG177" s="4"/>
      <c r="AH177" s="59"/>
      <c r="AJ177" s="25">
        <v>0.166590213406768</v>
      </c>
      <c r="AK177" s="25">
        <v>225.89648071776099</v>
      </c>
      <c r="AL177" s="11">
        <f t="shared" si="13"/>
        <v>0.85009686498924897</v>
      </c>
      <c r="AN177" s="63">
        <v>318</v>
      </c>
      <c r="AO177" s="11">
        <f t="shared" si="11"/>
        <v>348.15</v>
      </c>
      <c r="AP177" s="65" t="s">
        <v>161</v>
      </c>
      <c r="AQ177" s="66">
        <v>225.89648071776099</v>
      </c>
      <c r="AR177" s="66">
        <v>0.166590213406768</v>
      </c>
      <c r="AS177" s="11"/>
      <c r="AT177" s="11"/>
      <c r="AU177" s="11"/>
      <c r="BD177" s="19" t="s">
        <v>158</v>
      </c>
      <c r="BE177" s="11" t="s">
        <v>409</v>
      </c>
    </row>
    <row r="178" spans="2:57" x14ac:dyDescent="0.3">
      <c r="B178" s="11" t="s">
        <v>163</v>
      </c>
      <c r="C178" s="4" t="s">
        <v>164</v>
      </c>
      <c r="D178" s="4" t="s">
        <v>257</v>
      </c>
      <c r="E178" s="4"/>
      <c r="F178" s="42" t="s">
        <v>254</v>
      </c>
      <c r="G178" s="4"/>
      <c r="H178" s="4">
        <v>1023.654</v>
      </c>
      <c r="I178" s="36">
        <f t="shared" si="12"/>
        <v>167.14632092484374</v>
      </c>
      <c r="J178" s="4" t="s">
        <v>259</v>
      </c>
      <c r="K178" s="4">
        <v>171.1</v>
      </c>
      <c r="L178" s="4">
        <v>2.4500000000000002</v>
      </c>
      <c r="M178" s="4">
        <f t="shared" si="14"/>
        <v>69.836734693877546</v>
      </c>
      <c r="N178" s="4" t="s">
        <v>253</v>
      </c>
      <c r="O178" s="4"/>
      <c r="P178" s="4" t="s">
        <v>258</v>
      </c>
      <c r="Q178" s="4"/>
      <c r="R178" s="4" t="s">
        <v>396</v>
      </c>
      <c r="S178" s="4" t="s">
        <v>397</v>
      </c>
      <c r="T178" s="4"/>
      <c r="U178" s="4" t="s">
        <v>398</v>
      </c>
      <c r="V178" s="4" t="s">
        <v>399</v>
      </c>
      <c r="W178" s="4" t="s">
        <v>400</v>
      </c>
      <c r="X178" s="4" t="s">
        <v>402</v>
      </c>
      <c r="Y178" s="4" t="s">
        <v>403</v>
      </c>
      <c r="Z178" s="4" t="s">
        <v>404</v>
      </c>
      <c r="AA178" s="4">
        <v>318</v>
      </c>
      <c r="AB178" s="4"/>
      <c r="AC178" s="4" t="s">
        <v>376</v>
      </c>
      <c r="AD178" s="4"/>
      <c r="AE178" s="4">
        <v>7200</v>
      </c>
      <c r="AF178" s="4" t="s">
        <v>405</v>
      </c>
      <c r="AG178" s="4"/>
      <c r="AH178" s="59"/>
      <c r="AJ178" s="25">
        <v>0.15149990870666899</v>
      </c>
      <c r="AK178" s="25">
        <v>228.047172214673</v>
      </c>
      <c r="AL178" s="11">
        <f t="shared" si="13"/>
        <v>0.78788304346424809</v>
      </c>
      <c r="AN178" s="63">
        <v>318</v>
      </c>
      <c r="AO178" s="11">
        <f t="shared" si="11"/>
        <v>348.15</v>
      </c>
      <c r="AP178" s="65" t="s">
        <v>161</v>
      </c>
      <c r="AQ178" s="66">
        <v>228.047172214673</v>
      </c>
      <c r="AR178" s="66">
        <v>0.15149990870666899</v>
      </c>
      <c r="AS178" s="11"/>
      <c r="AT178" s="11"/>
      <c r="AU178" s="11"/>
      <c r="BD178" s="19" t="s">
        <v>158</v>
      </c>
      <c r="BE178" s="11" t="s">
        <v>409</v>
      </c>
    </row>
    <row r="179" spans="2:57" x14ac:dyDescent="0.3">
      <c r="B179" s="11" t="s">
        <v>163</v>
      </c>
      <c r="C179" s="4" t="s">
        <v>164</v>
      </c>
      <c r="D179" s="4" t="s">
        <v>257</v>
      </c>
      <c r="E179" s="4"/>
      <c r="F179" s="42" t="s">
        <v>254</v>
      </c>
      <c r="G179" s="4"/>
      <c r="H179" s="4">
        <v>1023.654</v>
      </c>
      <c r="I179" s="36">
        <f t="shared" si="12"/>
        <v>167.14632092484374</v>
      </c>
      <c r="J179" s="4" t="s">
        <v>259</v>
      </c>
      <c r="K179" s="4">
        <v>171.1</v>
      </c>
      <c r="L179" s="4">
        <v>2.4500000000000002</v>
      </c>
      <c r="M179" s="4">
        <f t="shared" si="14"/>
        <v>69.836734693877546</v>
      </c>
      <c r="N179" s="4" t="s">
        <v>253</v>
      </c>
      <c r="O179" s="4"/>
      <c r="P179" s="4" t="s">
        <v>258</v>
      </c>
      <c r="Q179" s="4"/>
      <c r="R179" s="4" t="s">
        <v>396</v>
      </c>
      <c r="S179" s="4" t="s">
        <v>397</v>
      </c>
      <c r="T179" s="4"/>
      <c r="U179" s="4" t="s">
        <v>398</v>
      </c>
      <c r="V179" s="4" t="s">
        <v>399</v>
      </c>
      <c r="W179" s="4" t="s">
        <v>400</v>
      </c>
      <c r="X179" s="4" t="s">
        <v>402</v>
      </c>
      <c r="Y179" s="4" t="s">
        <v>403</v>
      </c>
      <c r="Z179" s="4" t="s">
        <v>404</v>
      </c>
      <c r="AA179" s="4">
        <v>318</v>
      </c>
      <c r="AB179" s="4"/>
      <c r="AC179" s="4" t="s">
        <v>376</v>
      </c>
      <c r="AD179" s="4"/>
      <c r="AE179" s="4">
        <v>7200</v>
      </c>
      <c r="AF179" s="4" t="s">
        <v>405</v>
      </c>
      <c r="AG179" s="4"/>
      <c r="AH179" s="59"/>
      <c r="AJ179" s="25">
        <v>0.13777653482012001</v>
      </c>
      <c r="AK179" s="25">
        <v>239.11169774271301</v>
      </c>
      <c r="AL179" s="11">
        <f t="shared" si="13"/>
        <v>0.78772912631677405</v>
      </c>
      <c r="AN179" s="63">
        <v>318</v>
      </c>
      <c r="AO179" s="11">
        <f t="shared" si="11"/>
        <v>348.15</v>
      </c>
      <c r="AP179" s="65" t="s">
        <v>161</v>
      </c>
      <c r="AQ179" s="66">
        <v>239.11169774271301</v>
      </c>
      <c r="AR179" s="66">
        <v>0.13777653482012001</v>
      </c>
      <c r="AS179" s="11"/>
      <c r="AT179" s="11"/>
      <c r="AU179" s="11"/>
      <c r="BD179" s="19" t="s">
        <v>158</v>
      </c>
      <c r="BE179" s="11" t="s">
        <v>409</v>
      </c>
    </row>
    <row r="180" spans="2:57" x14ac:dyDescent="0.3">
      <c r="B180" s="11" t="s">
        <v>163</v>
      </c>
      <c r="C180" s="4" t="s">
        <v>164</v>
      </c>
      <c r="D180" s="4" t="s">
        <v>257</v>
      </c>
      <c r="E180" s="4"/>
      <c r="F180" s="42" t="s">
        <v>254</v>
      </c>
      <c r="G180" s="4"/>
      <c r="H180" s="4">
        <v>1023.654</v>
      </c>
      <c r="I180" s="36">
        <f t="shared" si="12"/>
        <v>167.14632092484374</v>
      </c>
      <c r="J180" s="4" t="s">
        <v>259</v>
      </c>
      <c r="K180" s="4">
        <v>171.1</v>
      </c>
      <c r="L180" s="4">
        <v>2.4500000000000002</v>
      </c>
      <c r="M180" s="4">
        <f t="shared" si="14"/>
        <v>69.836734693877546</v>
      </c>
      <c r="N180" s="4" t="s">
        <v>253</v>
      </c>
      <c r="O180" s="4"/>
      <c r="P180" s="4" t="s">
        <v>258</v>
      </c>
      <c r="Q180" s="4"/>
      <c r="R180" s="4" t="s">
        <v>396</v>
      </c>
      <c r="S180" s="4" t="s">
        <v>397</v>
      </c>
      <c r="T180" s="4"/>
      <c r="U180" s="4" t="s">
        <v>398</v>
      </c>
      <c r="V180" s="4" t="s">
        <v>399</v>
      </c>
      <c r="W180" s="4" t="s">
        <v>400</v>
      </c>
      <c r="X180" s="4" t="s">
        <v>402</v>
      </c>
      <c r="Y180" s="4" t="s">
        <v>403</v>
      </c>
      <c r="Z180" s="4" t="s">
        <v>404</v>
      </c>
      <c r="AA180" s="4">
        <v>318</v>
      </c>
      <c r="AB180" s="4"/>
      <c r="AC180" s="4" t="s">
        <v>376</v>
      </c>
      <c r="AD180" s="4"/>
      <c r="AE180" s="4">
        <v>7200</v>
      </c>
      <c r="AF180" s="4" t="s">
        <v>405</v>
      </c>
      <c r="AG180" s="4"/>
      <c r="AH180" s="59"/>
      <c r="AJ180" s="25">
        <v>0.125296270533029</v>
      </c>
      <c r="AK180" s="25">
        <v>241.38820729041899</v>
      </c>
      <c r="AL180" s="11">
        <f t="shared" si="13"/>
        <v>0.73007964977701378</v>
      </c>
      <c r="AN180" s="63">
        <v>318</v>
      </c>
      <c r="AO180" s="11">
        <f t="shared" si="11"/>
        <v>348.15</v>
      </c>
      <c r="AP180" s="65" t="s">
        <v>161</v>
      </c>
      <c r="AQ180" s="66">
        <v>241.38820729041899</v>
      </c>
      <c r="AR180" s="66">
        <v>0.125296270533029</v>
      </c>
      <c r="AS180" s="11"/>
      <c r="AT180" s="11"/>
      <c r="AU180" s="11"/>
      <c r="BD180" s="19" t="s">
        <v>158</v>
      </c>
      <c r="BE180" s="11" t="s">
        <v>409</v>
      </c>
    </row>
    <row r="181" spans="2:57" x14ac:dyDescent="0.3">
      <c r="B181" s="11" t="s">
        <v>163</v>
      </c>
      <c r="C181" s="4" t="s">
        <v>164</v>
      </c>
      <c r="D181" s="4" t="s">
        <v>257</v>
      </c>
      <c r="E181" s="4"/>
      <c r="F181" s="42" t="s">
        <v>254</v>
      </c>
      <c r="G181" s="4"/>
      <c r="H181" s="4">
        <v>1023.654</v>
      </c>
      <c r="I181" s="36">
        <f t="shared" si="12"/>
        <v>167.14632092484374</v>
      </c>
      <c r="J181" s="4" t="s">
        <v>259</v>
      </c>
      <c r="K181" s="4">
        <v>171.1</v>
      </c>
      <c r="L181" s="4">
        <v>2.4500000000000002</v>
      </c>
      <c r="M181" s="4">
        <f t="shared" si="14"/>
        <v>69.836734693877546</v>
      </c>
      <c r="N181" s="4" t="s">
        <v>253</v>
      </c>
      <c r="O181" s="4"/>
      <c r="P181" s="4" t="s">
        <v>258</v>
      </c>
      <c r="Q181" s="4"/>
      <c r="R181" s="4" t="s">
        <v>396</v>
      </c>
      <c r="S181" s="4" t="s">
        <v>397</v>
      </c>
      <c r="T181" s="4"/>
      <c r="U181" s="4" t="s">
        <v>398</v>
      </c>
      <c r="V181" s="4" t="s">
        <v>399</v>
      </c>
      <c r="W181" s="4" t="s">
        <v>400</v>
      </c>
      <c r="X181" s="4" t="s">
        <v>402</v>
      </c>
      <c r="Y181" s="4" t="s">
        <v>403</v>
      </c>
      <c r="Z181" s="4" t="s">
        <v>404</v>
      </c>
      <c r="AA181" s="4">
        <v>318</v>
      </c>
      <c r="AB181" s="4"/>
      <c r="AC181" s="4" t="s">
        <v>376</v>
      </c>
      <c r="AD181" s="4"/>
      <c r="AE181" s="4">
        <v>7200</v>
      </c>
      <c r="AF181" s="4" t="s">
        <v>405</v>
      </c>
      <c r="AG181" s="4"/>
      <c r="AH181" s="59"/>
      <c r="AJ181" s="25">
        <v>0.11394651077545601</v>
      </c>
      <c r="AK181" s="25">
        <v>241.38820729041899</v>
      </c>
      <c r="AL181" s="11">
        <f t="shared" si="13"/>
        <v>0.66394656701556132</v>
      </c>
      <c r="AN181" s="63">
        <v>318</v>
      </c>
      <c r="AO181" s="11">
        <f t="shared" si="11"/>
        <v>348.15</v>
      </c>
      <c r="AP181" s="65" t="s">
        <v>161</v>
      </c>
      <c r="AQ181" s="66">
        <v>241.38820729041899</v>
      </c>
      <c r="AR181" s="66">
        <v>0.11394651077545601</v>
      </c>
      <c r="AS181" s="11"/>
      <c r="AT181" s="11"/>
      <c r="AU181" s="11"/>
      <c r="BD181" s="19" t="s">
        <v>158</v>
      </c>
      <c r="BE181" s="11" t="s">
        <v>409</v>
      </c>
    </row>
    <row r="182" spans="2:57" x14ac:dyDescent="0.3">
      <c r="B182" s="11" t="s">
        <v>163</v>
      </c>
      <c r="C182" s="4" t="s">
        <v>164</v>
      </c>
      <c r="D182" s="4" t="s">
        <v>257</v>
      </c>
      <c r="E182" s="4"/>
      <c r="F182" s="42" t="s">
        <v>254</v>
      </c>
      <c r="G182" s="4"/>
      <c r="H182" s="4">
        <v>1023.654</v>
      </c>
      <c r="I182" s="36">
        <f t="shared" si="12"/>
        <v>167.14632092484374</v>
      </c>
      <c r="J182" s="4" t="s">
        <v>259</v>
      </c>
      <c r="K182" s="4">
        <v>171.1</v>
      </c>
      <c r="L182" s="4">
        <v>2.4500000000000002</v>
      </c>
      <c r="M182" s="4">
        <f t="shared" si="14"/>
        <v>69.836734693877546</v>
      </c>
      <c r="N182" s="4" t="s">
        <v>253</v>
      </c>
      <c r="O182" s="4"/>
      <c r="P182" s="4" t="s">
        <v>258</v>
      </c>
      <c r="Q182" s="4"/>
      <c r="R182" s="4" t="s">
        <v>396</v>
      </c>
      <c r="S182" s="4" t="s">
        <v>397</v>
      </c>
      <c r="T182" s="4"/>
      <c r="U182" s="4" t="s">
        <v>398</v>
      </c>
      <c r="V182" s="4" t="s">
        <v>399</v>
      </c>
      <c r="W182" s="4" t="s">
        <v>400</v>
      </c>
      <c r="X182" s="4" t="s">
        <v>402</v>
      </c>
      <c r="Y182" s="4" t="s">
        <v>403</v>
      </c>
      <c r="Z182" s="4" t="s">
        <v>404</v>
      </c>
      <c r="AA182" s="4">
        <v>318</v>
      </c>
      <c r="AB182" s="4"/>
      <c r="AC182" s="4" t="s">
        <v>376</v>
      </c>
      <c r="AD182" s="4"/>
      <c r="AE182" s="4">
        <v>7200</v>
      </c>
      <c r="AF182" s="4" t="s">
        <v>405</v>
      </c>
      <c r="AG182" s="4"/>
      <c r="AH182" s="59"/>
      <c r="AJ182" s="25">
        <v>0.102402197940476</v>
      </c>
      <c r="AK182" s="25">
        <v>250.71305836487801</v>
      </c>
      <c r="AL182" s="11">
        <f t="shared" si="13"/>
        <v>0.64366988098175015</v>
      </c>
      <c r="AN182" s="63">
        <v>318</v>
      </c>
      <c r="AO182" s="11">
        <f t="shared" ref="AO182:AO245" si="15">75+273.15</f>
        <v>348.15</v>
      </c>
      <c r="AP182" s="65" t="s">
        <v>161</v>
      </c>
      <c r="AQ182" s="66">
        <v>250.71305836487801</v>
      </c>
      <c r="AR182" s="66">
        <v>0.102402197940476</v>
      </c>
      <c r="AS182" s="11"/>
      <c r="AT182" s="11"/>
      <c r="AU182" s="11"/>
      <c r="BD182" s="19" t="s">
        <v>158</v>
      </c>
      <c r="BE182" s="11" t="s">
        <v>409</v>
      </c>
    </row>
    <row r="183" spans="2:57" x14ac:dyDescent="0.3">
      <c r="B183" s="11" t="s">
        <v>163</v>
      </c>
      <c r="C183" s="4" t="s">
        <v>164</v>
      </c>
      <c r="D183" s="4" t="s">
        <v>257</v>
      </c>
      <c r="E183" s="4"/>
      <c r="F183" s="42" t="s">
        <v>254</v>
      </c>
      <c r="G183" s="4"/>
      <c r="H183" s="4">
        <v>1023.654</v>
      </c>
      <c r="I183" s="36">
        <f t="shared" si="12"/>
        <v>167.14632092484374</v>
      </c>
      <c r="J183" s="4" t="s">
        <v>259</v>
      </c>
      <c r="K183" s="4">
        <v>171.1</v>
      </c>
      <c r="L183" s="4">
        <v>2.4500000000000002</v>
      </c>
      <c r="M183" s="4">
        <f t="shared" si="14"/>
        <v>69.836734693877546</v>
      </c>
      <c r="N183" s="4" t="s">
        <v>253</v>
      </c>
      <c r="O183" s="4"/>
      <c r="P183" s="4" t="s">
        <v>258</v>
      </c>
      <c r="Q183" s="4"/>
      <c r="R183" s="4" t="s">
        <v>396</v>
      </c>
      <c r="S183" s="4" t="s">
        <v>397</v>
      </c>
      <c r="T183" s="4"/>
      <c r="U183" s="4" t="s">
        <v>398</v>
      </c>
      <c r="V183" s="4" t="s">
        <v>399</v>
      </c>
      <c r="W183" s="4" t="s">
        <v>400</v>
      </c>
      <c r="X183" s="4" t="s">
        <v>402</v>
      </c>
      <c r="Y183" s="4" t="s">
        <v>403</v>
      </c>
      <c r="Z183" s="4" t="s">
        <v>404</v>
      </c>
      <c r="AA183" s="4">
        <v>318</v>
      </c>
      <c r="AB183" s="4"/>
      <c r="AC183" s="4" t="s">
        <v>376</v>
      </c>
      <c r="AD183" s="4"/>
      <c r="AE183" s="4">
        <v>7200</v>
      </c>
      <c r="AF183" s="4" t="s">
        <v>405</v>
      </c>
      <c r="AG183" s="4"/>
      <c r="AH183" s="59"/>
      <c r="AJ183" s="25">
        <v>9.3126260673329797E-2</v>
      </c>
      <c r="AK183" s="25">
        <v>255.50970903525001</v>
      </c>
      <c r="AL183" s="11">
        <f t="shared" si="13"/>
        <v>0.60797676160001313</v>
      </c>
      <c r="AN183" s="63">
        <v>318</v>
      </c>
      <c r="AO183" s="11">
        <f t="shared" si="15"/>
        <v>348.15</v>
      </c>
      <c r="AP183" s="65" t="s">
        <v>161</v>
      </c>
      <c r="AQ183" s="66">
        <v>255.50970903525001</v>
      </c>
      <c r="AR183" s="66">
        <v>9.3126260673329797E-2</v>
      </c>
      <c r="AS183" s="11"/>
      <c r="AT183" s="11"/>
      <c r="AU183" s="11"/>
      <c r="BD183" s="19" t="s">
        <v>158</v>
      </c>
      <c r="BE183" s="11" t="s">
        <v>409</v>
      </c>
    </row>
    <row r="184" spans="2:57" x14ac:dyDescent="0.3">
      <c r="B184" s="11" t="s">
        <v>163</v>
      </c>
      <c r="C184" s="4" t="s">
        <v>164</v>
      </c>
      <c r="D184" s="4" t="s">
        <v>257</v>
      </c>
      <c r="E184" s="4"/>
      <c r="F184" s="42" t="s">
        <v>254</v>
      </c>
      <c r="G184" s="4"/>
      <c r="H184" s="4">
        <v>1023.654</v>
      </c>
      <c r="I184" s="36">
        <f t="shared" si="12"/>
        <v>167.14632092484374</v>
      </c>
      <c r="J184" s="4" t="s">
        <v>259</v>
      </c>
      <c r="K184" s="4">
        <v>171.1</v>
      </c>
      <c r="L184" s="4">
        <v>2.4500000000000002</v>
      </c>
      <c r="M184" s="4">
        <f t="shared" si="14"/>
        <v>69.836734693877546</v>
      </c>
      <c r="N184" s="4" t="s">
        <v>253</v>
      </c>
      <c r="O184" s="4"/>
      <c r="P184" s="4" t="s">
        <v>258</v>
      </c>
      <c r="Q184" s="4"/>
      <c r="R184" s="4" t="s">
        <v>396</v>
      </c>
      <c r="S184" s="4" t="s">
        <v>397</v>
      </c>
      <c r="T184" s="4"/>
      <c r="U184" s="4" t="s">
        <v>398</v>
      </c>
      <c r="V184" s="4" t="s">
        <v>399</v>
      </c>
      <c r="W184" s="4" t="s">
        <v>400</v>
      </c>
      <c r="X184" s="4" t="s">
        <v>402</v>
      </c>
      <c r="Y184" s="4" t="s">
        <v>403</v>
      </c>
      <c r="Z184" s="4" t="s">
        <v>404</v>
      </c>
      <c r="AA184" s="4">
        <v>318</v>
      </c>
      <c r="AB184" s="4"/>
      <c r="AC184" s="4" t="s">
        <v>376</v>
      </c>
      <c r="AD184" s="4"/>
      <c r="AE184" s="4">
        <v>7200</v>
      </c>
      <c r="AF184" s="4" t="s">
        <v>405</v>
      </c>
      <c r="AG184" s="4"/>
      <c r="AH184" s="59"/>
      <c r="AJ184" s="25">
        <v>8.6725004269969597E-2</v>
      </c>
      <c r="AK184" s="25">
        <v>262.877300558944</v>
      </c>
      <c r="AL184" s="11">
        <f t="shared" si="13"/>
        <v>0.59930859023846828</v>
      </c>
      <c r="AN184" s="63">
        <v>318</v>
      </c>
      <c r="AO184" s="11">
        <f t="shared" si="15"/>
        <v>348.15</v>
      </c>
      <c r="AP184" s="65" t="s">
        <v>161</v>
      </c>
      <c r="AQ184" s="66">
        <v>262.877300558944</v>
      </c>
      <c r="AR184" s="66">
        <v>8.6725004269969597E-2</v>
      </c>
      <c r="AS184" s="11"/>
      <c r="AT184" s="11"/>
      <c r="AU184" s="11"/>
      <c r="BD184" s="19" t="s">
        <v>158</v>
      </c>
      <c r="BE184" s="11" t="s">
        <v>409</v>
      </c>
    </row>
    <row r="185" spans="2:57" x14ac:dyDescent="0.3">
      <c r="B185" s="11" t="s">
        <v>163</v>
      </c>
      <c r="C185" s="4" t="s">
        <v>164</v>
      </c>
      <c r="D185" s="4" t="s">
        <v>257</v>
      </c>
      <c r="E185" s="4"/>
      <c r="F185" s="42" t="s">
        <v>254</v>
      </c>
      <c r="G185" s="4"/>
      <c r="H185" s="4">
        <v>1023.654</v>
      </c>
      <c r="I185" s="36">
        <f t="shared" si="12"/>
        <v>167.14632092484374</v>
      </c>
      <c r="J185" s="4" t="s">
        <v>259</v>
      </c>
      <c r="K185" s="4">
        <v>171.1</v>
      </c>
      <c r="L185" s="4">
        <v>2.4500000000000002</v>
      </c>
      <c r="M185" s="4">
        <f t="shared" si="14"/>
        <v>69.836734693877546</v>
      </c>
      <c r="N185" s="4" t="s">
        <v>253</v>
      </c>
      <c r="O185" s="4"/>
      <c r="P185" s="4" t="s">
        <v>258</v>
      </c>
      <c r="Q185" s="4"/>
      <c r="R185" s="4" t="s">
        <v>396</v>
      </c>
      <c r="S185" s="4" t="s">
        <v>397</v>
      </c>
      <c r="T185" s="4"/>
      <c r="U185" s="4" t="s">
        <v>398</v>
      </c>
      <c r="V185" s="4" t="s">
        <v>399</v>
      </c>
      <c r="W185" s="4" t="s">
        <v>400</v>
      </c>
      <c r="X185" s="4" t="s">
        <v>402</v>
      </c>
      <c r="Y185" s="4" t="s">
        <v>403</v>
      </c>
      <c r="Z185" s="4" t="s">
        <v>404</v>
      </c>
      <c r="AA185" s="4">
        <v>318</v>
      </c>
      <c r="AB185" s="4"/>
      <c r="AC185" s="4" t="s">
        <v>376</v>
      </c>
      <c r="AD185" s="4"/>
      <c r="AE185" s="4">
        <v>7200</v>
      </c>
      <c r="AF185" s="4" t="s">
        <v>405</v>
      </c>
      <c r="AG185" s="4"/>
      <c r="AH185" s="59"/>
      <c r="AJ185" s="25">
        <v>7.8869160203333094E-2</v>
      </c>
      <c r="AK185" s="25">
        <v>265.38007516280999</v>
      </c>
      <c r="AL185" s="11">
        <f t="shared" si="13"/>
        <v>0.55544855592111797</v>
      </c>
      <c r="AN185" s="63">
        <v>318</v>
      </c>
      <c r="AO185" s="11">
        <f t="shared" si="15"/>
        <v>348.15</v>
      </c>
      <c r="AP185" s="65" t="s">
        <v>161</v>
      </c>
      <c r="AQ185" s="66">
        <v>265.38007516280999</v>
      </c>
      <c r="AR185" s="66">
        <v>7.8869160203333094E-2</v>
      </c>
      <c r="AS185" s="11"/>
      <c r="AT185" s="11"/>
      <c r="AU185" s="11"/>
      <c r="BD185" s="19" t="s">
        <v>158</v>
      </c>
      <c r="BE185" s="11" t="s">
        <v>409</v>
      </c>
    </row>
    <row r="186" spans="2:57" x14ac:dyDescent="0.3">
      <c r="B186" s="11" t="s">
        <v>163</v>
      </c>
      <c r="C186" s="4" t="s">
        <v>164</v>
      </c>
      <c r="D186" s="4" t="s">
        <v>257</v>
      </c>
      <c r="E186" s="4"/>
      <c r="F186" s="42" t="s">
        <v>254</v>
      </c>
      <c r="G186" s="4"/>
      <c r="H186" s="4">
        <v>1023.654</v>
      </c>
      <c r="I186" s="36">
        <f t="shared" ref="I186:I249" si="16">((K186)*1000)/H186</f>
        <v>167.14632092484374</v>
      </c>
      <c r="J186" s="4" t="s">
        <v>259</v>
      </c>
      <c r="K186" s="4">
        <v>171.1</v>
      </c>
      <c r="L186" s="4">
        <v>2.4500000000000002</v>
      </c>
      <c r="M186" s="4">
        <f t="shared" si="14"/>
        <v>69.836734693877546</v>
      </c>
      <c r="N186" s="4" t="s">
        <v>253</v>
      </c>
      <c r="O186" s="4"/>
      <c r="P186" s="4" t="s">
        <v>258</v>
      </c>
      <c r="Q186" s="4"/>
      <c r="R186" s="4" t="s">
        <v>396</v>
      </c>
      <c r="S186" s="4" t="s">
        <v>397</v>
      </c>
      <c r="T186" s="4"/>
      <c r="U186" s="4" t="s">
        <v>398</v>
      </c>
      <c r="V186" s="4" t="s">
        <v>399</v>
      </c>
      <c r="W186" s="4" t="s">
        <v>400</v>
      </c>
      <c r="X186" s="4" t="s">
        <v>402</v>
      </c>
      <c r="Y186" s="4" t="s">
        <v>403</v>
      </c>
      <c r="Z186" s="4" t="s">
        <v>404</v>
      </c>
      <c r="AA186" s="4">
        <v>318</v>
      </c>
      <c r="AB186" s="4"/>
      <c r="AC186" s="4" t="s">
        <v>376</v>
      </c>
      <c r="AD186" s="4"/>
      <c r="AE186" s="4">
        <v>7200</v>
      </c>
      <c r="AF186" s="4" t="s">
        <v>405</v>
      </c>
      <c r="AG186" s="4"/>
      <c r="AH186" s="59"/>
      <c r="AJ186" s="25">
        <v>7.2581299951083006E-2</v>
      </c>
      <c r="AK186" s="25">
        <v>273.03227749871797</v>
      </c>
      <c r="AL186" s="11">
        <f t="shared" ref="AL186:AL249" si="17">((AK186)^2*AJ186)/10000</f>
        <v>0.54106909172497453</v>
      </c>
      <c r="AN186" s="63">
        <v>318</v>
      </c>
      <c r="AO186" s="11">
        <f t="shared" si="15"/>
        <v>348.15</v>
      </c>
      <c r="AP186" s="65" t="s">
        <v>161</v>
      </c>
      <c r="AQ186" s="66">
        <v>273.03227749871797</v>
      </c>
      <c r="AR186" s="66">
        <v>7.2581299951083006E-2</v>
      </c>
      <c r="AS186" s="11"/>
      <c r="AT186" s="11"/>
      <c r="AU186" s="11"/>
      <c r="BD186" s="19" t="s">
        <v>158</v>
      </c>
      <c r="BE186" s="11" t="s">
        <v>409</v>
      </c>
    </row>
    <row r="187" spans="2:57" x14ac:dyDescent="0.3">
      <c r="B187" s="11" t="s">
        <v>163</v>
      </c>
      <c r="C187" s="4" t="s">
        <v>164</v>
      </c>
      <c r="D187" s="4" t="s">
        <v>257</v>
      </c>
      <c r="E187" s="4"/>
      <c r="F187" s="42" t="s">
        <v>254</v>
      </c>
      <c r="G187" s="4"/>
      <c r="H187" s="4">
        <v>1023.654</v>
      </c>
      <c r="I187" s="36">
        <f t="shared" si="16"/>
        <v>167.14632092484374</v>
      </c>
      <c r="J187" s="4" t="s">
        <v>259</v>
      </c>
      <c r="K187" s="4">
        <v>171.1</v>
      </c>
      <c r="L187" s="4">
        <v>2.4500000000000002</v>
      </c>
      <c r="M187" s="4">
        <f t="shared" si="14"/>
        <v>69.836734693877546</v>
      </c>
      <c r="N187" s="4" t="s">
        <v>253</v>
      </c>
      <c r="O187" s="4"/>
      <c r="P187" s="4" t="s">
        <v>258</v>
      </c>
      <c r="Q187" s="4"/>
      <c r="R187" s="4" t="s">
        <v>396</v>
      </c>
      <c r="S187" s="4" t="s">
        <v>397</v>
      </c>
      <c r="T187" s="4"/>
      <c r="U187" s="4" t="s">
        <v>398</v>
      </c>
      <c r="V187" s="4" t="s">
        <v>399</v>
      </c>
      <c r="W187" s="4" t="s">
        <v>400</v>
      </c>
      <c r="X187" s="4" t="s">
        <v>402</v>
      </c>
      <c r="Y187" s="4" t="s">
        <v>403</v>
      </c>
      <c r="Z187" s="4" t="s">
        <v>404</v>
      </c>
      <c r="AA187" s="4">
        <v>318</v>
      </c>
      <c r="AB187" s="4"/>
      <c r="AC187" s="4" t="s">
        <v>376</v>
      </c>
      <c r="AD187" s="4"/>
      <c r="AE187" s="4">
        <v>7200</v>
      </c>
      <c r="AF187" s="4" t="s">
        <v>405</v>
      </c>
      <c r="AG187" s="4"/>
      <c r="AH187" s="59"/>
      <c r="AJ187" s="25">
        <v>6.6006640435419803E-2</v>
      </c>
      <c r="AK187" s="25">
        <v>278.25594022071198</v>
      </c>
      <c r="AL187" s="11">
        <f t="shared" si="17"/>
        <v>0.51106544504936946</v>
      </c>
      <c r="AN187" s="63">
        <v>318</v>
      </c>
      <c r="AO187" s="11">
        <f t="shared" si="15"/>
        <v>348.15</v>
      </c>
      <c r="AP187" s="65" t="s">
        <v>161</v>
      </c>
      <c r="AQ187" s="66">
        <v>278.25594022071198</v>
      </c>
      <c r="AR187" s="66">
        <v>6.6006640435419803E-2</v>
      </c>
      <c r="AS187" s="11"/>
      <c r="AT187" s="11"/>
      <c r="AU187" s="11"/>
      <c r="BD187" s="19" t="s">
        <v>158</v>
      </c>
      <c r="BE187" s="11" t="s">
        <v>409</v>
      </c>
    </row>
    <row r="188" spans="2:57" x14ac:dyDescent="0.3">
      <c r="B188" s="11" t="s">
        <v>163</v>
      </c>
      <c r="C188" s="4" t="s">
        <v>164</v>
      </c>
      <c r="D188" s="4" t="s">
        <v>257</v>
      </c>
      <c r="E188" s="4"/>
      <c r="F188" s="42" t="s">
        <v>254</v>
      </c>
      <c r="G188" s="4"/>
      <c r="H188" s="4">
        <v>1023.654</v>
      </c>
      <c r="I188" s="36">
        <f t="shared" si="16"/>
        <v>167.14632092484374</v>
      </c>
      <c r="J188" s="4" t="s">
        <v>259</v>
      </c>
      <c r="K188" s="4">
        <v>171.1</v>
      </c>
      <c r="L188" s="4">
        <v>2.4500000000000002</v>
      </c>
      <c r="M188" s="4">
        <f t="shared" si="14"/>
        <v>69.836734693877546</v>
      </c>
      <c r="N188" s="4" t="s">
        <v>253</v>
      </c>
      <c r="O188" s="4"/>
      <c r="P188" s="4" t="s">
        <v>258</v>
      </c>
      <c r="Q188" s="4"/>
      <c r="R188" s="4" t="s">
        <v>396</v>
      </c>
      <c r="S188" s="4" t="s">
        <v>397</v>
      </c>
      <c r="T188" s="4"/>
      <c r="U188" s="4" t="s">
        <v>398</v>
      </c>
      <c r="V188" s="4" t="s">
        <v>399</v>
      </c>
      <c r="W188" s="4" t="s">
        <v>400</v>
      </c>
      <c r="X188" s="4" t="s">
        <v>402</v>
      </c>
      <c r="Y188" s="4" t="s">
        <v>403</v>
      </c>
      <c r="Z188" s="4" t="s">
        <v>404</v>
      </c>
      <c r="AA188" s="4">
        <v>318</v>
      </c>
      <c r="AB188" s="4"/>
      <c r="AC188" s="4" t="s">
        <v>376</v>
      </c>
      <c r="AD188" s="4"/>
      <c r="AE188" s="4">
        <v>7200</v>
      </c>
      <c r="AF188" s="4" t="s">
        <v>405</v>
      </c>
      <c r="AG188" s="4"/>
      <c r="AH188" s="59"/>
      <c r="AJ188" s="25">
        <v>6.1469516033596502E-2</v>
      </c>
      <c r="AK188" s="25">
        <v>286.27941656659402</v>
      </c>
      <c r="AL188" s="11">
        <f t="shared" si="17"/>
        <v>0.50377897764723678</v>
      </c>
      <c r="AN188" s="63">
        <v>318</v>
      </c>
      <c r="AO188" s="11">
        <f t="shared" si="15"/>
        <v>348.15</v>
      </c>
      <c r="AP188" s="65" t="s">
        <v>161</v>
      </c>
      <c r="AQ188" s="66">
        <v>286.27941656659402</v>
      </c>
      <c r="AR188" s="66">
        <v>6.1469516033596502E-2</v>
      </c>
      <c r="AS188" s="11"/>
      <c r="AT188" s="11"/>
      <c r="AU188" s="11"/>
      <c r="BD188" s="19" t="s">
        <v>158</v>
      </c>
      <c r="BE188" s="11" t="s">
        <v>409</v>
      </c>
    </row>
    <row r="189" spans="2:57" x14ac:dyDescent="0.3">
      <c r="B189" s="11" t="s">
        <v>163</v>
      </c>
      <c r="C189" s="4" t="s">
        <v>164</v>
      </c>
      <c r="D189" s="4" t="s">
        <v>257</v>
      </c>
      <c r="E189" s="4"/>
      <c r="F189" s="42" t="s">
        <v>254</v>
      </c>
      <c r="G189" s="4"/>
      <c r="H189" s="4">
        <v>1023.654</v>
      </c>
      <c r="I189" s="36">
        <f t="shared" si="16"/>
        <v>167.14632092484374</v>
      </c>
      <c r="J189" s="4" t="s">
        <v>259</v>
      </c>
      <c r="K189" s="4">
        <v>171.1</v>
      </c>
      <c r="L189" s="4">
        <v>2.4500000000000002</v>
      </c>
      <c r="M189" s="4">
        <f t="shared" si="14"/>
        <v>69.836734693877546</v>
      </c>
      <c r="N189" s="4" t="s">
        <v>253</v>
      </c>
      <c r="O189" s="4"/>
      <c r="P189" s="4" t="s">
        <v>258</v>
      </c>
      <c r="Q189" s="4"/>
      <c r="R189" s="4" t="s">
        <v>396</v>
      </c>
      <c r="S189" s="4" t="s">
        <v>397</v>
      </c>
      <c r="T189" s="4"/>
      <c r="U189" s="4" t="s">
        <v>398</v>
      </c>
      <c r="V189" s="4" t="s">
        <v>399</v>
      </c>
      <c r="W189" s="4" t="s">
        <v>400</v>
      </c>
      <c r="X189" s="4" t="s">
        <v>402</v>
      </c>
      <c r="Y189" s="4" t="s">
        <v>403</v>
      </c>
      <c r="Z189" s="4" t="s">
        <v>404</v>
      </c>
      <c r="AA189" s="4">
        <v>318</v>
      </c>
      <c r="AB189" s="4"/>
      <c r="AC189" s="4" t="s">
        <v>376</v>
      </c>
      <c r="AD189" s="4"/>
      <c r="AE189" s="4">
        <v>7200</v>
      </c>
      <c r="AF189" s="4" t="s">
        <v>405</v>
      </c>
      <c r="AG189" s="4"/>
      <c r="AH189" s="59"/>
      <c r="AJ189" s="25">
        <v>5.6568846042991297E-2</v>
      </c>
      <c r="AK189" s="25">
        <v>289.004995579575</v>
      </c>
      <c r="AL189" s="11">
        <f t="shared" si="17"/>
        <v>0.47248499311997405</v>
      </c>
      <c r="AN189" s="63">
        <v>318</v>
      </c>
      <c r="AO189" s="11">
        <f t="shared" si="15"/>
        <v>348.15</v>
      </c>
      <c r="AP189" s="65" t="s">
        <v>161</v>
      </c>
      <c r="AQ189" s="66">
        <v>289.004995579575</v>
      </c>
      <c r="AR189" s="66">
        <v>5.6568846042991297E-2</v>
      </c>
      <c r="AS189" s="11"/>
      <c r="AT189" s="11"/>
      <c r="AU189" s="11"/>
      <c r="BD189" s="19" t="s">
        <v>158</v>
      </c>
      <c r="BE189" s="11" t="s">
        <v>409</v>
      </c>
    </row>
    <row r="190" spans="2:57" x14ac:dyDescent="0.3">
      <c r="B190" s="11" t="s">
        <v>163</v>
      </c>
      <c r="C190" s="4" t="s">
        <v>164</v>
      </c>
      <c r="D190" s="4" t="s">
        <v>257</v>
      </c>
      <c r="E190" s="4"/>
      <c r="F190" s="42" t="s">
        <v>254</v>
      </c>
      <c r="G190" s="4"/>
      <c r="H190" s="4">
        <v>1023.654</v>
      </c>
      <c r="I190" s="36">
        <f t="shared" si="16"/>
        <v>167.14632092484374</v>
      </c>
      <c r="J190" s="4" t="s">
        <v>259</v>
      </c>
      <c r="K190" s="4">
        <v>171.1</v>
      </c>
      <c r="L190" s="4">
        <v>2.4500000000000002</v>
      </c>
      <c r="M190" s="4">
        <f t="shared" si="14"/>
        <v>69.836734693877546</v>
      </c>
      <c r="N190" s="4" t="s">
        <v>253</v>
      </c>
      <c r="O190" s="4"/>
      <c r="P190" s="4" t="s">
        <v>258</v>
      </c>
      <c r="Q190" s="4"/>
      <c r="R190" s="4" t="s">
        <v>396</v>
      </c>
      <c r="S190" s="4" t="s">
        <v>397</v>
      </c>
      <c r="T190" s="4"/>
      <c r="U190" s="4" t="s">
        <v>398</v>
      </c>
      <c r="V190" s="4" t="s">
        <v>399</v>
      </c>
      <c r="W190" s="4" t="s">
        <v>400</v>
      </c>
      <c r="X190" s="4" t="s">
        <v>402</v>
      </c>
      <c r="Y190" s="4" t="s">
        <v>403</v>
      </c>
      <c r="Z190" s="4" t="s">
        <v>404</v>
      </c>
      <c r="AA190" s="4">
        <v>318</v>
      </c>
      <c r="AB190" s="4"/>
      <c r="AC190" s="4" t="s">
        <v>376</v>
      </c>
      <c r="AD190" s="4"/>
      <c r="AE190" s="4">
        <v>7200</v>
      </c>
      <c r="AF190" s="4" t="s">
        <v>405</v>
      </c>
      <c r="AG190" s="4"/>
      <c r="AH190" s="59"/>
      <c r="AJ190" s="25">
        <v>5.2680451025890598E-2</v>
      </c>
      <c r="AK190" s="25">
        <v>297.33841963526697</v>
      </c>
      <c r="AL190" s="11">
        <f t="shared" si="17"/>
        <v>0.46574858287405496</v>
      </c>
      <c r="AN190" s="63">
        <v>318</v>
      </c>
      <c r="AO190" s="11">
        <f t="shared" si="15"/>
        <v>348.15</v>
      </c>
      <c r="AP190" s="65" t="s">
        <v>161</v>
      </c>
      <c r="AQ190" s="66">
        <v>297.33841963526697</v>
      </c>
      <c r="AR190" s="66">
        <v>5.2680451025890598E-2</v>
      </c>
      <c r="AS190" s="11"/>
      <c r="AT190" s="11"/>
      <c r="AU190" s="11"/>
      <c r="BD190" s="19" t="s">
        <v>158</v>
      </c>
      <c r="BE190" s="11" t="s">
        <v>409</v>
      </c>
    </row>
    <row r="191" spans="2:57" x14ac:dyDescent="0.3">
      <c r="B191" s="11" t="s">
        <v>163</v>
      </c>
      <c r="C191" s="4" t="s">
        <v>164</v>
      </c>
      <c r="D191" s="4" t="s">
        <v>257</v>
      </c>
      <c r="E191" s="4"/>
      <c r="F191" s="42" t="s">
        <v>254</v>
      </c>
      <c r="G191" s="4"/>
      <c r="H191" s="4">
        <v>1023.654</v>
      </c>
      <c r="I191" s="36">
        <f t="shared" si="16"/>
        <v>167.14632092484374</v>
      </c>
      <c r="J191" s="4" t="s">
        <v>259</v>
      </c>
      <c r="K191" s="4">
        <v>171.1</v>
      </c>
      <c r="L191" s="4">
        <v>2.4500000000000002</v>
      </c>
      <c r="M191" s="4">
        <f t="shared" si="14"/>
        <v>69.836734693877546</v>
      </c>
      <c r="N191" s="4" t="s">
        <v>253</v>
      </c>
      <c r="O191" s="4"/>
      <c r="P191" s="4" t="s">
        <v>258</v>
      </c>
      <c r="Q191" s="4"/>
      <c r="R191" s="4" t="s">
        <v>396</v>
      </c>
      <c r="S191" s="4" t="s">
        <v>397</v>
      </c>
      <c r="T191" s="4"/>
      <c r="U191" s="4" t="s">
        <v>398</v>
      </c>
      <c r="V191" s="4" t="s">
        <v>399</v>
      </c>
      <c r="W191" s="4" t="s">
        <v>400</v>
      </c>
      <c r="X191" s="4" t="s">
        <v>402</v>
      </c>
      <c r="Y191" s="4" t="s">
        <v>403</v>
      </c>
      <c r="Z191" s="4" t="s">
        <v>404</v>
      </c>
      <c r="AA191" s="4">
        <v>318</v>
      </c>
      <c r="AB191" s="4"/>
      <c r="AC191" s="4" t="s">
        <v>376</v>
      </c>
      <c r="AD191" s="4"/>
      <c r="AE191" s="4">
        <v>7200</v>
      </c>
      <c r="AF191" s="4" t="s">
        <v>405</v>
      </c>
      <c r="AG191" s="4"/>
      <c r="AH191" s="59"/>
      <c r="AJ191" s="25">
        <v>4.73432133799815E-2</v>
      </c>
      <c r="AK191" s="25">
        <v>297.33841963526697</v>
      </c>
      <c r="AL191" s="11">
        <f t="shared" si="17"/>
        <v>0.41856199237158315</v>
      </c>
      <c r="AN191" s="63">
        <v>318</v>
      </c>
      <c r="AO191" s="11">
        <f t="shared" si="15"/>
        <v>348.15</v>
      </c>
      <c r="AP191" s="65" t="s">
        <v>161</v>
      </c>
      <c r="AQ191" s="66">
        <v>297.33841963526697</v>
      </c>
      <c r="AR191" s="66">
        <v>4.73432133799815E-2</v>
      </c>
      <c r="AS191" s="11"/>
      <c r="AT191" s="11"/>
      <c r="AU191" s="11"/>
      <c r="BD191" s="19" t="s">
        <v>158</v>
      </c>
      <c r="BE191" s="11" t="s">
        <v>409</v>
      </c>
    </row>
    <row r="192" spans="2:57" x14ac:dyDescent="0.3">
      <c r="B192" s="11" t="s">
        <v>163</v>
      </c>
      <c r="C192" s="4" t="s">
        <v>164</v>
      </c>
      <c r="D192" s="4" t="s">
        <v>257</v>
      </c>
      <c r="E192" s="4"/>
      <c r="F192" s="42" t="s">
        <v>254</v>
      </c>
      <c r="G192" s="4"/>
      <c r="H192" s="4">
        <v>1023.654</v>
      </c>
      <c r="I192" s="36">
        <f t="shared" si="16"/>
        <v>167.14632092484374</v>
      </c>
      <c r="J192" s="4" t="s">
        <v>259</v>
      </c>
      <c r="K192" s="4">
        <v>171.1</v>
      </c>
      <c r="L192" s="4">
        <v>2.4500000000000002</v>
      </c>
      <c r="M192" s="4">
        <f t="shared" si="14"/>
        <v>69.836734693877546</v>
      </c>
      <c r="N192" s="4" t="s">
        <v>253</v>
      </c>
      <c r="O192" s="4"/>
      <c r="P192" s="4" t="s">
        <v>258</v>
      </c>
      <c r="Q192" s="4"/>
      <c r="R192" s="4" t="s">
        <v>396</v>
      </c>
      <c r="S192" s="4" t="s">
        <v>397</v>
      </c>
      <c r="T192" s="4"/>
      <c r="U192" s="4" t="s">
        <v>398</v>
      </c>
      <c r="V192" s="4" t="s">
        <v>399</v>
      </c>
      <c r="W192" s="4" t="s">
        <v>400</v>
      </c>
      <c r="X192" s="4" t="s">
        <v>402</v>
      </c>
      <c r="Y192" s="4" t="s">
        <v>403</v>
      </c>
      <c r="Z192" s="4" t="s">
        <v>404</v>
      </c>
      <c r="AA192" s="4">
        <v>318</v>
      </c>
      <c r="AB192" s="4"/>
      <c r="AC192" s="4" t="s">
        <v>376</v>
      </c>
      <c r="AD192" s="4"/>
      <c r="AE192" s="4">
        <v>7200</v>
      </c>
      <c r="AF192" s="4" t="s">
        <v>405</v>
      </c>
      <c r="AG192" s="4"/>
      <c r="AH192" s="59"/>
      <c r="AJ192" s="25">
        <v>4.4615373810823603E-2</v>
      </c>
      <c r="AK192" s="25">
        <v>303.02710828663902</v>
      </c>
      <c r="AL192" s="11">
        <f t="shared" si="17"/>
        <v>0.40968258114670353</v>
      </c>
      <c r="AN192" s="63">
        <v>318</v>
      </c>
      <c r="AO192" s="11">
        <f t="shared" si="15"/>
        <v>348.15</v>
      </c>
      <c r="AP192" s="65" t="s">
        <v>161</v>
      </c>
      <c r="AQ192" s="66">
        <v>303.02710828663902</v>
      </c>
      <c r="AR192" s="66">
        <v>4.4615373810823603E-2</v>
      </c>
      <c r="AS192" s="11"/>
      <c r="AT192" s="11"/>
      <c r="AU192" s="11"/>
      <c r="BD192" s="19" t="s">
        <v>158</v>
      </c>
      <c r="BE192" s="11" t="s">
        <v>409</v>
      </c>
    </row>
    <row r="193" spans="2:57" x14ac:dyDescent="0.3">
      <c r="B193" s="11" t="s">
        <v>163</v>
      </c>
      <c r="C193" s="4" t="s">
        <v>164</v>
      </c>
      <c r="D193" s="4" t="s">
        <v>257</v>
      </c>
      <c r="E193" s="4"/>
      <c r="F193" s="42" t="s">
        <v>254</v>
      </c>
      <c r="G193" s="4"/>
      <c r="H193" s="4">
        <v>1023.654</v>
      </c>
      <c r="I193" s="36">
        <f t="shared" si="16"/>
        <v>167.14632092484374</v>
      </c>
      <c r="J193" s="4" t="s">
        <v>259</v>
      </c>
      <c r="K193" s="4">
        <v>171.1</v>
      </c>
      <c r="L193" s="4">
        <v>2.4500000000000002</v>
      </c>
      <c r="M193" s="4">
        <f t="shared" si="14"/>
        <v>69.836734693877546</v>
      </c>
      <c r="N193" s="4" t="s">
        <v>253</v>
      </c>
      <c r="O193" s="4"/>
      <c r="P193" s="4" t="s">
        <v>258</v>
      </c>
      <c r="Q193" s="4"/>
      <c r="R193" s="4" t="s">
        <v>396</v>
      </c>
      <c r="S193" s="4" t="s">
        <v>397</v>
      </c>
      <c r="T193" s="4"/>
      <c r="U193" s="4" t="s">
        <v>398</v>
      </c>
      <c r="V193" s="4" t="s">
        <v>399</v>
      </c>
      <c r="W193" s="4" t="s">
        <v>400</v>
      </c>
      <c r="X193" s="4" t="s">
        <v>402</v>
      </c>
      <c r="Y193" s="4" t="s">
        <v>403</v>
      </c>
      <c r="Z193" s="4" t="s">
        <v>404</v>
      </c>
      <c r="AA193" s="4">
        <v>318</v>
      </c>
      <c r="AB193" s="4"/>
      <c r="AC193" s="4" t="s">
        <v>376</v>
      </c>
      <c r="AD193" s="4"/>
      <c r="AE193" s="4">
        <v>7200</v>
      </c>
      <c r="AF193" s="4" t="s">
        <v>405</v>
      </c>
      <c r="AG193" s="4"/>
      <c r="AH193" s="59"/>
      <c r="AJ193" s="25">
        <v>4.1548629315448102E-2</v>
      </c>
      <c r="AK193" s="25">
        <v>308.82463312074202</v>
      </c>
      <c r="AL193" s="11">
        <f t="shared" si="17"/>
        <v>0.39626030487972441</v>
      </c>
      <c r="AN193" s="63">
        <v>318</v>
      </c>
      <c r="AO193" s="11">
        <f t="shared" si="15"/>
        <v>348.15</v>
      </c>
      <c r="AP193" s="65" t="s">
        <v>161</v>
      </c>
      <c r="AQ193" s="66">
        <v>308.82463312074202</v>
      </c>
      <c r="AR193" s="66">
        <v>4.1548629315448102E-2</v>
      </c>
      <c r="AS193" s="11"/>
      <c r="AT193" s="11"/>
      <c r="AU193" s="11"/>
      <c r="BD193" s="19" t="s">
        <v>158</v>
      </c>
      <c r="BE193" s="11" t="s">
        <v>409</v>
      </c>
    </row>
    <row r="194" spans="2:57" x14ac:dyDescent="0.3">
      <c r="B194" s="11" t="s">
        <v>163</v>
      </c>
      <c r="C194" s="4" t="s">
        <v>164</v>
      </c>
      <c r="D194" s="4" t="s">
        <v>257</v>
      </c>
      <c r="E194" s="4"/>
      <c r="F194" s="42" t="s">
        <v>254</v>
      </c>
      <c r="G194" s="4"/>
      <c r="H194" s="4">
        <v>1023.654</v>
      </c>
      <c r="I194" s="36">
        <f t="shared" si="16"/>
        <v>167.14632092484374</v>
      </c>
      <c r="J194" s="4" t="s">
        <v>259</v>
      </c>
      <c r="K194" s="4">
        <v>171.1</v>
      </c>
      <c r="L194" s="4">
        <v>2.4500000000000002</v>
      </c>
      <c r="M194" s="4">
        <f t="shared" si="14"/>
        <v>69.836734693877546</v>
      </c>
      <c r="N194" s="4" t="s">
        <v>253</v>
      </c>
      <c r="O194" s="4"/>
      <c r="P194" s="4" t="s">
        <v>258</v>
      </c>
      <c r="Q194" s="4"/>
      <c r="R194" s="4" t="s">
        <v>396</v>
      </c>
      <c r="S194" s="4" t="s">
        <v>397</v>
      </c>
      <c r="T194" s="4"/>
      <c r="U194" s="4" t="s">
        <v>398</v>
      </c>
      <c r="V194" s="4" t="s">
        <v>399</v>
      </c>
      <c r="W194" s="4" t="s">
        <v>400</v>
      </c>
      <c r="X194" s="4" t="s">
        <v>402</v>
      </c>
      <c r="Y194" s="4" t="s">
        <v>403</v>
      </c>
      <c r="Z194" s="4" t="s">
        <v>404</v>
      </c>
      <c r="AA194" s="4">
        <v>318</v>
      </c>
      <c r="AB194" s="4"/>
      <c r="AC194" s="4" t="s">
        <v>376</v>
      </c>
      <c r="AD194" s="4"/>
      <c r="AE194" s="4">
        <v>7200</v>
      </c>
      <c r="AF194" s="4" t="s">
        <v>405</v>
      </c>
      <c r="AG194" s="4"/>
      <c r="AH194" s="59"/>
      <c r="AJ194" s="25">
        <v>3.8236156174685003E-2</v>
      </c>
      <c r="AK194" s="25">
        <v>314.73307639508499</v>
      </c>
      <c r="AL194" s="11">
        <f t="shared" si="17"/>
        <v>0.37875554571249659</v>
      </c>
      <c r="AN194" s="63">
        <v>318</v>
      </c>
      <c r="AO194" s="11">
        <f t="shared" si="15"/>
        <v>348.15</v>
      </c>
      <c r="AP194" s="65" t="s">
        <v>161</v>
      </c>
      <c r="AQ194" s="66">
        <v>314.73307639508499</v>
      </c>
      <c r="AR194" s="66">
        <v>3.8236156174685003E-2</v>
      </c>
      <c r="AS194" s="11"/>
      <c r="AT194" s="11"/>
      <c r="AU194" s="11"/>
      <c r="BD194" s="19" t="s">
        <v>158</v>
      </c>
      <c r="BE194" s="11" t="s">
        <v>409</v>
      </c>
    </row>
    <row r="195" spans="2:57" x14ac:dyDescent="0.3">
      <c r="B195" s="11" t="s">
        <v>163</v>
      </c>
      <c r="C195" s="4" t="s">
        <v>164</v>
      </c>
      <c r="D195" s="4" t="s">
        <v>257</v>
      </c>
      <c r="E195" s="4"/>
      <c r="F195" s="42" t="s">
        <v>254</v>
      </c>
      <c r="G195" s="4"/>
      <c r="H195" s="4">
        <v>1023.654</v>
      </c>
      <c r="I195" s="36">
        <f t="shared" si="16"/>
        <v>167.14632092484374</v>
      </c>
      <c r="J195" s="4" t="s">
        <v>259</v>
      </c>
      <c r="K195" s="4">
        <v>171.1</v>
      </c>
      <c r="L195" s="4">
        <v>2.4500000000000002</v>
      </c>
      <c r="M195" s="4">
        <f t="shared" si="14"/>
        <v>69.836734693877546</v>
      </c>
      <c r="N195" s="4" t="s">
        <v>253</v>
      </c>
      <c r="O195" s="4"/>
      <c r="P195" s="4" t="s">
        <v>258</v>
      </c>
      <c r="Q195" s="4"/>
      <c r="R195" s="4" t="s">
        <v>396</v>
      </c>
      <c r="S195" s="4" t="s">
        <v>397</v>
      </c>
      <c r="T195" s="4"/>
      <c r="U195" s="4" t="s">
        <v>398</v>
      </c>
      <c r="V195" s="4" t="s">
        <v>399</v>
      </c>
      <c r="W195" s="4" t="s">
        <v>400</v>
      </c>
      <c r="X195" s="4" t="s">
        <v>402</v>
      </c>
      <c r="Y195" s="4" t="s">
        <v>403</v>
      </c>
      <c r="Z195" s="4" t="s">
        <v>404</v>
      </c>
      <c r="AA195" s="4">
        <v>318</v>
      </c>
      <c r="AB195" s="4"/>
      <c r="AC195" s="4" t="s">
        <v>376</v>
      </c>
      <c r="AD195" s="4"/>
      <c r="AE195" s="4">
        <v>7200</v>
      </c>
      <c r="AF195" s="4" t="s">
        <v>405</v>
      </c>
      <c r="AG195" s="4"/>
      <c r="AH195" s="59"/>
      <c r="AJ195" s="25">
        <v>3.60330505479362E-2</v>
      </c>
      <c r="AK195" s="25">
        <v>320.75456020500201</v>
      </c>
      <c r="AL195" s="11">
        <f t="shared" si="17"/>
        <v>0.37072059197713814</v>
      </c>
      <c r="AN195" s="63">
        <v>318</v>
      </c>
      <c r="AO195" s="11">
        <f t="shared" si="15"/>
        <v>348.15</v>
      </c>
      <c r="AP195" s="65" t="s">
        <v>161</v>
      </c>
      <c r="AQ195" s="66">
        <v>320.75456020500201</v>
      </c>
      <c r="AR195" s="66">
        <v>3.60330505479362E-2</v>
      </c>
      <c r="AS195" s="11"/>
      <c r="AT195" s="11"/>
      <c r="AU195" s="11"/>
      <c r="BD195" s="19" t="s">
        <v>158</v>
      </c>
      <c r="BE195" s="11" t="s">
        <v>409</v>
      </c>
    </row>
    <row r="196" spans="2:57" x14ac:dyDescent="0.3">
      <c r="B196" s="11" t="s">
        <v>163</v>
      </c>
      <c r="C196" s="4" t="s">
        <v>164</v>
      </c>
      <c r="D196" s="4" t="s">
        <v>257</v>
      </c>
      <c r="E196" s="4"/>
      <c r="F196" s="42" t="s">
        <v>254</v>
      </c>
      <c r="G196" s="4"/>
      <c r="H196" s="4">
        <v>1023.654</v>
      </c>
      <c r="I196" s="36">
        <f t="shared" si="16"/>
        <v>167.14632092484374</v>
      </c>
      <c r="J196" s="4" t="s">
        <v>259</v>
      </c>
      <c r="K196" s="4">
        <v>171.1</v>
      </c>
      <c r="L196" s="4">
        <v>2.4500000000000002</v>
      </c>
      <c r="M196" s="4">
        <f t="shared" si="14"/>
        <v>69.836734693877546</v>
      </c>
      <c r="N196" s="4" t="s">
        <v>253</v>
      </c>
      <c r="O196" s="4"/>
      <c r="P196" s="4" t="s">
        <v>258</v>
      </c>
      <c r="Q196" s="4"/>
      <c r="R196" s="4" t="s">
        <v>396</v>
      </c>
      <c r="S196" s="4" t="s">
        <v>397</v>
      </c>
      <c r="T196" s="4"/>
      <c r="U196" s="4" t="s">
        <v>398</v>
      </c>
      <c r="V196" s="4" t="s">
        <v>399</v>
      </c>
      <c r="W196" s="4" t="s">
        <v>400</v>
      </c>
      <c r="X196" s="4" t="s">
        <v>402</v>
      </c>
      <c r="Y196" s="4" t="s">
        <v>403</v>
      </c>
      <c r="Z196" s="4" t="s">
        <v>404</v>
      </c>
      <c r="AA196" s="4">
        <v>318</v>
      </c>
      <c r="AB196" s="4"/>
      <c r="AC196" s="4" t="s">
        <v>376</v>
      </c>
      <c r="AD196" s="4"/>
      <c r="AE196" s="4">
        <v>7200</v>
      </c>
      <c r="AF196" s="4" t="s">
        <v>405</v>
      </c>
      <c r="AG196" s="4"/>
      <c r="AH196" s="59"/>
      <c r="AJ196" s="25">
        <v>3.3556232581823699E-2</v>
      </c>
      <c r="AK196" s="25">
        <v>323.80836654601501</v>
      </c>
      <c r="AL196" s="11">
        <f t="shared" si="17"/>
        <v>0.35184333419122865</v>
      </c>
      <c r="AN196" s="63">
        <v>318</v>
      </c>
      <c r="AO196" s="11">
        <f t="shared" si="15"/>
        <v>348.15</v>
      </c>
      <c r="AP196" s="65" t="s">
        <v>161</v>
      </c>
      <c r="AQ196" s="66">
        <v>323.80836654601501</v>
      </c>
      <c r="AR196" s="66">
        <v>3.3556232581823699E-2</v>
      </c>
      <c r="AS196" s="11"/>
      <c r="AT196" s="11"/>
      <c r="AU196" s="11"/>
      <c r="BD196" s="19" t="s">
        <v>158</v>
      </c>
      <c r="BE196" s="11" t="s">
        <v>409</v>
      </c>
    </row>
    <row r="197" spans="2:57" x14ac:dyDescent="0.3">
      <c r="B197" s="11" t="s">
        <v>163</v>
      </c>
      <c r="C197" s="4" t="s">
        <v>164</v>
      </c>
      <c r="D197" s="4" t="s">
        <v>257</v>
      </c>
      <c r="E197" s="4"/>
      <c r="F197" s="42" t="s">
        <v>254</v>
      </c>
      <c r="G197" s="4"/>
      <c r="H197" s="4">
        <v>1023.654</v>
      </c>
      <c r="I197" s="36">
        <f t="shared" si="16"/>
        <v>167.14632092484374</v>
      </c>
      <c r="J197" s="4" t="s">
        <v>259</v>
      </c>
      <c r="K197" s="4">
        <v>171.1</v>
      </c>
      <c r="L197" s="4">
        <v>2.4500000000000002</v>
      </c>
      <c r="M197" s="4">
        <f t="shared" si="14"/>
        <v>69.836734693877546</v>
      </c>
      <c r="N197" s="4" t="s">
        <v>253</v>
      </c>
      <c r="O197" s="4"/>
      <c r="P197" s="4" t="s">
        <v>258</v>
      </c>
      <c r="Q197" s="4"/>
      <c r="R197" s="4" t="s">
        <v>396</v>
      </c>
      <c r="S197" s="4" t="s">
        <v>397</v>
      </c>
      <c r="T197" s="4"/>
      <c r="U197" s="4" t="s">
        <v>398</v>
      </c>
      <c r="V197" s="4" t="s">
        <v>399</v>
      </c>
      <c r="W197" s="4" t="s">
        <v>400</v>
      </c>
      <c r="X197" s="4" t="s">
        <v>402</v>
      </c>
      <c r="Y197" s="4" t="s">
        <v>403</v>
      </c>
      <c r="Z197" s="4" t="s">
        <v>404</v>
      </c>
      <c r="AA197" s="4">
        <v>318</v>
      </c>
      <c r="AB197" s="4"/>
      <c r="AC197" s="4" t="s">
        <v>376</v>
      </c>
      <c r="AD197" s="4"/>
      <c r="AE197" s="4">
        <v>7200</v>
      </c>
      <c r="AF197" s="4" t="s">
        <v>405</v>
      </c>
      <c r="AG197" s="4"/>
      <c r="AH197" s="59"/>
      <c r="AJ197" s="25">
        <v>3.088095493816E-2</v>
      </c>
      <c r="AK197" s="25">
        <v>330.003479112528</v>
      </c>
      <c r="AL197" s="11">
        <f t="shared" si="17"/>
        <v>0.33630069024287673</v>
      </c>
      <c r="AN197" s="63">
        <v>318</v>
      </c>
      <c r="AO197" s="11">
        <f t="shared" si="15"/>
        <v>348.15</v>
      </c>
      <c r="AP197" s="65" t="s">
        <v>161</v>
      </c>
      <c r="AQ197" s="66">
        <v>330.003479112528</v>
      </c>
      <c r="AR197" s="66">
        <v>3.088095493816E-2</v>
      </c>
      <c r="AS197" s="11"/>
      <c r="AT197" s="11"/>
      <c r="AU197" s="11"/>
      <c r="BD197" s="19" t="s">
        <v>158</v>
      </c>
      <c r="BE197" s="11" t="s">
        <v>409</v>
      </c>
    </row>
    <row r="198" spans="2:57" x14ac:dyDescent="0.3">
      <c r="B198" s="11" t="s">
        <v>163</v>
      </c>
      <c r="C198" s="4" t="s">
        <v>164</v>
      </c>
      <c r="D198" s="4" t="s">
        <v>257</v>
      </c>
      <c r="E198" s="4"/>
      <c r="F198" s="42" t="s">
        <v>254</v>
      </c>
      <c r="G198" s="4"/>
      <c r="H198" s="4">
        <v>1023.654</v>
      </c>
      <c r="I198" s="36">
        <f t="shared" si="16"/>
        <v>167.14632092484374</v>
      </c>
      <c r="J198" s="4" t="s">
        <v>259</v>
      </c>
      <c r="K198" s="4">
        <v>171.1</v>
      </c>
      <c r="L198" s="4">
        <v>2.4500000000000002</v>
      </c>
      <c r="M198" s="4">
        <f t="shared" si="14"/>
        <v>69.836734693877546</v>
      </c>
      <c r="N198" s="4" t="s">
        <v>253</v>
      </c>
      <c r="O198" s="4"/>
      <c r="P198" s="4" t="s">
        <v>258</v>
      </c>
      <c r="Q198" s="4"/>
      <c r="R198" s="4" t="s">
        <v>396</v>
      </c>
      <c r="S198" s="4" t="s">
        <v>397</v>
      </c>
      <c r="T198" s="4"/>
      <c r="U198" s="4" t="s">
        <v>398</v>
      </c>
      <c r="V198" s="4" t="s">
        <v>399</v>
      </c>
      <c r="W198" s="4" t="s">
        <v>400</v>
      </c>
      <c r="X198" s="4" t="s">
        <v>402</v>
      </c>
      <c r="Y198" s="4" t="s">
        <v>403</v>
      </c>
      <c r="Z198" s="4" t="s">
        <v>404</v>
      </c>
      <c r="AA198" s="4">
        <v>318</v>
      </c>
      <c r="AB198" s="4"/>
      <c r="AC198" s="4" t="s">
        <v>376</v>
      </c>
      <c r="AD198" s="4"/>
      <c r="AE198" s="4">
        <v>7200</v>
      </c>
      <c r="AF198" s="4" t="s">
        <v>405</v>
      </c>
      <c r="AG198" s="4"/>
      <c r="AH198" s="59"/>
      <c r="AJ198" s="25">
        <v>2.80836536446618E-2</v>
      </c>
      <c r="AK198" s="25">
        <v>333.14534158963801</v>
      </c>
      <c r="AL198" s="11">
        <f t="shared" si="17"/>
        <v>0.31168872896741218</v>
      </c>
      <c r="AN198" s="63">
        <v>318</v>
      </c>
      <c r="AO198" s="11">
        <f t="shared" si="15"/>
        <v>348.15</v>
      </c>
      <c r="AP198" s="65" t="s">
        <v>161</v>
      </c>
      <c r="AQ198" s="66">
        <v>333.14534158963801</v>
      </c>
      <c r="AR198" s="66">
        <v>2.80836536446618E-2</v>
      </c>
      <c r="AS198" s="11"/>
      <c r="AT198" s="11"/>
      <c r="AU198" s="11"/>
      <c r="BD198" s="19" t="s">
        <v>158</v>
      </c>
      <c r="BE198" s="11" t="s">
        <v>409</v>
      </c>
    </row>
    <row r="199" spans="2:57" x14ac:dyDescent="0.3">
      <c r="B199" s="11" t="s">
        <v>163</v>
      </c>
      <c r="C199" s="4" t="s">
        <v>164</v>
      </c>
      <c r="D199" s="4" t="s">
        <v>257</v>
      </c>
      <c r="E199" s="4"/>
      <c r="F199" s="42" t="s">
        <v>254</v>
      </c>
      <c r="G199" s="4"/>
      <c r="H199" s="4">
        <v>1023.654</v>
      </c>
      <c r="I199" s="36">
        <f t="shared" si="16"/>
        <v>167.14632092484374</v>
      </c>
      <c r="J199" s="4" t="s">
        <v>259</v>
      </c>
      <c r="K199" s="4">
        <v>171.1</v>
      </c>
      <c r="L199" s="4">
        <v>2.4500000000000002</v>
      </c>
      <c r="M199" s="4">
        <f t="shared" si="14"/>
        <v>69.836734693877546</v>
      </c>
      <c r="N199" s="4" t="s">
        <v>253</v>
      </c>
      <c r="O199" s="4"/>
      <c r="P199" s="4" t="s">
        <v>258</v>
      </c>
      <c r="Q199" s="4"/>
      <c r="R199" s="4" t="s">
        <v>396</v>
      </c>
      <c r="S199" s="4" t="s">
        <v>397</v>
      </c>
      <c r="T199" s="4"/>
      <c r="U199" s="4" t="s">
        <v>398</v>
      </c>
      <c r="V199" s="4" t="s">
        <v>399</v>
      </c>
      <c r="W199" s="4" t="s">
        <v>400</v>
      </c>
      <c r="X199" s="4" t="s">
        <v>402</v>
      </c>
      <c r="Y199" s="4" t="s">
        <v>403</v>
      </c>
      <c r="Z199" s="4" t="s">
        <v>404</v>
      </c>
      <c r="AA199" s="4">
        <v>318</v>
      </c>
      <c r="AB199" s="4"/>
      <c r="AC199" s="4" t="s">
        <v>376</v>
      </c>
      <c r="AD199" s="4"/>
      <c r="AE199" s="4">
        <v>7200</v>
      </c>
      <c r="AF199" s="4" t="s">
        <v>405</v>
      </c>
      <c r="AG199" s="4"/>
      <c r="AH199" s="59"/>
      <c r="AJ199" s="25">
        <v>2.58446784985468E-2</v>
      </c>
      <c r="AK199" s="25">
        <v>339.51908947692101</v>
      </c>
      <c r="AL199" s="11">
        <f t="shared" si="17"/>
        <v>0.29791991067164819</v>
      </c>
      <c r="AN199" s="63">
        <v>318</v>
      </c>
      <c r="AO199" s="11">
        <f t="shared" si="15"/>
        <v>348.15</v>
      </c>
      <c r="AP199" s="65" t="s">
        <v>161</v>
      </c>
      <c r="AQ199" s="66">
        <v>339.51908947692101</v>
      </c>
      <c r="AR199" s="66">
        <v>2.58446784985468E-2</v>
      </c>
      <c r="AS199" s="11"/>
      <c r="AT199" s="11"/>
      <c r="AU199" s="11"/>
      <c r="BD199" s="19" t="s">
        <v>158</v>
      </c>
      <c r="BE199" s="11" t="s">
        <v>409</v>
      </c>
    </row>
    <row r="200" spans="2:57" x14ac:dyDescent="0.3">
      <c r="B200" s="11" t="s">
        <v>163</v>
      </c>
      <c r="C200" s="4" t="s">
        <v>164</v>
      </c>
      <c r="D200" s="4" t="s">
        <v>257</v>
      </c>
      <c r="E200" s="4"/>
      <c r="F200" s="42" t="s">
        <v>254</v>
      </c>
      <c r="G200" s="4"/>
      <c r="H200" s="4">
        <v>1023.654</v>
      </c>
      <c r="I200" s="36">
        <f t="shared" si="16"/>
        <v>167.14632092484374</v>
      </c>
      <c r="J200" s="4" t="s">
        <v>259</v>
      </c>
      <c r="K200" s="4">
        <v>171.1</v>
      </c>
      <c r="L200" s="4">
        <v>2.4500000000000002</v>
      </c>
      <c r="M200" s="4">
        <f t="shared" si="14"/>
        <v>69.836734693877546</v>
      </c>
      <c r="N200" s="4" t="s">
        <v>253</v>
      </c>
      <c r="O200" s="4"/>
      <c r="P200" s="4" t="s">
        <v>258</v>
      </c>
      <c r="Q200" s="4"/>
      <c r="R200" s="4" t="s">
        <v>396</v>
      </c>
      <c r="S200" s="4" t="s">
        <v>397</v>
      </c>
      <c r="T200" s="4"/>
      <c r="U200" s="4" t="s">
        <v>398</v>
      </c>
      <c r="V200" s="4" t="s">
        <v>399</v>
      </c>
      <c r="W200" s="4" t="s">
        <v>400</v>
      </c>
      <c r="X200" s="4" t="s">
        <v>402</v>
      </c>
      <c r="Y200" s="4" t="s">
        <v>403</v>
      </c>
      <c r="Z200" s="4" t="s">
        <v>404</v>
      </c>
      <c r="AA200" s="4">
        <v>318</v>
      </c>
      <c r="AB200" s="4"/>
      <c r="AC200" s="4" t="s">
        <v>376</v>
      </c>
      <c r="AD200" s="4"/>
      <c r="AE200" s="4">
        <v>7200</v>
      </c>
      <c r="AF200" s="4" t="s">
        <v>405</v>
      </c>
      <c r="AG200" s="4"/>
      <c r="AH200" s="59"/>
      <c r="AJ200" s="25">
        <v>2.4355549822496401E-2</v>
      </c>
      <c r="AK200" s="25">
        <v>349.30908131405101</v>
      </c>
      <c r="AL200" s="11">
        <f t="shared" si="17"/>
        <v>0.29717870866960283</v>
      </c>
      <c r="AN200" s="63">
        <v>318</v>
      </c>
      <c r="AO200" s="11">
        <f t="shared" si="15"/>
        <v>348.15</v>
      </c>
      <c r="AP200" s="65" t="s">
        <v>161</v>
      </c>
      <c r="AQ200" s="66">
        <v>349.30908131405101</v>
      </c>
      <c r="AR200" s="66">
        <v>2.4355549822496401E-2</v>
      </c>
      <c r="AS200" s="11"/>
      <c r="AT200" s="11"/>
      <c r="AU200" s="11"/>
      <c r="BD200" s="19" t="s">
        <v>158</v>
      </c>
      <c r="BE200" s="11" t="s">
        <v>409</v>
      </c>
    </row>
    <row r="201" spans="2:57" x14ac:dyDescent="0.3">
      <c r="B201" s="11" t="s">
        <v>163</v>
      </c>
      <c r="C201" s="4" t="s">
        <v>164</v>
      </c>
      <c r="D201" s="4" t="s">
        <v>257</v>
      </c>
      <c r="E201" s="4"/>
      <c r="F201" s="42" t="s">
        <v>254</v>
      </c>
      <c r="G201" s="4"/>
      <c r="H201" s="4">
        <v>1023.654</v>
      </c>
      <c r="I201" s="36">
        <f t="shared" si="16"/>
        <v>167.14632092484374</v>
      </c>
      <c r="J201" s="4" t="s">
        <v>259</v>
      </c>
      <c r="K201" s="4">
        <v>171.1</v>
      </c>
      <c r="L201" s="4">
        <v>2.4500000000000002</v>
      </c>
      <c r="M201" s="4">
        <f t="shared" si="14"/>
        <v>69.836734693877546</v>
      </c>
      <c r="N201" s="4" t="s">
        <v>253</v>
      </c>
      <c r="O201" s="4"/>
      <c r="P201" s="4" t="s">
        <v>258</v>
      </c>
      <c r="Q201" s="4"/>
      <c r="R201" s="4" t="s">
        <v>396</v>
      </c>
      <c r="S201" s="4" t="s">
        <v>397</v>
      </c>
      <c r="T201" s="4"/>
      <c r="U201" s="4" t="s">
        <v>398</v>
      </c>
      <c r="V201" s="4" t="s">
        <v>399</v>
      </c>
      <c r="W201" s="4" t="s">
        <v>400</v>
      </c>
      <c r="X201" s="4" t="s">
        <v>402</v>
      </c>
      <c r="Y201" s="4" t="s">
        <v>403</v>
      </c>
      <c r="Z201" s="4" t="s">
        <v>404</v>
      </c>
      <c r="AA201" s="4">
        <v>318</v>
      </c>
      <c r="AB201" s="4"/>
      <c r="AC201" s="4" t="s">
        <v>376</v>
      </c>
      <c r="AD201" s="4"/>
      <c r="AE201" s="4">
        <v>7200</v>
      </c>
      <c r="AF201" s="4" t="s">
        <v>405</v>
      </c>
      <c r="AG201" s="4"/>
      <c r="AH201" s="59"/>
      <c r="AJ201" s="25">
        <v>2.26814128161207E-2</v>
      </c>
      <c r="AK201" s="25">
        <v>355.99207441373198</v>
      </c>
      <c r="AL201" s="11">
        <f t="shared" si="17"/>
        <v>0.28744235444809085</v>
      </c>
      <c r="AN201" s="63">
        <v>318</v>
      </c>
      <c r="AO201" s="11">
        <f t="shared" si="15"/>
        <v>348.15</v>
      </c>
      <c r="AP201" s="65" t="s">
        <v>161</v>
      </c>
      <c r="AQ201" s="66">
        <v>355.99207441373198</v>
      </c>
      <c r="AR201" s="66">
        <v>2.26814128161207E-2</v>
      </c>
      <c r="AS201" s="11"/>
      <c r="AT201" s="11"/>
      <c r="AU201" s="11"/>
      <c r="BD201" s="19" t="s">
        <v>158</v>
      </c>
      <c r="BE201" s="11" t="s">
        <v>409</v>
      </c>
    </row>
    <row r="202" spans="2:57" x14ac:dyDescent="0.3">
      <c r="B202" s="11" t="s">
        <v>163</v>
      </c>
      <c r="C202" s="4" t="s">
        <v>164</v>
      </c>
      <c r="D202" s="4" t="s">
        <v>257</v>
      </c>
      <c r="E202" s="4"/>
      <c r="F202" s="42" t="s">
        <v>254</v>
      </c>
      <c r="G202" s="4"/>
      <c r="H202" s="4">
        <v>1023.654</v>
      </c>
      <c r="I202" s="36">
        <f t="shared" si="16"/>
        <v>167.14632092484374</v>
      </c>
      <c r="J202" s="4" t="s">
        <v>259</v>
      </c>
      <c r="K202" s="4">
        <v>171.1</v>
      </c>
      <c r="L202" s="4">
        <v>2.4500000000000002</v>
      </c>
      <c r="M202" s="4">
        <f t="shared" si="14"/>
        <v>69.836734693877546</v>
      </c>
      <c r="N202" s="4" t="s">
        <v>253</v>
      </c>
      <c r="O202" s="4"/>
      <c r="P202" s="4" t="s">
        <v>258</v>
      </c>
      <c r="Q202" s="4"/>
      <c r="R202" s="4" t="s">
        <v>396</v>
      </c>
      <c r="S202" s="4" t="s">
        <v>397</v>
      </c>
      <c r="T202" s="4"/>
      <c r="U202" s="4" t="s">
        <v>398</v>
      </c>
      <c r="V202" s="4" t="s">
        <v>399</v>
      </c>
      <c r="W202" s="4" t="s">
        <v>400</v>
      </c>
      <c r="X202" s="4" t="s">
        <v>402</v>
      </c>
      <c r="Y202" s="4" t="s">
        <v>403</v>
      </c>
      <c r="Z202" s="4" t="s">
        <v>404</v>
      </c>
      <c r="AA202" s="4">
        <v>318</v>
      </c>
      <c r="AB202" s="4"/>
      <c r="AC202" s="4" t="s">
        <v>376</v>
      </c>
      <c r="AD202" s="4"/>
      <c r="AE202" s="4">
        <v>7200</v>
      </c>
      <c r="AF202" s="4" t="s">
        <v>405</v>
      </c>
      <c r="AG202" s="4"/>
      <c r="AH202" s="59"/>
      <c r="AJ202" s="25">
        <v>2.13745464049282E-2</v>
      </c>
      <c r="AK202" s="25">
        <v>366.25706277701499</v>
      </c>
      <c r="AL202" s="11">
        <f t="shared" si="17"/>
        <v>0.28672721980633642</v>
      </c>
      <c r="AN202" s="63">
        <v>318</v>
      </c>
      <c r="AO202" s="11">
        <f t="shared" si="15"/>
        <v>348.15</v>
      </c>
      <c r="AP202" s="65" t="s">
        <v>161</v>
      </c>
      <c r="AQ202" s="66">
        <v>366.25706277701499</v>
      </c>
      <c r="AR202" s="66">
        <v>2.13745464049282E-2</v>
      </c>
      <c r="AS202" s="11"/>
      <c r="AT202" s="11"/>
      <c r="AU202" s="11"/>
      <c r="BD202" s="19" t="s">
        <v>158</v>
      </c>
      <c r="BE202" s="11" t="s">
        <v>409</v>
      </c>
    </row>
    <row r="203" spans="2:57" x14ac:dyDescent="0.3">
      <c r="B203" s="11" t="s">
        <v>163</v>
      </c>
      <c r="C203" s="4" t="s">
        <v>164</v>
      </c>
      <c r="D203" s="4" t="s">
        <v>257</v>
      </c>
      <c r="E203" s="4"/>
      <c r="F203" s="42" t="s">
        <v>254</v>
      </c>
      <c r="G203" s="4"/>
      <c r="H203" s="4">
        <v>1023.654</v>
      </c>
      <c r="I203" s="36">
        <f t="shared" si="16"/>
        <v>167.14632092484374</v>
      </c>
      <c r="J203" s="4" t="s">
        <v>259</v>
      </c>
      <c r="K203" s="4">
        <v>171.1</v>
      </c>
      <c r="L203" s="4">
        <v>2.4500000000000002</v>
      </c>
      <c r="M203" s="4">
        <f t="shared" si="14"/>
        <v>69.836734693877546</v>
      </c>
      <c r="N203" s="4" t="s">
        <v>253</v>
      </c>
      <c r="O203" s="4"/>
      <c r="P203" s="4" t="s">
        <v>258</v>
      </c>
      <c r="Q203" s="4"/>
      <c r="R203" s="4" t="s">
        <v>396</v>
      </c>
      <c r="S203" s="4" t="s">
        <v>397</v>
      </c>
      <c r="T203" s="4"/>
      <c r="U203" s="4" t="s">
        <v>398</v>
      </c>
      <c r="V203" s="4" t="s">
        <v>399</v>
      </c>
      <c r="W203" s="4" t="s">
        <v>400</v>
      </c>
      <c r="X203" s="4" t="s">
        <v>402</v>
      </c>
      <c r="Y203" s="4" t="s">
        <v>403</v>
      </c>
      <c r="Z203" s="4" t="s">
        <v>404</v>
      </c>
      <c r="AA203" s="4">
        <v>318</v>
      </c>
      <c r="AB203" s="4"/>
      <c r="AC203" s="4" t="s">
        <v>376</v>
      </c>
      <c r="AD203" s="4"/>
      <c r="AE203" s="4">
        <v>7200</v>
      </c>
      <c r="AF203" s="4" t="s">
        <v>405</v>
      </c>
      <c r="AG203" s="4"/>
      <c r="AH203" s="59"/>
      <c r="AJ203" s="25">
        <v>1.9905315802795202E-2</v>
      </c>
      <c r="AK203" s="25">
        <v>366.25706277701499</v>
      </c>
      <c r="AL203" s="11">
        <f t="shared" si="17"/>
        <v>0.26701833813823916</v>
      </c>
      <c r="AN203" s="63">
        <v>318</v>
      </c>
      <c r="AO203" s="11">
        <f t="shared" si="15"/>
        <v>348.15</v>
      </c>
      <c r="AP203" s="65" t="s">
        <v>161</v>
      </c>
      <c r="AQ203" s="66">
        <v>366.25706277701499</v>
      </c>
      <c r="AR203" s="66">
        <v>1.9905315802795202E-2</v>
      </c>
      <c r="AS203" s="11"/>
      <c r="AT203" s="11"/>
      <c r="AU203" s="11"/>
      <c r="BD203" s="19" t="s">
        <v>158</v>
      </c>
      <c r="BE203" s="11" t="s">
        <v>409</v>
      </c>
    </row>
    <row r="204" spans="2:57" x14ac:dyDescent="0.3">
      <c r="B204" s="11" t="s">
        <v>163</v>
      </c>
      <c r="C204" s="4" t="s">
        <v>164</v>
      </c>
      <c r="D204" s="4" t="s">
        <v>257</v>
      </c>
      <c r="E204" s="4"/>
      <c r="F204" s="42" t="s">
        <v>254</v>
      </c>
      <c r="G204" s="4"/>
      <c r="H204" s="4">
        <v>1023.654</v>
      </c>
      <c r="I204" s="36">
        <f t="shared" si="16"/>
        <v>167.14632092484374</v>
      </c>
      <c r="J204" s="4" t="s">
        <v>259</v>
      </c>
      <c r="K204" s="4">
        <v>171.1</v>
      </c>
      <c r="L204" s="4">
        <v>2.4500000000000002</v>
      </c>
      <c r="M204" s="4">
        <f t="shared" si="14"/>
        <v>69.836734693877546</v>
      </c>
      <c r="N204" s="4" t="s">
        <v>253</v>
      </c>
      <c r="O204" s="4"/>
      <c r="P204" s="4" t="s">
        <v>258</v>
      </c>
      <c r="Q204" s="4"/>
      <c r="R204" s="4" t="s">
        <v>396</v>
      </c>
      <c r="S204" s="4" t="s">
        <v>397</v>
      </c>
      <c r="T204" s="4"/>
      <c r="U204" s="4" t="s">
        <v>398</v>
      </c>
      <c r="V204" s="4" t="s">
        <v>399</v>
      </c>
      <c r="W204" s="4" t="s">
        <v>400</v>
      </c>
      <c r="X204" s="4" t="s">
        <v>402</v>
      </c>
      <c r="Y204" s="4" t="s">
        <v>403</v>
      </c>
      <c r="Z204" s="4" t="s">
        <v>404</v>
      </c>
      <c r="AA204" s="4">
        <v>318</v>
      </c>
      <c r="AB204" s="4"/>
      <c r="AC204" s="4" t="s">
        <v>376</v>
      </c>
      <c r="AD204" s="4"/>
      <c r="AE204" s="4">
        <v>7200</v>
      </c>
      <c r="AF204" s="4" t="s">
        <v>405</v>
      </c>
      <c r="AG204" s="4"/>
      <c r="AH204" s="59"/>
      <c r="AJ204" s="25">
        <v>1.85370762823606E-2</v>
      </c>
      <c r="AK204" s="25">
        <v>376.81804083690099</v>
      </c>
      <c r="AL204" s="11">
        <f t="shared" si="17"/>
        <v>0.26321134935537016</v>
      </c>
      <c r="AN204" s="63">
        <v>318</v>
      </c>
      <c r="AO204" s="11">
        <f t="shared" si="15"/>
        <v>348.15</v>
      </c>
      <c r="AP204" s="65" t="s">
        <v>161</v>
      </c>
      <c r="AQ204" s="66">
        <v>376.81804083690099</v>
      </c>
      <c r="AR204" s="66">
        <v>1.85370762823606E-2</v>
      </c>
      <c r="AS204" s="11"/>
      <c r="AT204" s="11"/>
      <c r="AU204" s="11"/>
      <c r="BD204" s="19" t="s">
        <v>158</v>
      </c>
      <c r="BE204" s="11" t="s">
        <v>409</v>
      </c>
    </row>
    <row r="205" spans="2:57" x14ac:dyDescent="0.3">
      <c r="B205" s="11" t="s">
        <v>163</v>
      </c>
      <c r="C205" s="4" t="s">
        <v>164</v>
      </c>
      <c r="D205" s="4" t="s">
        <v>257</v>
      </c>
      <c r="E205" s="4"/>
      <c r="F205" s="42" t="s">
        <v>254</v>
      </c>
      <c r="G205" s="4"/>
      <c r="H205" s="4">
        <v>1023.654</v>
      </c>
      <c r="I205" s="36">
        <f t="shared" si="16"/>
        <v>167.14632092484374</v>
      </c>
      <c r="J205" s="4" t="s">
        <v>259</v>
      </c>
      <c r="K205" s="4">
        <v>171.1</v>
      </c>
      <c r="L205" s="4">
        <v>2.4500000000000002</v>
      </c>
      <c r="M205" s="4">
        <f t="shared" si="14"/>
        <v>69.836734693877546</v>
      </c>
      <c r="N205" s="4" t="s">
        <v>253</v>
      </c>
      <c r="O205" s="4"/>
      <c r="P205" s="4" t="s">
        <v>258</v>
      </c>
      <c r="Q205" s="4"/>
      <c r="R205" s="4" t="s">
        <v>396</v>
      </c>
      <c r="S205" s="4" t="s">
        <v>397</v>
      </c>
      <c r="T205" s="4"/>
      <c r="U205" s="4" t="s">
        <v>398</v>
      </c>
      <c r="V205" s="4" t="s">
        <v>399</v>
      </c>
      <c r="W205" s="4" t="s">
        <v>400</v>
      </c>
      <c r="X205" s="4" t="s">
        <v>402</v>
      </c>
      <c r="Y205" s="4" t="s">
        <v>403</v>
      </c>
      <c r="Z205" s="4" t="s">
        <v>404</v>
      </c>
      <c r="AA205" s="4">
        <v>318</v>
      </c>
      <c r="AB205" s="4"/>
      <c r="AC205" s="4" t="s">
        <v>376</v>
      </c>
      <c r="AD205" s="4"/>
      <c r="AE205" s="4">
        <v>7200</v>
      </c>
      <c r="AF205" s="4" t="s">
        <v>405</v>
      </c>
      <c r="AG205" s="4"/>
      <c r="AH205" s="59"/>
      <c r="AJ205" s="25">
        <v>1.7468999855573202E-2</v>
      </c>
      <c r="AK205" s="25">
        <v>380.40561047825003</v>
      </c>
      <c r="AL205" s="11">
        <f t="shared" si="17"/>
        <v>0.25279115162755184</v>
      </c>
      <c r="AN205" s="63">
        <v>318</v>
      </c>
      <c r="AO205" s="11">
        <f t="shared" si="15"/>
        <v>348.15</v>
      </c>
      <c r="AP205" s="65" t="s">
        <v>161</v>
      </c>
      <c r="AQ205" s="66">
        <v>380.40561047825003</v>
      </c>
      <c r="AR205" s="66">
        <v>1.7468999855573202E-2</v>
      </c>
      <c r="AS205" s="11"/>
      <c r="AT205" s="11"/>
      <c r="AU205" s="11"/>
      <c r="BD205" s="19" t="s">
        <v>158</v>
      </c>
      <c r="BE205" s="11" t="s">
        <v>409</v>
      </c>
    </row>
    <row r="206" spans="2:57" x14ac:dyDescent="0.3">
      <c r="B206" s="11" t="s">
        <v>163</v>
      </c>
      <c r="C206" s="4" t="s">
        <v>164</v>
      </c>
      <c r="D206" s="4" t="s">
        <v>257</v>
      </c>
      <c r="E206" s="4"/>
      <c r="F206" s="42" t="s">
        <v>254</v>
      </c>
      <c r="G206" s="4"/>
      <c r="H206" s="4">
        <v>1023.654</v>
      </c>
      <c r="I206" s="36">
        <f t="shared" si="16"/>
        <v>167.14632092484374</v>
      </c>
      <c r="J206" s="4" t="s">
        <v>259</v>
      </c>
      <c r="K206" s="4">
        <v>171.1</v>
      </c>
      <c r="L206" s="4">
        <v>2.4500000000000002</v>
      </c>
      <c r="M206" s="4">
        <f t="shared" si="14"/>
        <v>69.836734693877546</v>
      </c>
      <c r="N206" s="4" t="s">
        <v>253</v>
      </c>
      <c r="O206" s="4"/>
      <c r="P206" s="4" t="s">
        <v>258</v>
      </c>
      <c r="Q206" s="4"/>
      <c r="R206" s="4" t="s">
        <v>396</v>
      </c>
      <c r="S206" s="4" t="s">
        <v>397</v>
      </c>
      <c r="T206" s="4"/>
      <c r="U206" s="4" t="s">
        <v>398</v>
      </c>
      <c r="V206" s="4" t="s">
        <v>399</v>
      </c>
      <c r="W206" s="4" t="s">
        <v>400</v>
      </c>
      <c r="X206" s="4" t="s">
        <v>402</v>
      </c>
      <c r="Y206" s="4" t="s">
        <v>403</v>
      </c>
      <c r="Z206" s="4" t="s">
        <v>404</v>
      </c>
      <c r="AA206" s="4">
        <v>318</v>
      </c>
      <c r="AB206" s="4"/>
      <c r="AC206" s="4" t="s">
        <v>376</v>
      </c>
      <c r="AD206" s="4"/>
      <c r="AE206" s="4">
        <v>7200</v>
      </c>
      <c r="AF206" s="4" t="s">
        <v>405</v>
      </c>
      <c r="AG206" s="4"/>
      <c r="AH206" s="59"/>
      <c r="AJ206" s="25">
        <v>1.6462464269211899E-2</v>
      </c>
      <c r="AK206" s="25">
        <v>384.02733627598502</v>
      </c>
      <c r="AL206" s="11">
        <f t="shared" si="17"/>
        <v>0.24278347608372405</v>
      </c>
      <c r="AN206" s="63">
        <v>318</v>
      </c>
      <c r="AO206" s="11">
        <f t="shared" si="15"/>
        <v>348.15</v>
      </c>
      <c r="AP206" s="65" t="s">
        <v>161</v>
      </c>
      <c r="AQ206" s="66">
        <v>384.02733627598502</v>
      </c>
      <c r="AR206" s="66">
        <v>1.6462464269211899E-2</v>
      </c>
      <c r="AS206" s="11"/>
      <c r="AT206" s="11"/>
      <c r="AU206" s="11"/>
      <c r="BD206" s="19" t="s">
        <v>158</v>
      </c>
      <c r="BE206" s="11" t="s">
        <v>409</v>
      </c>
    </row>
    <row r="207" spans="2:57" x14ac:dyDescent="0.3">
      <c r="B207" s="11" t="s">
        <v>163</v>
      </c>
      <c r="C207" s="4" t="s">
        <v>164</v>
      </c>
      <c r="D207" s="4" t="s">
        <v>257</v>
      </c>
      <c r="E207" s="4"/>
      <c r="F207" s="42" t="s">
        <v>254</v>
      </c>
      <c r="G207" s="4"/>
      <c r="H207" s="4">
        <v>1023.654</v>
      </c>
      <c r="I207" s="36">
        <f t="shared" si="16"/>
        <v>167.14632092484374</v>
      </c>
      <c r="J207" s="4" t="s">
        <v>259</v>
      </c>
      <c r="K207" s="4">
        <v>171.1</v>
      </c>
      <c r="L207" s="4">
        <v>2.4500000000000002</v>
      </c>
      <c r="M207" s="4">
        <f t="shared" si="14"/>
        <v>69.836734693877546</v>
      </c>
      <c r="N207" s="4" t="s">
        <v>253</v>
      </c>
      <c r="O207" s="4"/>
      <c r="P207" s="4" t="s">
        <v>258</v>
      </c>
      <c r="Q207" s="4"/>
      <c r="R207" s="4" t="s">
        <v>396</v>
      </c>
      <c r="S207" s="4" t="s">
        <v>397</v>
      </c>
      <c r="T207" s="4"/>
      <c r="U207" s="4" t="s">
        <v>398</v>
      </c>
      <c r="V207" s="4" t="s">
        <v>399</v>
      </c>
      <c r="W207" s="4" t="s">
        <v>400</v>
      </c>
      <c r="X207" s="4" t="s">
        <v>402</v>
      </c>
      <c r="Y207" s="4" t="s">
        <v>403</v>
      </c>
      <c r="Z207" s="4" t="s">
        <v>404</v>
      </c>
      <c r="AA207" s="4">
        <v>318</v>
      </c>
      <c r="AB207" s="4"/>
      <c r="AC207" s="4" t="s">
        <v>376</v>
      </c>
      <c r="AD207" s="4"/>
      <c r="AE207" s="4">
        <v>7200</v>
      </c>
      <c r="AF207" s="4" t="s">
        <v>405</v>
      </c>
      <c r="AG207" s="4"/>
      <c r="AH207" s="59"/>
      <c r="AJ207" s="25">
        <v>1.5699155409485899E-2</v>
      </c>
      <c r="AK207" s="25">
        <v>387.683543420452</v>
      </c>
      <c r="AL207" s="11">
        <f t="shared" si="17"/>
        <v>0.23595599777603032</v>
      </c>
      <c r="AN207" s="63">
        <v>318</v>
      </c>
      <c r="AO207" s="11">
        <f t="shared" si="15"/>
        <v>348.15</v>
      </c>
      <c r="AP207" s="65" t="s">
        <v>161</v>
      </c>
      <c r="AQ207" s="66">
        <v>387.683543420452</v>
      </c>
      <c r="AR207" s="66">
        <v>1.5699155409485899E-2</v>
      </c>
      <c r="AS207" s="11"/>
      <c r="AT207" s="11"/>
      <c r="AU207" s="11"/>
      <c r="BD207" s="19" t="s">
        <v>158</v>
      </c>
      <c r="BE207" s="11" t="s">
        <v>409</v>
      </c>
    </row>
    <row r="208" spans="2:57" x14ac:dyDescent="0.3">
      <c r="B208" s="11" t="s">
        <v>163</v>
      </c>
      <c r="C208" s="4" t="s">
        <v>164</v>
      </c>
      <c r="D208" s="4" t="s">
        <v>257</v>
      </c>
      <c r="E208" s="4"/>
      <c r="F208" s="42" t="s">
        <v>254</v>
      </c>
      <c r="G208" s="4"/>
      <c r="H208" s="4">
        <v>1023.654</v>
      </c>
      <c r="I208" s="36">
        <f t="shared" si="16"/>
        <v>167.14632092484374</v>
      </c>
      <c r="J208" s="4" t="s">
        <v>259</v>
      </c>
      <c r="K208" s="4">
        <v>171.1</v>
      </c>
      <c r="L208" s="4">
        <v>2.4500000000000002</v>
      </c>
      <c r="M208" s="4">
        <f t="shared" si="14"/>
        <v>69.836734693877546</v>
      </c>
      <c r="N208" s="4" t="s">
        <v>253</v>
      </c>
      <c r="O208" s="4"/>
      <c r="P208" s="4" t="s">
        <v>258</v>
      </c>
      <c r="Q208" s="4"/>
      <c r="R208" s="4" t="s">
        <v>396</v>
      </c>
      <c r="S208" s="4" t="s">
        <v>397</v>
      </c>
      <c r="T208" s="4"/>
      <c r="U208" s="4" t="s">
        <v>398</v>
      </c>
      <c r="V208" s="4" t="s">
        <v>399</v>
      </c>
      <c r="W208" s="4" t="s">
        <v>400</v>
      </c>
      <c r="X208" s="4" t="s">
        <v>402</v>
      </c>
      <c r="Y208" s="4" t="s">
        <v>403</v>
      </c>
      <c r="Z208" s="4" t="s">
        <v>404</v>
      </c>
      <c r="AA208" s="4">
        <v>318</v>
      </c>
      <c r="AB208" s="4"/>
      <c r="AC208" s="4" t="s">
        <v>376</v>
      </c>
      <c r="AD208" s="4"/>
      <c r="AE208" s="4">
        <v>7200</v>
      </c>
      <c r="AF208" s="4" t="s">
        <v>405</v>
      </c>
      <c r="AG208" s="4"/>
      <c r="AH208" s="59"/>
      <c r="AJ208" s="25">
        <v>1.4971238603210001E-2</v>
      </c>
      <c r="AK208" s="25">
        <v>391.37456019803801</v>
      </c>
      <c r="AL208" s="11">
        <f t="shared" si="17"/>
        <v>0.22932051960275321</v>
      </c>
      <c r="AN208" s="63">
        <v>318</v>
      </c>
      <c r="AO208" s="11">
        <f t="shared" si="15"/>
        <v>348.15</v>
      </c>
      <c r="AP208" s="65" t="s">
        <v>161</v>
      </c>
      <c r="AQ208" s="66">
        <v>391.37456019803801</v>
      </c>
      <c r="AR208" s="66">
        <v>1.4971238603210001E-2</v>
      </c>
      <c r="AS208" s="11"/>
      <c r="AT208" s="11"/>
      <c r="AU208" s="11"/>
      <c r="BD208" s="19" t="s">
        <v>158</v>
      </c>
      <c r="BE208" s="11" t="s">
        <v>409</v>
      </c>
    </row>
    <row r="209" spans="2:57" x14ac:dyDescent="0.3">
      <c r="B209" s="11" t="s">
        <v>163</v>
      </c>
      <c r="C209" s="4" t="s">
        <v>164</v>
      </c>
      <c r="D209" s="4" t="s">
        <v>257</v>
      </c>
      <c r="E209" s="4"/>
      <c r="F209" s="42" t="s">
        <v>254</v>
      </c>
      <c r="G209" s="4"/>
      <c r="H209" s="4">
        <v>1023.654</v>
      </c>
      <c r="I209" s="36">
        <f t="shared" si="16"/>
        <v>167.14632092484374</v>
      </c>
      <c r="J209" s="4" t="s">
        <v>259</v>
      </c>
      <c r="K209" s="4">
        <v>171.1</v>
      </c>
      <c r="L209" s="4">
        <v>2.4500000000000002</v>
      </c>
      <c r="M209" s="4">
        <f t="shared" si="14"/>
        <v>69.836734693877546</v>
      </c>
      <c r="N209" s="4" t="s">
        <v>253</v>
      </c>
      <c r="O209" s="4"/>
      <c r="P209" s="4" t="s">
        <v>258</v>
      </c>
      <c r="Q209" s="4"/>
      <c r="R209" s="4" t="s">
        <v>396</v>
      </c>
      <c r="S209" s="4" t="s">
        <v>397</v>
      </c>
      <c r="T209" s="4"/>
      <c r="U209" s="4" t="s">
        <v>398</v>
      </c>
      <c r="V209" s="4" t="s">
        <v>399</v>
      </c>
      <c r="W209" s="4" t="s">
        <v>400</v>
      </c>
      <c r="X209" s="4" t="s">
        <v>402</v>
      </c>
      <c r="Y209" s="4" t="s">
        <v>403</v>
      </c>
      <c r="Z209" s="4" t="s">
        <v>404</v>
      </c>
      <c r="AA209" s="4">
        <v>318</v>
      </c>
      <c r="AB209" s="4"/>
      <c r="AC209" s="4" t="s">
        <v>376</v>
      </c>
      <c r="AD209" s="4"/>
      <c r="AE209" s="4">
        <v>7200</v>
      </c>
      <c r="AF209" s="4" t="s">
        <v>405</v>
      </c>
      <c r="AG209" s="4"/>
      <c r="AH209" s="59"/>
      <c r="AJ209" s="25">
        <v>1.4277072840416301E-2</v>
      </c>
      <c r="AK209" s="25">
        <v>391.37456019803801</v>
      </c>
      <c r="AL209" s="11">
        <f t="shared" si="17"/>
        <v>0.21868770172887594</v>
      </c>
      <c r="AN209" s="63">
        <v>318</v>
      </c>
      <c r="AO209" s="11">
        <f t="shared" si="15"/>
        <v>348.15</v>
      </c>
      <c r="AP209" s="65" t="s">
        <v>161</v>
      </c>
      <c r="AQ209" s="66">
        <v>391.37456019803801</v>
      </c>
      <c r="AR209" s="66">
        <v>1.4277072840416301E-2</v>
      </c>
      <c r="AS209" s="11"/>
      <c r="AT209" s="11"/>
      <c r="AU209" s="11"/>
      <c r="BD209" s="19" t="s">
        <v>158</v>
      </c>
      <c r="BE209" s="11" t="s">
        <v>409</v>
      </c>
    </row>
    <row r="210" spans="2:57" x14ac:dyDescent="0.3">
      <c r="B210" s="11" t="s">
        <v>163</v>
      </c>
      <c r="C210" s="4" t="s">
        <v>164</v>
      </c>
      <c r="D210" s="4" t="s">
        <v>257</v>
      </c>
      <c r="E210" s="4"/>
      <c r="F210" s="42" t="s">
        <v>254</v>
      </c>
      <c r="G210" s="4"/>
      <c r="H210" s="4">
        <v>1023.654</v>
      </c>
      <c r="I210" s="36">
        <f t="shared" si="16"/>
        <v>167.14632092484374</v>
      </c>
      <c r="J210" s="4" t="s">
        <v>259</v>
      </c>
      <c r="K210" s="4">
        <v>171.1</v>
      </c>
      <c r="L210" s="4">
        <v>2.4500000000000002</v>
      </c>
      <c r="M210" s="4">
        <f t="shared" si="14"/>
        <v>69.836734693877546</v>
      </c>
      <c r="N210" s="4" t="s">
        <v>253</v>
      </c>
      <c r="O210" s="4"/>
      <c r="P210" s="4" t="s">
        <v>258</v>
      </c>
      <c r="Q210" s="4"/>
      <c r="R210" s="4" t="s">
        <v>396</v>
      </c>
      <c r="S210" s="4" t="s">
        <v>397</v>
      </c>
      <c r="T210" s="4"/>
      <c r="U210" s="4" t="s">
        <v>398</v>
      </c>
      <c r="V210" s="4" t="s">
        <v>399</v>
      </c>
      <c r="W210" s="4" t="s">
        <v>400</v>
      </c>
      <c r="X210" s="4" t="s">
        <v>402</v>
      </c>
      <c r="Y210" s="4" t="s">
        <v>403</v>
      </c>
      <c r="Z210" s="4" t="s">
        <v>404</v>
      </c>
      <c r="AA210" s="4">
        <v>318</v>
      </c>
      <c r="AB210" s="4"/>
      <c r="AC210" s="4" t="s">
        <v>376</v>
      </c>
      <c r="AD210" s="4"/>
      <c r="AE210" s="4">
        <v>7200</v>
      </c>
      <c r="AF210" s="4" t="s">
        <v>405</v>
      </c>
      <c r="AG210" s="4"/>
      <c r="AH210" s="59"/>
      <c r="AJ210" s="25">
        <v>1.3615093199225801E-2</v>
      </c>
      <c r="AK210" s="25">
        <v>398.86235145543799</v>
      </c>
      <c r="AL210" s="11">
        <f t="shared" si="17"/>
        <v>0.21660411803619423</v>
      </c>
      <c r="AN210" s="63">
        <v>318</v>
      </c>
      <c r="AO210" s="11">
        <f t="shared" si="15"/>
        <v>348.15</v>
      </c>
      <c r="AP210" s="65" t="s">
        <v>161</v>
      </c>
      <c r="AQ210" s="66">
        <v>398.86235145543799</v>
      </c>
      <c r="AR210" s="66">
        <v>1.3615093199225801E-2</v>
      </c>
      <c r="AS210" s="11"/>
      <c r="AT210" s="11"/>
      <c r="AU210" s="11"/>
      <c r="BD210" s="19" t="s">
        <v>158</v>
      </c>
      <c r="BE210" s="11" t="s">
        <v>409</v>
      </c>
    </row>
    <row r="211" spans="2:57" x14ac:dyDescent="0.3">
      <c r="B211" s="11" t="s">
        <v>163</v>
      </c>
      <c r="C211" s="4" t="s">
        <v>164</v>
      </c>
      <c r="D211" s="4" t="s">
        <v>257</v>
      </c>
      <c r="E211" s="4"/>
      <c r="F211" s="42" t="s">
        <v>254</v>
      </c>
      <c r="G211" s="4"/>
      <c r="H211" s="4">
        <v>1023.654</v>
      </c>
      <c r="I211" s="36">
        <f t="shared" si="16"/>
        <v>167.14632092484374</v>
      </c>
      <c r="J211" s="4" t="s">
        <v>259</v>
      </c>
      <c r="K211" s="4">
        <v>171.1</v>
      </c>
      <c r="L211" s="4">
        <v>2.4500000000000002</v>
      </c>
      <c r="M211" s="4">
        <f t="shared" si="14"/>
        <v>69.836734693877546</v>
      </c>
      <c r="N211" s="4" t="s">
        <v>253</v>
      </c>
      <c r="O211" s="4"/>
      <c r="P211" s="4" t="s">
        <v>258</v>
      </c>
      <c r="Q211" s="4"/>
      <c r="R211" s="4" t="s">
        <v>396</v>
      </c>
      <c r="S211" s="4" t="s">
        <v>397</v>
      </c>
      <c r="T211" s="4"/>
      <c r="U211" s="4" t="s">
        <v>398</v>
      </c>
      <c r="V211" s="4" t="s">
        <v>399</v>
      </c>
      <c r="W211" s="4" t="s">
        <v>400</v>
      </c>
      <c r="X211" s="4" t="s">
        <v>402</v>
      </c>
      <c r="Y211" s="4" t="s">
        <v>403</v>
      </c>
      <c r="Z211" s="4" t="s">
        <v>404</v>
      </c>
      <c r="AA211" s="4">
        <v>318</v>
      </c>
      <c r="AB211" s="4"/>
      <c r="AC211" s="4" t="s">
        <v>376</v>
      </c>
      <c r="AD211" s="4"/>
      <c r="AE211" s="4">
        <v>7200</v>
      </c>
      <c r="AF211" s="4" t="s">
        <v>405</v>
      </c>
      <c r="AG211" s="4"/>
      <c r="AH211" s="59"/>
      <c r="AJ211" s="25">
        <v>1.29838073179012E-2</v>
      </c>
      <c r="AK211" s="25">
        <v>406.493399387176</v>
      </c>
      <c r="AL211" s="11">
        <f t="shared" si="17"/>
        <v>0.21454038603599634</v>
      </c>
      <c r="AN211" s="63">
        <v>318</v>
      </c>
      <c r="AO211" s="11">
        <f t="shared" si="15"/>
        <v>348.15</v>
      </c>
      <c r="AP211" s="65" t="s">
        <v>161</v>
      </c>
      <c r="AQ211" s="66">
        <v>406.493399387176</v>
      </c>
      <c r="AR211" s="66">
        <v>1.29838073179012E-2</v>
      </c>
      <c r="AS211" s="11"/>
      <c r="AT211" s="11"/>
      <c r="AU211" s="11"/>
      <c r="BD211" s="19" t="s">
        <v>158</v>
      </c>
      <c r="BE211" s="11" t="s">
        <v>409</v>
      </c>
    </row>
    <row r="212" spans="2:57" x14ac:dyDescent="0.3">
      <c r="B212" s="11" t="s">
        <v>163</v>
      </c>
      <c r="C212" s="4" t="s">
        <v>164</v>
      </c>
      <c r="D212" s="4" t="s">
        <v>257</v>
      </c>
      <c r="E212" s="4"/>
      <c r="F212" s="42" t="s">
        <v>254</v>
      </c>
      <c r="G212" s="4"/>
      <c r="H212" s="4">
        <v>1023.654</v>
      </c>
      <c r="I212" s="36">
        <f t="shared" si="16"/>
        <v>167.14632092484374</v>
      </c>
      <c r="J212" s="4" t="s">
        <v>259</v>
      </c>
      <c r="K212" s="4">
        <v>171.1</v>
      </c>
      <c r="L212" s="4">
        <v>2.4500000000000002</v>
      </c>
      <c r="M212" s="4">
        <f t="shared" si="14"/>
        <v>69.836734693877546</v>
      </c>
      <c r="N212" s="4" t="s">
        <v>253</v>
      </c>
      <c r="O212" s="4"/>
      <c r="P212" s="4" t="s">
        <v>258</v>
      </c>
      <c r="Q212" s="4"/>
      <c r="R212" s="4" t="s">
        <v>396</v>
      </c>
      <c r="S212" s="4" t="s">
        <v>397</v>
      </c>
      <c r="T212" s="4"/>
      <c r="U212" s="4" t="s">
        <v>398</v>
      </c>
      <c r="V212" s="4" t="s">
        <v>399</v>
      </c>
      <c r="W212" s="4" t="s">
        <v>400</v>
      </c>
      <c r="X212" s="4" t="s">
        <v>402</v>
      </c>
      <c r="Y212" s="4" t="s">
        <v>403</v>
      </c>
      <c r="Z212" s="4" t="s">
        <v>404</v>
      </c>
      <c r="AA212" s="4">
        <v>318</v>
      </c>
      <c r="AB212" s="4"/>
      <c r="AC212" s="4" t="s">
        <v>376</v>
      </c>
      <c r="AD212" s="4"/>
      <c r="AE212" s="4">
        <v>7200</v>
      </c>
      <c r="AF212" s="4" t="s">
        <v>405</v>
      </c>
      <c r="AG212" s="4"/>
      <c r="AH212" s="59"/>
      <c r="AJ212" s="25">
        <v>1.2091334248191501E-2</v>
      </c>
      <c r="AK212" s="25">
        <v>414.27044478476699</v>
      </c>
      <c r="AL212" s="11">
        <f t="shared" si="17"/>
        <v>0.20751148008705422</v>
      </c>
      <c r="AN212" s="63">
        <v>318</v>
      </c>
      <c r="AO212" s="11">
        <f t="shared" si="15"/>
        <v>348.15</v>
      </c>
      <c r="AP212" s="65" t="s">
        <v>161</v>
      </c>
      <c r="AQ212" s="66">
        <v>414.27044478476699</v>
      </c>
      <c r="AR212" s="66">
        <v>1.2091334248191501E-2</v>
      </c>
      <c r="AS212" s="11"/>
      <c r="AT212" s="11"/>
      <c r="AU212" s="11"/>
      <c r="BD212" s="19" t="s">
        <v>158</v>
      </c>
      <c r="BE212" s="11" t="s">
        <v>409</v>
      </c>
    </row>
    <row r="213" spans="2:57" x14ac:dyDescent="0.3">
      <c r="B213" s="11" t="s">
        <v>163</v>
      </c>
      <c r="C213" s="4" t="s">
        <v>164</v>
      </c>
      <c r="D213" s="4" t="s">
        <v>257</v>
      </c>
      <c r="E213" s="4"/>
      <c r="F213" s="42" t="s">
        <v>254</v>
      </c>
      <c r="G213" s="4"/>
      <c r="H213" s="4">
        <v>1023.654</v>
      </c>
      <c r="I213" s="36">
        <f t="shared" si="16"/>
        <v>167.14632092484374</v>
      </c>
      <c r="J213" s="4" t="s">
        <v>259</v>
      </c>
      <c r="K213" s="4">
        <v>171.1</v>
      </c>
      <c r="L213" s="4">
        <v>2.4500000000000002</v>
      </c>
      <c r="M213" s="4">
        <f t="shared" si="14"/>
        <v>69.836734693877546</v>
      </c>
      <c r="N213" s="4" t="s">
        <v>253</v>
      </c>
      <c r="O213" s="4"/>
      <c r="P213" s="4" t="s">
        <v>258</v>
      </c>
      <c r="Q213" s="4"/>
      <c r="R213" s="4" t="s">
        <v>396</v>
      </c>
      <c r="S213" s="4" t="s">
        <v>397</v>
      </c>
      <c r="T213" s="4"/>
      <c r="U213" s="4" t="s">
        <v>398</v>
      </c>
      <c r="V213" s="4" t="s">
        <v>399</v>
      </c>
      <c r="W213" s="4" t="s">
        <v>400</v>
      </c>
      <c r="X213" s="4" t="s">
        <v>402</v>
      </c>
      <c r="Y213" s="4" t="s">
        <v>403</v>
      </c>
      <c r="Z213" s="4" t="s">
        <v>404</v>
      </c>
      <c r="AA213" s="4">
        <v>318</v>
      </c>
      <c r="AB213" s="4"/>
      <c r="AC213" s="4" t="s">
        <v>376</v>
      </c>
      <c r="AD213" s="4"/>
      <c r="AE213" s="4">
        <v>7200</v>
      </c>
      <c r="AF213" s="4" t="s">
        <v>405</v>
      </c>
      <c r="AG213" s="4"/>
      <c r="AH213" s="59"/>
      <c r="AJ213" s="25">
        <v>1.15306999223322E-2</v>
      </c>
      <c r="AK213" s="25">
        <v>418.21458734152202</v>
      </c>
      <c r="AL213" s="11">
        <f t="shared" si="17"/>
        <v>0.20167590943065922</v>
      </c>
      <c r="AN213" s="63">
        <v>318</v>
      </c>
      <c r="AO213" s="11">
        <f t="shared" si="15"/>
        <v>348.15</v>
      </c>
      <c r="AP213" s="65" t="s">
        <v>161</v>
      </c>
      <c r="AQ213" s="66">
        <v>418.21458734152202</v>
      </c>
      <c r="AR213" s="66">
        <v>1.15306999223322E-2</v>
      </c>
      <c r="AS213" s="11"/>
      <c r="AT213" s="11"/>
      <c r="AU213" s="11"/>
      <c r="BD213" s="19" t="s">
        <v>158</v>
      </c>
      <c r="BE213" s="11" t="s">
        <v>409</v>
      </c>
    </row>
    <row r="214" spans="2:57" x14ac:dyDescent="0.3">
      <c r="B214" s="11" t="s">
        <v>163</v>
      </c>
      <c r="C214" s="4" t="s">
        <v>164</v>
      </c>
      <c r="D214" s="4" t="s">
        <v>257</v>
      </c>
      <c r="E214" s="4"/>
      <c r="F214" s="42" t="s">
        <v>254</v>
      </c>
      <c r="G214" s="4"/>
      <c r="H214" s="4">
        <v>1023.654</v>
      </c>
      <c r="I214" s="36">
        <f t="shared" si="16"/>
        <v>167.14632092484374</v>
      </c>
      <c r="J214" s="4" t="s">
        <v>259</v>
      </c>
      <c r="K214" s="4">
        <v>171.1</v>
      </c>
      <c r="L214" s="4">
        <v>2.4500000000000002</v>
      </c>
      <c r="M214" s="4">
        <f t="shared" si="14"/>
        <v>69.836734693877546</v>
      </c>
      <c r="N214" s="4" t="s">
        <v>253</v>
      </c>
      <c r="O214" s="4"/>
      <c r="P214" s="4" t="s">
        <v>258</v>
      </c>
      <c r="Q214" s="4"/>
      <c r="R214" s="4" t="s">
        <v>396</v>
      </c>
      <c r="S214" s="4" t="s">
        <v>397</v>
      </c>
      <c r="T214" s="4"/>
      <c r="U214" s="4" t="s">
        <v>398</v>
      </c>
      <c r="V214" s="4" t="s">
        <v>399</v>
      </c>
      <c r="W214" s="4" t="s">
        <v>400</v>
      </c>
      <c r="X214" s="4" t="s">
        <v>402</v>
      </c>
      <c r="Y214" s="4" t="s">
        <v>403</v>
      </c>
      <c r="Z214" s="4" t="s">
        <v>404</v>
      </c>
      <c r="AA214" s="4">
        <v>318</v>
      </c>
      <c r="AB214" s="4"/>
      <c r="AC214" s="4" t="s">
        <v>376</v>
      </c>
      <c r="AD214" s="4"/>
      <c r="AE214" s="4">
        <v>7200</v>
      </c>
      <c r="AF214" s="4" t="s">
        <v>405</v>
      </c>
      <c r="AG214" s="4"/>
      <c r="AH214" s="59"/>
      <c r="AJ214" s="25">
        <v>1.0866319596988101E-2</v>
      </c>
      <c r="AK214" s="25">
        <v>426.21588290153198</v>
      </c>
      <c r="AL214" s="11">
        <f t="shared" si="17"/>
        <v>0.19739753880307223</v>
      </c>
      <c r="AN214" s="63">
        <v>318</v>
      </c>
      <c r="AO214" s="11">
        <f t="shared" si="15"/>
        <v>348.15</v>
      </c>
      <c r="AP214" s="65" t="s">
        <v>161</v>
      </c>
      <c r="AQ214" s="66">
        <v>426.21588290153198</v>
      </c>
      <c r="AR214" s="66">
        <v>1.0866319596988101E-2</v>
      </c>
      <c r="AS214" s="11"/>
      <c r="AT214" s="11"/>
      <c r="AU214" s="11"/>
      <c r="BD214" s="19" t="s">
        <v>158</v>
      </c>
      <c r="BE214" s="11" t="s">
        <v>409</v>
      </c>
    </row>
    <row r="215" spans="2:57" x14ac:dyDescent="0.3">
      <c r="B215" s="11" t="s">
        <v>163</v>
      </c>
      <c r="C215" s="4" t="s">
        <v>164</v>
      </c>
      <c r="D215" s="4" t="s">
        <v>257</v>
      </c>
      <c r="E215" s="4"/>
      <c r="F215" s="42" t="s">
        <v>254</v>
      </c>
      <c r="G215" s="4"/>
      <c r="H215" s="4">
        <v>1023.654</v>
      </c>
      <c r="I215" s="36">
        <f t="shared" si="16"/>
        <v>167.14632092484374</v>
      </c>
      <c r="J215" s="4" t="s">
        <v>259</v>
      </c>
      <c r="K215" s="4">
        <v>171.1</v>
      </c>
      <c r="L215" s="4">
        <v>2.4500000000000002</v>
      </c>
      <c r="M215" s="4">
        <f t="shared" si="14"/>
        <v>69.836734693877546</v>
      </c>
      <c r="N215" s="4" t="s">
        <v>253</v>
      </c>
      <c r="O215" s="4"/>
      <c r="P215" s="4" t="s">
        <v>258</v>
      </c>
      <c r="Q215" s="4"/>
      <c r="R215" s="4" t="s">
        <v>396</v>
      </c>
      <c r="S215" s="4" t="s">
        <v>397</v>
      </c>
      <c r="T215" s="4"/>
      <c r="U215" s="4" t="s">
        <v>398</v>
      </c>
      <c r="V215" s="4" t="s">
        <v>399</v>
      </c>
      <c r="W215" s="4" t="s">
        <v>400</v>
      </c>
      <c r="X215" s="4" t="s">
        <v>402</v>
      </c>
      <c r="Y215" s="4" t="s">
        <v>403</v>
      </c>
      <c r="Z215" s="4" t="s">
        <v>404</v>
      </c>
      <c r="AA215" s="4">
        <v>318</v>
      </c>
      <c r="AB215" s="4"/>
      <c r="AC215" s="4" t="s">
        <v>376</v>
      </c>
      <c r="AD215" s="4"/>
      <c r="AE215" s="4">
        <v>7200</v>
      </c>
      <c r="AF215" s="4" t="s">
        <v>405</v>
      </c>
      <c r="AG215" s="4"/>
      <c r="AH215" s="59"/>
      <c r="AJ215" s="25">
        <v>1.03624850625371E-2</v>
      </c>
      <c r="AK215" s="25">
        <v>430.273754331367</v>
      </c>
      <c r="AL215" s="11">
        <f t="shared" si="17"/>
        <v>0.19184638912884516</v>
      </c>
      <c r="AN215" s="63">
        <v>318</v>
      </c>
      <c r="AO215" s="11">
        <f t="shared" si="15"/>
        <v>348.15</v>
      </c>
      <c r="AP215" s="65" t="s">
        <v>161</v>
      </c>
      <c r="AQ215" s="66">
        <v>430.273754331367</v>
      </c>
      <c r="AR215" s="66">
        <v>1.03624850625371E-2</v>
      </c>
      <c r="AS215" s="11"/>
      <c r="AT215" s="11"/>
      <c r="AU215" s="11"/>
      <c r="BD215" s="19" t="s">
        <v>158</v>
      </c>
      <c r="BE215" s="11" t="s">
        <v>409</v>
      </c>
    </row>
    <row r="216" spans="2:57" x14ac:dyDescent="0.3">
      <c r="B216" s="11" t="s">
        <v>163</v>
      </c>
      <c r="C216" s="4" t="s">
        <v>164</v>
      </c>
      <c r="D216" s="4" t="s">
        <v>257</v>
      </c>
      <c r="E216" s="4"/>
      <c r="F216" s="42" t="s">
        <v>254</v>
      </c>
      <c r="G216" s="4"/>
      <c r="H216" s="4">
        <v>1023.654</v>
      </c>
      <c r="I216" s="36">
        <f t="shared" si="16"/>
        <v>167.14632092484374</v>
      </c>
      <c r="J216" s="4" t="s">
        <v>259</v>
      </c>
      <c r="K216" s="4">
        <v>171.1</v>
      </c>
      <c r="L216" s="4">
        <v>2.4500000000000002</v>
      </c>
      <c r="M216" s="4">
        <f t="shared" si="14"/>
        <v>69.836734693877546</v>
      </c>
      <c r="N216" s="4" t="s">
        <v>253</v>
      </c>
      <c r="O216" s="4"/>
      <c r="P216" s="4" t="s">
        <v>258</v>
      </c>
      <c r="Q216" s="4"/>
      <c r="R216" s="4" t="s">
        <v>396</v>
      </c>
      <c r="S216" s="4" t="s">
        <v>397</v>
      </c>
      <c r="T216" s="4"/>
      <c r="U216" s="4" t="s">
        <v>398</v>
      </c>
      <c r="V216" s="4" t="s">
        <v>399</v>
      </c>
      <c r="W216" s="4" t="s">
        <v>400</v>
      </c>
      <c r="X216" s="4" t="s">
        <v>402</v>
      </c>
      <c r="Y216" s="4" t="s">
        <v>403</v>
      </c>
      <c r="Z216" s="4" t="s">
        <v>404</v>
      </c>
      <c r="AA216" s="4">
        <v>318</v>
      </c>
      <c r="AB216" s="4"/>
      <c r="AC216" s="4" t="s">
        <v>376</v>
      </c>
      <c r="AD216" s="4"/>
      <c r="AE216" s="4">
        <v>7200</v>
      </c>
      <c r="AF216" s="4" t="s">
        <v>405</v>
      </c>
      <c r="AG216" s="4"/>
      <c r="AH216" s="59"/>
      <c r="AJ216" s="25">
        <v>9.8820116335496099E-3</v>
      </c>
      <c r="AK216" s="25">
        <v>434.37025951747802</v>
      </c>
      <c r="AL216" s="11">
        <f t="shared" si="17"/>
        <v>0.18645134708844413</v>
      </c>
      <c r="AN216" s="63">
        <v>318</v>
      </c>
      <c r="AO216" s="11">
        <f t="shared" si="15"/>
        <v>348.15</v>
      </c>
      <c r="AP216" s="65" t="s">
        <v>161</v>
      </c>
      <c r="AQ216" s="66">
        <v>434.37025951747802</v>
      </c>
      <c r="AR216" s="66">
        <v>9.8820116335496099E-3</v>
      </c>
      <c r="AS216" s="11"/>
      <c r="AT216" s="11"/>
      <c r="AU216" s="11"/>
      <c r="BD216" s="19" t="s">
        <v>158</v>
      </c>
      <c r="BE216" s="11" t="s">
        <v>409</v>
      </c>
    </row>
    <row r="217" spans="2:57" x14ac:dyDescent="0.3">
      <c r="B217" s="11" t="s">
        <v>163</v>
      </c>
      <c r="C217" s="4" t="s">
        <v>164</v>
      </c>
      <c r="D217" s="4" t="s">
        <v>257</v>
      </c>
      <c r="E217" s="4"/>
      <c r="F217" s="42" t="s">
        <v>254</v>
      </c>
      <c r="G217" s="4"/>
      <c r="H217" s="4">
        <v>1023.654</v>
      </c>
      <c r="I217" s="36">
        <f t="shared" si="16"/>
        <v>167.14632092484374</v>
      </c>
      <c r="J217" s="4" t="s">
        <v>259</v>
      </c>
      <c r="K217" s="4">
        <v>171.1</v>
      </c>
      <c r="L217" s="4">
        <v>2.4500000000000002</v>
      </c>
      <c r="M217" s="4">
        <f t="shared" si="14"/>
        <v>69.836734693877546</v>
      </c>
      <c r="N217" s="4" t="s">
        <v>253</v>
      </c>
      <c r="O217" s="4"/>
      <c r="P217" s="4" t="s">
        <v>258</v>
      </c>
      <c r="Q217" s="4"/>
      <c r="R217" s="4" t="s">
        <v>396</v>
      </c>
      <c r="S217" s="4" t="s">
        <v>397</v>
      </c>
      <c r="T217" s="4"/>
      <c r="U217" s="4" t="s">
        <v>398</v>
      </c>
      <c r="V217" s="4" t="s">
        <v>399</v>
      </c>
      <c r="W217" s="4" t="s">
        <v>400</v>
      </c>
      <c r="X217" s="4" t="s">
        <v>402</v>
      </c>
      <c r="Y217" s="4" t="s">
        <v>403</v>
      </c>
      <c r="Z217" s="4" t="s">
        <v>404</v>
      </c>
      <c r="AA217" s="4">
        <v>318</v>
      </c>
      <c r="AB217" s="4"/>
      <c r="AC217" s="4" t="s">
        <v>376</v>
      </c>
      <c r="AD217" s="4"/>
      <c r="AE217" s="4">
        <v>7200</v>
      </c>
      <c r="AF217" s="4" t="s">
        <v>405</v>
      </c>
      <c r="AG217" s="4"/>
      <c r="AH217" s="59"/>
      <c r="AJ217" s="25">
        <v>9.4238161344765495E-3</v>
      </c>
      <c r="AK217" s="25">
        <v>442.680645941276</v>
      </c>
      <c r="AL217" s="11">
        <f t="shared" si="17"/>
        <v>0.18467490066187087</v>
      </c>
      <c r="AN217" s="63">
        <v>318</v>
      </c>
      <c r="AO217" s="11">
        <f t="shared" si="15"/>
        <v>348.15</v>
      </c>
      <c r="AP217" s="65" t="s">
        <v>161</v>
      </c>
      <c r="AQ217" s="66">
        <v>442.680645941276</v>
      </c>
      <c r="AR217" s="66">
        <v>9.4238161344765495E-3</v>
      </c>
      <c r="AS217" s="11"/>
      <c r="AT217" s="11"/>
      <c r="AU217" s="11"/>
      <c r="BD217" s="19" t="s">
        <v>158</v>
      </c>
      <c r="BE217" s="11" t="s">
        <v>409</v>
      </c>
    </row>
    <row r="218" spans="2:57" x14ac:dyDescent="0.3">
      <c r="B218" s="11" t="s">
        <v>163</v>
      </c>
      <c r="C218" s="4" t="s">
        <v>164</v>
      </c>
      <c r="D218" s="4" t="s">
        <v>257</v>
      </c>
      <c r="E218" s="4"/>
      <c r="F218" s="42" t="s">
        <v>254</v>
      </c>
      <c r="G218" s="4"/>
      <c r="H218" s="4">
        <v>1023.654</v>
      </c>
      <c r="I218" s="36">
        <f t="shared" si="16"/>
        <v>167.14632092484374</v>
      </c>
      <c r="J218" s="4" t="s">
        <v>259</v>
      </c>
      <c r="K218" s="4">
        <v>171.1</v>
      </c>
      <c r="L218" s="4">
        <v>2.4500000000000002</v>
      </c>
      <c r="M218" s="4">
        <f t="shared" si="14"/>
        <v>69.836734693877546</v>
      </c>
      <c r="N218" s="4" t="s">
        <v>253</v>
      </c>
      <c r="O218" s="4"/>
      <c r="P218" s="4" t="s">
        <v>258</v>
      </c>
      <c r="Q218" s="4"/>
      <c r="R218" s="4" t="s">
        <v>396</v>
      </c>
      <c r="S218" s="4" t="s">
        <v>397</v>
      </c>
      <c r="T218" s="4"/>
      <c r="U218" s="4" t="s">
        <v>398</v>
      </c>
      <c r="V218" s="4" t="s">
        <v>399</v>
      </c>
      <c r="W218" s="4" t="s">
        <v>400</v>
      </c>
      <c r="X218" s="4" t="s">
        <v>402</v>
      </c>
      <c r="Y218" s="4" t="s">
        <v>403</v>
      </c>
      <c r="Z218" s="4" t="s">
        <v>404</v>
      </c>
      <c r="AA218" s="4">
        <v>318</v>
      </c>
      <c r="AB218" s="4"/>
      <c r="AC218" s="4" t="s">
        <v>376</v>
      </c>
      <c r="AD218" s="4"/>
      <c r="AE218" s="4">
        <v>7200</v>
      </c>
      <c r="AF218" s="4" t="s">
        <v>405</v>
      </c>
      <c r="AG218" s="4"/>
      <c r="AH218" s="59"/>
      <c r="AJ218" s="25">
        <v>8.8808310536420392E-3</v>
      </c>
      <c r="AK218" s="25">
        <v>442.680645941276</v>
      </c>
      <c r="AL218" s="11">
        <f t="shared" si="17"/>
        <v>0.17403423084901898</v>
      </c>
      <c r="AN218" s="63">
        <v>318</v>
      </c>
      <c r="AO218" s="11">
        <f t="shared" si="15"/>
        <v>348.15</v>
      </c>
      <c r="AP218" s="65" t="s">
        <v>161</v>
      </c>
      <c r="AQ218" s="66">
        <v>442.680645941276</v>
      </c>
      <c r="AR218" s="66">
        <v>8.8808310536420392E-3</v>
      </c>
      <c r="AS218" s="11"/>
      <c r="AT218" s="11"/>
      <c r="AU218" s="11"/>
      <c r="BD218" s="19" t="s">
        <v>158</v>
      </c>
      <c r="BE218" s="11" t="s">
        <v>409</v>
      </c>
    </row>
    <row r="219" spans="2:57" x14ac:dyDescent="0.3">
      <c r="B219" s="11" t="s">
        <v>163</v>
      </c>
      <c r="C219" s="4" t="s">
        <v>164</v>
      </c>
      <c r="D219" s="4" t="s">
        <v>257</v>
      </c>
      <c r="E219" s="4"/>
      <c r="F219" s="42" t="s">
        <v>254</v>
      </c>
      <c r="G219" s="4"/>
      <c r="H219" s="4">
        <v>1023.654</v>
      </c>
      <c r="I219" s="36">
        <f t="shared" si="16"/>
        <v>167.14632092484374</v>
      </c>
      <c r="J219" s="4" t="s">
        <v>259</v>
      </c>
      <c r="K219" s="4">
        <v>171.1</v>
      </c>
      <c r="L219" s="4">
        <v>2.4500000000000002</v>
      </c>
      <c r="M219" s="4">
        <f t="shared" si="14"/>
        <v>69.836734693877546</v>
      </c>
      <c r="N219" s="4" t="s">
        <v>253</v>
      </c>
      <c r="O219" s="4"/>
      <c r="P219" s="4" t="s">
        <v>258</v>
      </c>
      <c r="Q219" s="4"/>
      <c r="R219" s="4" t="s">
        <v>396</v>
      </c>
      <c r="S219" s="4" t="s">
        <v>397</v>
      </c>
      <c r="T219" s="4"/>
      <c r="U219" s="4" t="s">
        <v>398</v>
      </c>
      <c r="V219" s="4" t="s">
        <v>399</v>
      </c>
      <c r="W219" s="4" t="s">
        <v>400</v>
      </c>
      <c r="X219" s="4" t="s">
        <v>402</v>
      </c>
      <c r="Y219" s="4" t="s">
        <v>403</v>
      </c>
      <c r="Z219" s="4" t="s">
        <v>404</v>
      </c>
      <c r="AA219" s="4">
        <v>318</v>
      </c>
      <c r="AB219" s="4"/>
      <c r="AC219" s="4" t="s">
        <v>376</v>
      </c>
      <c r="AD219" s="4"/>
      <c r="AE219" s="4">
        <v>7200</v>
      </c>
      <c r="AF219" s="4" t="s">
        <v>405</v>
      </c>
      <c r="AG219" s="4"/>
      <c r="AH219" s="59"/>
      <c r="AJ219" s="25">
        <v>8.4690569161787708E-3</v>
      </c>
      <c r="AK219" s="25">
        <v>451.15002695781902</v>
      </c>
      <c r="AL219" s="11">
        <f t="shared" si="17"/>
        <v>0.17237609057639039</v>
      </c>
      <c r="AN219" s="63">
        <v>318</v>
      </c>
      <c r="AO219" s="11">
        <f t="shared" si="15"/>
        <v>348.15</v>
      </c>
      <c r="AP219" s="65" t="s">
        <v>161</v>
      </c>
      <c r="AQ219" s="66">
        <v>451.15002695781902</v>
      </c>
      <c r="AR219" s="66">
        <v>8.4690569161787708E-3</v>
      </c>
      <c r="AS219" s="11"/>
      <c r="AT219" s="11"/>
      <c r="AU219" s="11"/>
      <c r="BD219" s="19" t="s">
        <v>158</v>
      </c>
      <c r="BE219" s="11" t="s">
        <v>409</v>
      </c>
    </row>
    <row r="220" spans="2:57" x14ac:dyDescent="0.3">
      <c r="B220" s="11" t="s">
        <v>163</v>
      </c>
      <c r="C220" s="4" t="s">
        <v>164</v>
      </c>
      <c r="D220" s="4" t="s">
        <v>257</v>
      </c>
      <c r="E220" s="4"/>
      <c r="F220" s="42" t="s">
        <v>254</v>
      </c>
      <c r="G220" s="4"/>
      <c r="H220" s="4">
        <v>1023.654</v>
      </c>
      <c r="I220" s="36">
        <f t="shared" si="16"/>
        <v>167.14632092484374</v>
      </c>
      <c r="J220" s="4" t="s">
        <v>259</v>
      </c>
      <c r="K220" s="4">
        <v>171.1</v>
      </c>
      <c r="L220" s="4">
        <v>2.4500000000000002</v>
      </c>
      <c r="M220" s="4">
        <f t="shared" si="14"/>
        <v>69.836734693877546</v>
      </c>
      <c r="N220" s="4" t="s">
        <v>253</v>
      </c>
      <c r="O220" s="4"/>
      <c r="P220" s="4" t="s">
        <v>258</v>
      </c>
      <c r="Q220" s="4"/>
      <c r="R220" s="4" t="s">
        <v>396</v>
      </c>
      <c r="S220" s="4" t="s">
        <v>397</v>
      </c>
      <c r="T220" s="4"/>
      <c r="U220" s="4" t="s">
        <v>398</v>
      </c>
      <c r="V220" s="4" t="s">
        <v>399</v>
      </c>
      <c r="W220" s="4" t="s">
        <v>400</v>
      </c>
      <c r="X220" s="4" t="s">
        <v>402</v>
      </c>
      <c r="Y220" s="4" t="s">
        <v>403</v>
      </c>
      <c r="Z220" s="4" t="s">
        <v>404</v>
      </c>
      <c r="AA220" s="4">
        <v>318</v>
      </c>
      <c r="AB220" s="4"/>
      <c r="AC220" s="4" t="s">
        <v>376</v>
      </c>
      <c r="AD220" s="4"/>
      <c r="AE220" s="4">
        <v>7200</v>
      </c>
      <c r="AF220" s="4" t="s">
        <v>405</v>
      </c>
      <c r="AG220" s="4"/>
      <c r="AH220" s="59"/>
      <c r="AJ220" s="25">
        <v>8.0763753545408205E-3</v>
      </c>
      <c r="AK220" s="25">
        <v>455.44528876856799</v>
      </c>
      <c r="AL220" s="11">
        <f t="shared" si="17"/>
        <v>0.16752858596792433</v>
      </c>
      <c r="AN220" s="63">
        <v>318</v>
      </c>
      <c r="AO220" s="11">
        <f t="shared" si="15"/>
        <v>348.15</v>
      </c>
      <c r="AP220" s="65" t="s">
        <v>161</v>
      </c>
      <c r="AQ220" s="66">
        <v>455.44528876856799</v>
      </c>
      <c r="AR220" s="66">
        <v>8.0763753545408205E-3</v>
      </c>
      <c r="AS220" s="11"/>
      <c r="AT220" s="11"/>
      <c r="AU220" s="11"/>
      <c r="BD220" s="19" t="s">
        <v>158</v>
      </c>
      <c r="BE220" s="11" t="s">
        <v>409</v>
      </c>
    </row>
    <row r="221" spans="2:57" x14ac:dyDescent="0.3">
      <c r="B221" s="11" t="s">
        <v>163</v>
      </c>
      <c r="C221" s="4" t="s">
        <v>164</v>
      </c>
      <c r="D221" s="4" t="s">
        <v>257</v>
      </c>
      <c r="E221" s="4"/>
      <c r="F221" s="42" t="s">
        <v>254</v>
      </c>
      <c r="G221" s="4"/>
      <c r="H221" s="4">
        <v>1023.654</v>
      </c>
      <c r="I221" s="36">
        <f t="shared" si="16"/>
        <v>167.14632092484374</v>
      </c>
      <c r="J221" s="4" t="s">
        <v>259</v>
      </c>
      <c r="K221" s="4">
        <v>171.1</v>
      </c>
      <c r="L221" s="4">
        <v>2.4500000000000002</v>
      </c>
      <c r="M221" s="4">
        <f t="shared" si="14"/>
        <v>69.836734693877546</v>
      </c>
      <c r="N221" s="4" t="s">
        <v>253</v>
      </c>
      <c r="O221" s="4"/>
      <c r="P221" s="4" t="s">
        <v>258</v>
      </c>
      <c r="Q221" s="4"/>
      <c r="R221" s="4" t="s">
        <v>396</v>
      </c>
      <c r="S221" s="4" t="s">
        <v>397</v>
      </c>
      <c r="T221" s="4"/>
      <c r="U221" s="4" t="s">
        <v>398</v>
      </c>
      <c r="V221" s="4" t="s">
        <v>399</v>
      </c>
      <c r="W221" s="4" t="s">
        <v>400</v>
      </c>
      <c r="X221" s="4" t="s">
        <v>402</v>
      </c>
      <c r="Y221" s="4" t="s">
        <v>403</v>
      </c>
      <c r="Z221" s="4" t="s">
        <v>404</v>
      </c>
      <c r="AA221" s="4">
        <v>318</v>
      </c>
      <c r="AB221" s="4"/>
      <c r="AC221" s="4" t="s">
        <v>376</v>
      </c>
      <c r="AD221" s="4"/>
      <c r="AE221" s="4">
        <v>7200</v>
      </c>
      <c r="AF221" s="4" t="s">
        <v>405</v>
      </c>
      <c r="AG221" s="4"/>
      <c r="AH221" s="59"/>
      <c r="AJ221" s="25">
        <v>7.79385958657624E-3</v>
      </c>
      <c r="AK221" s="25">
        <v>455.44528876856799</v>
      </c>
      <c r="AL221" s="11">
        <f t="shared" si="17"/>
        <v>0.16166834977989994</v>
      </c>
      <c r="AN221" s="63">
        <v>318</v>
      </c>
      <c r="AO221" s="11">
        <f t="shared" si="15"/>
        <v>348.15</v>
      </c>
      <c r="AP221" s="65" t="s">
        <v>161</v>
      </c>
      <c r="AQ221" s="66">
        <v>455.44528876856799</v>
      </c>
      <c r="AR221" s="66">
        <v>7.79385958657624E-3</v>
      </c>
      <c r="AS221" s="11"/>
      <c r="AT221" s="11"/>
      <c r="AU221" s="11"/>
      <c r="BD221" s="19" t="s">
        <v>158</v>
      </c>
      <c r="BE221" s="11" t="s">
        <v>409</v>
      </c>
    </row>
    <row r="222" spans="2:57" x14ac:dyDescent="0.3">
      <c r="B222" s="11" t="s">
        <v>163</v>
      </c>
      <c r="C222" s="4" t="s">
        <v>164</v>
      </c>
      <c r="D222" s="4" t="s">
        <v>257</v>
      </c>
      <c r="E222" s="4"/>
      <c r="F222" s="42" t="s">
        <v>254</v>
      </c>
      <c r="G222" s="4"/>
      <c r="H222" s="4">
        <v>1023.654</v>
      </c>
      <c r="I222" s="36">
        <f t="shared" si="16"/>
        <v>167.14632092484374</v>
      </c>
      <c r="J222" s="4" t="s">
        <v>259</v>
      </c>
      <c r="K222" s="4">
        <v>171.1</v>
      </c>
      <c r="L222" s="4">
        <v>2.4500000000000002</v>
      </c>
      <c r="M222" s="4">
        <f t="shared" si="14"/>
        <v>69.836734693877546</v>
      </c>
      <c r="N222" s="4" t="s">
        <v>253</v>
      </c>
      <c r="O222" s="4"/>
      <c r="P222" s="4" t="s">
        <v>258</v>
      </c>
      <c r="Q222" s="4"/>
      <c r="R222" s="4" t="s">
        <v>396</v>
      </c>
      <c r="S222" s="4" t="s">
        <v>397</v>
      </c>
      <c r="T222" s="4"/>
      <c r="U222" s="4" t="s">
        <v>398</v>
      </c>
      <c r="V222" s="4" t="s">
        <v>399</v>
      </c>
      <c r="W222" s="4" t="s">
        <v>400</v>
      </c>
      <c r="X222" s="4" t="s">
        <v>402</v>
      </c>
      <c r="Y222" s="4" t="s">
        <v>403</v>
      </c>
      <c r="Z222" s="4" t="s">
        <v>404</v>
      </c>
      <c r="AA222" s="4">
        <v>318</v>
      </c>
      <c r="AB222" s="4"/>
      <c r="AC222" s="4" t="s">
        <v>376</v>
      </c>
      <c r="AD222" s="4"/>
      <c r="AE222" s="4">
        <v>7200</v>
      </c>
      <c r="AF222" s="4" t="s">
        <v>405</v>
      </c>
      <c r="AG222" s="4"/>
      <c r="AH222" s="59"/>
      <c r="AJ222" s="25">
        <v>7.7019011104798602E-3</v>
      </c>
      <c r="AK222" s="25">
        <v>459.781444457009</v>
      </c>
      <c r="AL222" s="11">
        <f t="shared" si="17"/>
        <v>0.16281740131456704</v>
      </c>
      <c r="AN222" s="63">
        <v>318</v>
      </c>
      <c r="AO222" s="11">
        <f t="shared" si="15"/>
        <v>348.15</v>
      </c>
      <c r="AP222" s="65" t="s">
        <v>161</v>
      </c>
      <c r="AQ222" s="66">
        <v>459.781444457009</v>
      </c>
      <c r="AR222" s="66">
        <v>7.7019011104798602E-3</v>
      </c>
      <c r="AS222" s="11"/>
      <c r="AT222" s="11"/>
      <c r="AU222" s="11"/>
      <c r="BD222" s="19" t="s">
        <v>158</v>
      </c>
      <c r="BE222" s="11" t="s">
        <v>409</v>
      </c>
    </row>
    <row r="223" spans="2:57" x14ac:dyDescent="0.3">
      <c r="B223" s="11" t="s">
        <v>163</v>
      </c>
      <c r="C223" s="4" t="s">
        <v>164</v>
      </c>
      <c r="D223" s="4" t="s">
        <v>257</v>
      </c>
      <c r="E223" s="4"/>
      <c r="F223" s="42" t="s">
        <v>254</v>
      </c>
      <c r="G223" s="4"/>
      <c r="H223" s="4">
        <v>1023.654</v>
      </c>
      <c r="I223" s="36">
        <f t="shared" si="16"/>
        <v>167.14632092484374</v>
      </c>
      <c r="J223" s="4" t="s">
        <v>259</v>
      </c>
      <c r="K223" s="4">
        <v>171.1</v>
      </c>
      <c r="L223" s="4">
        <v>2.4500000000000002</v>
      </c>
      <c r="M223" s="4">
        <f t="shared" si="14"/>
        <v>69.836734693877546</v>
      </c>
      <c r="N223" s="4" t="s">
        <v>253</v>
      </c>
      <c r="O223" s="4"/>
      <c r="P223" s="4" t="s">
        <v>258</v>
      </c>
      <c r="Q223" s="4"/>
      <c r="R223" s="4" t="s">
        <v>396</v>
      </c>
      <c r="S223" s="4" t="s">
        <v>397</v>
      </c>
      <c r="T223" s="4"/>
      <c r="U223" s="4" t="s">
        <v>398</v>
      </c>
      <c r="V223" s="4" t="s">
        <v>399</v>
      </c>
      <c r="W223" s="4" t="s">
        <v>400</v>
      </c>
      <c r="X223" s="4" t="s">
        <v>402</v>
      </c>
      <c r="Y223" s="4" t="s">
        <v>403</v>
      </c>
      <c r="Z223" s="4" t="s">
        <v>404</v>
      </c>
      <c r="AA223" s="4">
        <v>318</v>
      </c>
      <c r="AB223" s="4"/>
      <c r="AC223" s="4" t="s">
        <v>376</v>
      </c>
      <c r="AD223" s="4"/>
      <c r="AE223" s="4">
        <v>7200</v>
      </c>
      <c r="AF223" s="4" t="s">
        <v>405</v>
      </c>
      <c r="AG223" s="4"/>
      <c r="AH223" s="59"/>
      <c r="AJ223" s="25">
        <v>7.52122636562624E-3</v>
      </c>
      <c r="AK223" s="25">
        <v>459.78144445700798</v>
      </c>
      <c r="AL223" s="11">
        <f t="shared" si="17"/>
        <v>0.15899795569740416</v>
      </c>
      <c r="AN223" s="63">
        <v>318</v>
      </c>
      <c r="AO223" s="11">
        <f t="shared" si="15"/>
        <v>348.15</v>
      </c>
      <c r="AP223" s="65" t="s">
        <v>161</v>
      </c>
      <c r="AQ223" s="66">
        <v>459.78144445700798</v>
      </c>
      <c r="AR223" s="66">
        <v>7.52122636562624E-3</v>
      </c>
      <c r="AS223" s="11"/>
      <c r="AT223" s="11"/>
      <c r="AU223" s="11"/>
      <c r="BD223" s="19" t="s">
        <v>158</v>
      </c>
      <c r="BE223" s="11" t="s">
        <v>409</v>
      </c>
    </row>
    <row r="224" spans="2:57" x14ac:dyDescent="0.3">
      <c r="B224" s="11" t="s">
        <v>163</v>
      </c>
      <c r="C224" s="4" t="s">
        <v>164</v>
      </c>
      <c r="D224" s="4" t="s">
        <v>257</v>
      </c>
      <c r="E224" s="4"/>
      <c r="F224" s="42" t="s">
        <v>254</v>
      </c>
      <c r="G224" s="4"/>
      <c r="H224" s="4">
        <v>1023.654</v>
      </c>
      <c r="I224" s="36">
        <f t="shared" si="16"/>
        <v>167.14632092484374</v>
      </c>
      <c r="J224" s="4" t="s">
        <v>259</v>
      </c>
      <c r="K224" s="4">
        <v>171.1</v>
      </c>
      <c r="L224" s="4">
        <v>2.4500000000000002</v>
      </c>
      <c r="M224" s="4">
        <f t="shared" ref="M224:M287" si="18">K224/L224</f>
        <v>69.836734693877546</v>
      </c>
      <c r="N224" s="4" t="s">
        <v>253</v>
      </c>
      <c r="O224" s="4"/>
      <c r="P224" s="4" t="s">
        <v>258</v>
      </c>
      <c r="Q224" s="4"/>
      <c r="R224" s="4" t="s">
        <v>396</v>
      </c>
      <c r="S224" s="4" t="s">
        <v>397</v>
      </c>
      <c r="T224" s="4"/>
      <c r="U224" s="4" t="s">
        <v>398</v>
      </c>
      <c r="V224" s="4" t="s">
        <v>399</v>
      </c>
      <c r="W224" s="4" t="s">
        <v>400</v>
      </c>
      <c r="X224" s="4" t="s">
        <v>402</v>
      </c>
      <c r="Y224" s="4" t="s">
        <v>403</v>
      </c>
      <c r="Z224" s="4" t="s">
        <v>404</v>
      </c>
      <c r="AA224" s="4">
        <v>318</v>
      </c>
      <c r="AB224" s="4"/>
      <c r="AC224" s="4" t="s">
        <v>376</v>
      </c>
      <c r="AD224" s="4"/>
      <c r="AE224" s="4">
        <v>7200</v>
      </c>
      <c r="AF224" s="4" t="s">
        <v>405</v>
      </c>
      <c r="AG224" s="4"/>
      <c r="AH224" s="59"/>
      <c r="AJ224" s="25">
        <v>7.3447899721821898E-3</v>
      </c>
      <c r="AK224" s="25">
        <v>464.15888336127699</v>
      </c>
      <c r="AL224" s="11">
        <f t="shared" si="17"/>
        <v>0.15823870307067564</v>
      </c>
      <c r="AN224" s="63">
        <v>318</v>
      </c>
      <c r="AO224" s="11">
        <f t="shared" si="15"/>
        <v>348.15</v>
      </c>
      <c r="AP224" s="65" t="s">
        <v>161</v>
      </c>
      <c r="AQ224" s="66">
        <v>464.15888336127699</v>
      </c>
      <c r="AR224" s="66">
        <v>7.3447899721821898E-3</v>
      </c>
      <c r="AS224" s="11"/>
      <c r="AT224" s="11"/>
      <c r="AU224" s="11"/>
      <c r="BD224" s="19" t="s">
        <v>158</v>
      </c>
      <c r="BE224" s="11" t="s">
        <v>409</v>
      </c>
    </row>
    <row r="225" spans="2:57" x14ac:dyDescent="0.3">
      <c r="B225" s="11" t="s">
        <v>163</v>
      </c>
      <c r="C225" s="4" t="s">
        <v>164</v>
      </c>
      <c r="D225" s="4" t="s">
        <v>257</v>
      </c>
      <c r="E225" s="4"/>
      <c r="F225" s="42" t="s">
        <v>254</v>
      </c>
      <c r="G225" s="4"/>
      <c r="H225" s="4">
        <v>1023.654</v>
      </c>
      <c r="I225" s="36">
        <f t="shared" si="16"/>
        <v>167.14632092484374</v>
      </c>
      <c r="J225" s="4" t="s">
        <v>259</v>
      </c>
      <c r="K225" s="4">
        <v>171.1</v>
      </c>
      <c r="L225" s="4">
        <v>2.4500000000000002</v>
      </c>
      <c r="M225" s="4">
        <f t="shared" si="18"/>
        <v>69.836734693877546</v>
      </c>
      <c r="N225" s="4" t="s">
        <v>253</v>
      </c>
      <c r="O225" s="4"/>
      <c r="P225" s="4" t="s">
        <v>258</v>
      </c>
      <c r="Q225" s="4"/>
      <c r="R225" s="4" t="s">
        <v>396</v>
      </c>
      <c r="S225" s="4" t="s">
        <v>397</v>
      </c>
      <c r="T225" s="4"/>
      <c r="U225" s="4" t="s">
        <v>398</v>
      </c>
      <c r="V225" s="4" t="s">
        <v>399</v>
      </c>
      <c r="W225" s="4" t="s">
        <v>400</v>
      </c>
      <c r="X225" s="4" t="s">
        <v>402</v>
      </c>
      <c r="Y225" s="4" t="s">
        <v>403</v>
      </c>
      <c r="Z225" s="4" t="s">
        <v>404</v>
      </c>
      <c r="AA225" s="4">
        <v>318</v>
      </c>
      <c r="AB225" s="4"/>
      <c r="AC225" s="4" t="s">
        <v>376</v>
      </c>
      <c r="AD225" s="4"/>
      <c r="AE225" s="4">
        <v>7200</v>
      </c>
      <c r="AF225" s="4" t="s">
        <v>405</v>
      </c>
      <c r="AG225" s="4"/>
      <c r="AH225" s="59"/>
      <c r="AJ225" s="25">
        <v>7.1724925049475498E-3</v>
      </c>
      <c r="AK225" s="25">
        <v>464.15888336127699</v>
      </c>
      <c r="AL225" s="11">
        <f t="shared" si="17"/>
        <v>0.15452666666652623</v>
      </c>
      <c r="AN225" s="63">
        <v>318</v>
      </c>
      <c r="AO225" s="11">
        <f t="shared" si="15"/>
        <v>348.15</v>
      </c>
      <c r="AP225" s="65" t="s">
        <v>161</v>
      </c>
      <c r="AQ225" s="66">
        <v>464.15888336127699</v>
      </c>
      <c r="AR225" s="66">
        <v>7.1724925049475498E-3</v>
      </c>
      <c r="AS225" s="11"/>
      <c r="AT225" s="11"/>
      <c r="AU225" s="11"/>
      <c r="BD225" s="19" t="s">
        <v>158</v>
      </c>
      <c r="BE225" s="11" t="s">
        <v>409</v>
      </c>
    </row>
    <row r="226" spans="2:57" x14ac:dyDescent="0.3">
      <c r="B226" s="11" t="s">
        <v>163</v>
      </c>
      <c r="C226" s="4" t="s">
        <v>164</v>
      </c>
      <c r="D226" s="4" t="s">
        <v>257</v>
      </c>
      <c r="E226" s="4"/>
      <c r="F226" s="42" t="s">
        <v>254</v>
      </c>
      <c r="G226" s="4"/>
      <c r="H226" s="4">
        <v>1023.654</v>
      </c>
      <c r="I226" s="36">
        <f t="shared" si="16"/>
        <v>167.14632092484374</v>
      </c>
      <c r="J226" s="4" t="s">
        <v>259</v>
      </c>
      <c r="K226" s="4">
        <v>171.1</v>
      </c>
      <c r="L226" s="4">
        <v>2.4500000000000002</v>
      </c>
      <c r="M226" s="4">
        <f t="shared" si="18"/>
        <v>69.836734693877546</v>
      </c>
      <c r="N226" s="4" t="s">
        <v>253</v>
      </c>
      <c r="O226" s="4"/>
      <c r="P226" s="4" t="s">
        <v>258</v>
      </c>
      <c r="Q226" s="4"/>
      <c r="R226" s="4" t="s">
        <v>396</v>
      </c>
      <c r="S226" s="4" t="s">
        <v>397</v>
      </c>
      <c r="T226" s="4"/>
      <c r="U226" s="4" t="s">
        <v>398</v>
      </c>
      <c r="V226" s="4" t="s">
        <v>399</v>
      </c>
      <c r="W226" s="4" t="s">
        <v>400</v>
      </c>
      <c r="X226" s="4" t="s">
        <v>402</v>
      </c>
      <c r="Y226" s="4" t="s">
        <v>403</v>
      </c>
      <c r="Z226" s="4" t="s">
        <v>404</v>
      </c>
      <c r="AA226" s="4">
        <v>318</v>
      </c>
      <c r="AB226" s="4"/>
      <c r="AC226" s="4" t="s">
        <v>376</v>
      </c>
      <c r="AD226" s="4"/>
      <c r="AE226" s="4">
        <v>7200</v>
      </c>
      <c r="AF226" s="4" t="s">
        <v>405</v>
      </c>
      <c r="AG226" s="4"/>
      <c r="AH226" s="59"/>
      <c r="AJ226" s="25">
        <v>7.0042368710842903E-3</v>
      </c>
      <c r="AK226" s="25">
        <v>473.03918673898897</v>
      </c>
      <c r="AL226" s="11">
        <f t="shared" si="17"/>
        <v>0.15673105733356985</v>
      </c>
      <c r="AN226" s="63">
        <v>318</v>
      </c>
      <c r="AO226" s="11">
        <f t="shared" si="15"/>
        <v>348.15</v>
      </c>
      <c r="AP226" s="65" t="s">
        <v>161</v>
      </c>
      <c r="AQ226" s="66">
        <v>473.03918673898897</v>
      </c>
      <c r="AR226" s="66">
        <v>7.0042368710842903E-3</v>
      </c>
      <c r="AS226" s="11"/>
      <c r="AT226" s="11"/>
      <c r="AU226" s="11"/>
      <c r="BD226" s="19" t="s">
        <v>158</v>
      </c>
      <c r="BE226" s="11" t="s">
        <v>409</v>
      </c>
    </row>
    <row r="227" spans="2:57" x14ac:dyDescent="0.3">
      <c r="B227" s="11" t="s">
        <v>163</v>
      </c>
      <c r="C227" s="4" t="s">
        <v>164</v>
      </c>
      <c r="D227" s="4" t="s">
        <v>257</v>
      </c>
      <c r="E227" s="4"/>
      <c r="F227" s="42" t="s">
        <v>254</v>
      </c>
      <c r="G227" s="4"/>
      <c r="H227" s="4">
        <v>1023.654</v>
      </c>
      <c r="I227" s="36">
        <f t="shared" si="16"/>
        <v>167.14632092484374</v>
      </c>
      <c r="J227" s="4" t="s">
        <v>259</v>
      </c>
      <c r="K227" s="4">
        <v>171.1</v>
      </c>
      <c r="L227" s="4">
        <v>2.4500000000000002</v>
      </c>
      <c r="M227" s="4">
        <f t="shared" si="18"/>
        <v>69.836734693877546</v>
      </c>
      <c r="N227" s="4" t="s">
        <v>253</v>
      </c>
      <c r="O227" s="4"/>
      <c r="P227" s="4" t="s">
        <v>258</v>
      </c>
      <c r="Q227" s="4"/>
      <c r="R227" s="4" t="s">
        <v>396</v>
      </c>
      <c r="S227" s="4" t="s">
        <v>397</v>
      </c>
      <c r="T227" s="4"/>
      <c r="U227" s="4" t="s">
        <v>398</v>
      </c>
      <c r="V227" s="4" t="s">
        <v>399</v>
      </c>
      <c r="W227" s="4" t="s">
        <v>400</v>
      </c>
      <c r="X227" s="4" t="s">
        <v>402</v>
      </c>
      <c r="Y227" s="4" t="s">
        <v>403</v>
      </c>
      <c r="Z227" s="4" t="s">
        <v>404</v>
      </c>
      <c r="AA227" s="4">
        <v>318</v>
      </c>
      <c r="AB227" s="4"/>
      <c r="AC227" s="4" t="s">
        <v>376</v>
      </c>
      <c r="AD227" s="4"/>
      <c r="AE227" s="4">
        <v>7200</v>
      </c>
      <c r="AF227" s="4" t="s">
        <v>405</v>
      </c>
      <c r="AG227" s="4"/>
      <c r="AH227" s="59"/>
      <c r="AJ227" s="25">
        <v>6.7592250592536799E-3</v>
      </c>
      <c r="AK227" s="25">
        <v>477.54284856405502</v>
      </c>
      <c r="AL227" s="11">
        <f t="shared" si="17"/>
        <v>0.15414221611253504</v>
      </c>
      <c r="AN227" s="63">
        <v>318</v>
      </c>
      <c r="AO227" s="11">
        <f t="shared" si="15"/>
        <v>348.15</v>
      </c>
      <c r="AP227" s="65" t="s">
        <v>161</v>
      </c>
      <c r="AQ227" s="66">
        <v>477.54284856405502</v>
      </c>
      <c r="AR227" s="66">
        <v>6.7592250592536799E-3</v>
      </c>
      <c r="AS227" s="11"/>
      <c r="AT227" s="11"/>
      <c r="AU227" s="11"/>
      <c r="BD227" s="19" t="s">
        <v>158</v>
      </c>
      <c r="BE227" s="11" t="s">
        <v>409</v>
      </c>
    </row>
    <row r="228" spans="2:57" x14ac:dyDescent="0.3">
      <c r="B228" s="11" t="s">
        <v>163</v>
      </c>
      <c r="C228" s="4" t="s">
        <v>164</v>
      </c>
      <c r="D228" s="4" t="s">
        <v>257</v>
      </c>
      <c r="E228" s="4"/>
      <c r="F228" s="42" t="s">
        <v>254</v>
      </c>
      <c r="G228" s="4"/>
      <c r="H228" s="4">
        <v>1023.654</v>
      </c>
      <c r="I228" s="36">
        <f t="shared" si="16"/>
        <v>167.14632092484374</v>
      </c>
      <c r="J228" s="4" t="s">
        <v>259</v>
      </c>
      <c r="K228" s="4">
        <v>171.1</v>
      </c>
      <c r="L228" s="4">
        <v>2.4500000000000002</v>
      </c>
      <c r="M228" s="4">
        <f t="shared" si="18"/>
        <v>69.836734693877546</v>
      </c>
      <c r="N228" s="4" t="s">
        <v>253</v>
      </c>
      <c r="O228" s="4"/>
      <c r="P228" s="4" t="s">
        <v>258</v>
      </c>
      <c r="Q228" s="4"/>
      <c r="R228" s="4" t="s">
        <v>396</v>
      </c>
      <c r="S228" s="4" t="s">
        <v>397</v>
      </c>
      <c r="T228" s="4"/>
      <c r="U228" s="4" t="s">
        <v>398</v>
      </c>
      <c r="V228" s="4" t="s">
        <v>399</v>
      </c>
      <c r="W228" s="4" t="s">
        <v>400</v>
      </c>
      <c r="X228" s="4" t="s">
        <v>402</v>
      </c>
      <c r="Y228" s="4" t="s">
        <v>403</v>
      </c>
      <c r="Z228" s="4" t="s">
        <v>404</v>
      </c>
      <c r="AA228" s="4">
        <v>318</v>
      </c>
      <c r="AB228" s="4"/>
      <c r="AC228" s="4" t="s">
        <v>376</v>
      </c>
      <c r="AD228" s="4"/>
      <c r="AE228" s="4">
        <v>7200</v>
      </c>
      <c r="AF228" s="4" t="s">
        <v>405</v>
      </c>
      <c r="AG228" s="4"/>
      <c r="AH228" s="59"/>
      <c r="AJ228" s="25">
        <v>6.6006640435419799E-3</v>
      </c>
      <c r="AK228" s="25">
        <v>477.54284856405599</v>
      </c>
      <c r="AL228" s="11">
        <f t="shared" si="17"/>
        <v>0.1505262769868817</v>
      </c>
      <c r="AN228" s="63">
        <v>318</v>
      </c>
      <c r="AO228" s="11">
        <f t="shared" si="15"/>
        <v>348.15</v>
      </c>
      <c r="AP228" s="65" t="s">
        <v>161</v>
      </c>
      <c r="AQ228" s="66">
        <v>477.54284856405599</v>
      </c>
      <c r="AR228" s="66">
        <v>6.6006640435419799E-3</v>
      </c>
      <c r="AS228" s="11"/>
      <c r="AT228" s="11"/>
      <c r="AU228" s="11"/>
      <c r="BD228" s="19" t="s">
        <v>158</v>
      </c>
      <c r="BE228" s="11" t="s">
        <v>409</v>
      </c>
    </row>
    <row r="229" spans="2:57" x14ac:dyDescent="0.3">
      <c r="B229" s="11" t="s">
        <v>163</v>
      </c>
      <c r="C229" s="4" t="s">
        <v>164</v>
      </c>
      <c r="D229" s="4" t="s">
        <v>257</v>
      </c>
      <c r="E229" s="4"/>
      <c r="F229" s="42" t="s">
        <v>254</v>
      </c>
      <c r="G229" s="4"/>
      <c r="H229" s="4">
        <v>1023.654</v>
      </c>
      <c r="I229" s="36">
        <f t="shared" si="16"/>
        <v>167.14632092484374</v>
      </c>
      <c r="J229" s="4" t="s">
        <v>259</v>
      </c>
      <c r="K229" s="4">
        <v>171.1</v>
      </c>
      <c r="L229" s="4">
        <v>2.4500000000000002</v>
      </c>
      <c r="M229" s="4">
        <f t="shared" si="18"/>
        <v>69.836734693877546</v>
      </c>
      <c r="N229" s="4" t="s">
        <v>253</v>
      </c>
      <c r="O229" s="4"/>
      <c r="P229" s="4" t="s">
        <v>258</v>
      </c>
      <c r="Q229" s="4"/>
      <c r="R229" s="4" t="s">
        <v>396</v>
      </c>
      <c r="S229" s="4" t="s">
        <v>397</v>
      </c>
      <c r="T229" s="4"/>
      <c r="U229" s="4" t="s">
        <v>398</v>
      </c>
      <c r="V229" s="4" t="s">
        <v>399</v>
      </c>
      <c r="W229" s="4" t="s">
        <v>400</v>
      </c>
      <c r="X229" s="4" t="s">
        <v>402</v>
      </c>
      <c r="Y229" s="4" t="s">
        <v>403</v>
      </c>
      <c r="Z229" s="4" t="s">
        <v>404</v>
      </c>
      <c r="AA229" s="4">
        <v>318</v>
      </c>
      <c r="AB229" s="4"/>
      <c r="AC229" s="4" t="s">
        <v>376</v>
      </c>
      <c r="AD229" s="4"/>
      <c r="AE229" s="4">
        <v>7200</v>
      </c>
      <c r="AF229" s="4" t="s">
        <v>405</v>
      </c>
      <c r="AG229" s="4"/>
      <c r="AH229" s="59"/>
      <c r="AJ229" s="25">
        <v>6.3697694169953098E-3</v>
      </c>
      <c r="AK229" s="25">
        <v>482.089388379789</v>
      </c>
      <c r="AL229" s="11">
        <f t="shared" si="17"/>
        <v>0.14803992464968485</v>
      </c>
      <c r="AN229" s="63">
        <v>318</v>
      </c>
      <c r="AO229" s="11">
        <f t="shared" si="15"/>
        <v>348.15</v>
      </c>
      <c r="AP229" s="65" t="s">
        <v>161</v>
      </c>
      <c r="AQ229" s="66">
        <v>482.089388379789</v>
      </c>
      <c r="AR229" s="66">
        <v>6.3697694169953098E-3</v>
      </c>
      <c r="AS229" s="11"/>
      <c r="AT229" s="11"/>
      <c r="AU229" s="11"/>
      <c r="BD229" s="19" t="s">
        <v>158</v>
      </c>
      <c r="BE229" s="11" t="s">
        <v>409</v>
      </c>
    </row>
    <row r="230" spans="2:57" x14ac:dyDescent="0.3">
      <c r="B230" s="11" t="s">
        <v>163</v>
      </c>
      <c r="C230" s="4" t="s">
        <v>164</v>
      </c>
      <c r="D230" s="4" t="s">
        <v>257</v>
      </c>
      <c r="E230" s="4"/>
      <c r="F230" s="42" t="s">
        <v>254</v>
      </c>
      <c r="G230" s="4"/>
      <c r="H230" s="4">
        <v>1023.654</v>
      </c>
      <c r="I230" s="36">
        <f t="shared" si="16"/>
        <v>167.14632092484374</v>
      </c>
      <c r="J230" s="4" t="s">
        <v>259</v>
      </c>
      <c r="K230" s="4">
        <v>171.1</v>
      </c>
      <c r="L230" s="4">
        <v>2.4500000000000002</v>
      </c>
      <c r="M230" s="4">
        <f t="shared" si="18"/>
        <v>69.836734693877546</v>
      </c>
      <c r="N230" s="4" t="s">
        <v>253</v>
      </c>
      <c r="O230" s="4"/>
      <c r="P230" s="4" t="s">
        <v>258</v>
      </c>
      <c r="Q230" s="4"/>
      <c r="R230" s="4" t="s">
        <v>396</v>
      </c>
      <c r="S230" s="4" t="s">
        <v>397</v>
      </c>
      <c r="T230" s="4"/>
      <c r="U230" s="4" t="s">
        <v>398</v>
      </c>
      <c r="V230" s="4" t="s">
        <v>399</v>
      </c>
      <c r="W230" s="4" t="s">
        <v>400</v>
      </c>
      <c r="X230" s="4" t="s">
        <v>402</v>
      </c>
      <c r="Y230" s="4" t="s">
        <v>403</v>
      </c>
      <c r="Z230" s="4" t="s">
        <v>404</v>
      </c>
      <c r="AA230" s="4">
        <v>318</v>
      </c>
      <c r="AB230" s="4"/>
      <c r="AC230" s="4" t="s">
        <v>376</v>
      </c>
      <c r="AD230" s="4"/>
      <c r="AE230" s="4">
        <v>7200</v>
      </c>
      <c r="AF230" s="4" t="s">
        <v>405</v>
      </c>
      <c r="AG230" s="4"/>
      <c r="AH230" s="59"/>
      <c r="AJ230" s="25">
        <v>6.1469516033596404E-3</v>
      </c>
      <c r="AK230" s="25">
        <v>486.67921441446401</v>
      </c>
      <c r="AL230" s="11">
        <f t="shared" si="17"/>
        <v>0.14559464120802301</v>
      </c>
      <c r="AN230" s="63">
        <v>318</v>
      </c>
      <c r="AO230" s="11">
        <f t="shared" si="15"/>
        <v>348.15</v>
      </c>
      <c r="AP230" s="65" t="s">
        <v>161</v>
      </c>
      <c r="AQ230" s="66">
        <v>486.67921441446401</v>
      </c>
      <c r="AR230" s="66">
        <v>6.1469516033596404E-3</v>
      </c>
      <c r="AS230" s="11"/>
      <c r="AT230" s="11"/>
      <c r="AU230" s="11"/>
      <c r="BD230" s="19" t="s">
        <v>158</v>
      </c>
      <c r="BE230" s="11" t="s">
        <v>409</v>
      </c>
    </row>
    <row r="231" spans="2:57" x14ac:dyDescent="0.3">
      <c r="B231" s="11" t="s">
        <v>163</v>
      </c>
      <c r="C231" s="4" t="s">
        <v>164</v>
      </c>
      <c r="D231" s="4" t="s">
        <v>257</v>
      </c>
      <c r="E231" s="4"/>
      <c r="F231" s="42" t="s">
        <v>254</v>
      </c>
      <c r="G231" s="4"/>
      <c r="H231" s="4">
        <v>1023.654</v>
      </c>
      <c r="I231" s="36">
        <f t="shared" si="16"/>
        <v>167.14632092484374</v>
      </c>
      <c r="J231" s="4" t="s">
        <v>259</v>
      </c>
      <c r="K231" s="4">
        <v>171.1</v>
      </c>
      <c r="L231" s="4">
        <v>2.4500000000000002</v>
      </c>
      <c r="M231" s="4">
        <f t="shared" si="18"/>
        <v>69.836734693877546</v>
      </c>
      <c r="N231" s="4" t="s">
        <v>253</v>
      </c>
      <c r="O231" s="4"/>
      <c r="P231" s="4" t="s">
        <v>258</v>
      </c>
      <c r="Q231" s="4"/>
      <c r="R231" s="4" t="s">
        <v>396</v>
      </c>
      <c r="S231" s="4" t="s">
        <v>397</v>
      </c>
      <c r="T231" s="4"/>
      <c r="U231" s="4" t="s">
        <v>398</v>
      </c>
      <c r="V231" s="4" t="s">
        <v>399</v>
      </c>
      <c r="W231" s="4" t="s">
        <v>400</v>
      </c>
      <c r="X231" s="4" t="s">
        <v>402</v>
      </c>
      <c r="Y231" s="4" t="s">
        <v>403</v>
      </c>
      <c r="Z231" s="4" t="s">
        <v>404</v>
      </c>
      <c r="AA231" s="4">
        <v>318</v>
      </c>
      <c r="AB231" s="4"/>
      <c r="AC231" s="4" t="s">
        <v>376</v>
      </c>
      <c r="AD231" s="4"/>
      <c r="AE231" s="4">
        <v>7200</v>
      </c>
      <c r="AF231" s="4" t="s">
        <v>405</v>
      </c>
      <c r="AG231" s="4"/>
      <c r="AH231" s="59"/>
      <c r="AJ231" s="25">
        <v>6.0027535804775597E-3</v>
      </c>
      <c r="AK231" s="25">
        <v>486.67921441446401</v>
      </c>
      <c r="AL231" s="11">
        <f t="shared" si="17"/>
        <v>0.14217921503272204</v>
      </c>
      <c r="AN231" s="63">
        <v>318</v>
      </c>
      <c r="AO231" s="11">
        <f t="shared" si="15"/>
        <v>348.15</v>
      </c>
      <c r="AP231" s="65" t="s">
        <v>161</v>
      </c>
      <c r="AQ231" s="66">
        <v>486.67921441446401</v>
      </c>
      <c r="AR231" s="66">
        <v>6.0027535804775597E-3</v>
      </c>
      <c r="AS231" s="11"/>
      <c r="AT231" s="11"/>
      <c r="AU231" s="11"/>
      <c r="BD231" s="19" t="s">
        <v>158</v>
      </c>
      <c r="BE231" s="11" t="s">
        <v>409</v>
      </c>
    </row>
    <row r="232" spans="2:57" x14ac:dyDescent="0.3">
      <c r="B232" s="11" t="s">
        <v>163</v>
      </c>
      <c r="C232" s="4" t="s">
        <v>164</v>
      </c>
      <c r="D232" s="4" t="s">
        <v>257</v>
      </c>
      <c r="E232" s="4"/>
      <c r="F232" s="42" t="s">
        <v>254</v>
      </c>
      <c r="G232" s="4"/>
      <c r="H232" s="4">
        <v>1023.654</v>
      </c>
      <c r="I232" s="36">
        <f t="shared" si="16"/>
        <v>167.14632092484374</v>
      </c>
      <c r="J232" s="4" t="s">
        <v>259</v>
      </c>
      <c r="K232" s="4">
        <v>171.1</v>
      </c>
      <c r="L232" s="4">
        <v>2.4500000000000002</v>
      </c>
      <c r="M232" s="4">
        <f t="shared" si="18"/>
        <v>69.836734693877546</v>
      </c>
      <c r="N232" s="4" t="s">
        <v>253</v>
      </c>
      <c r="O232" s="4"/>
      <c r="P232" s="4" t="s">
        <v>258</v>
      </c>
      <c r="Q232" s="4"/>
      <c r="R232" s="4" t="s">
        <v>396</v>
      </c>
      <c r="S232" s="4" t="s">
        <v>397</v>
      </c>
      <c r="T232" s="4"/>
      <c r="U232" s="4" t="s">
        <v>398</v>
      </c>
      <c r="V232" s="4" t="s">
        <v>399</v>
      </c>
      <c r="W232" s="4" t="s">
        <v>400</v>
      </c>
      <c r="X232" s="4" t="s">
        <v>402</v>
      </c>
      <c r="Y232" s="4" t="s">
        <v>403</v>
      </c>
      <c r="Z232" s="4" t="s">
        <v>404</v>
      </c>
      <c r="AA232" s="4">
        <v>318</v>
      </c>
      <c r="AB232" s="4"/>
      <c r="AC232" s="4" t="s">
        <v>376</v>
      </c>
      <c r="AD232" s="4"/>
      <c r="AE232" s="4">
        <v>7200</v>
      </c>
      <c r="AF232" s="4" t="s">
        <v>405</v>
      </c>
      <c r="AG232" s="4"/>
      <c r="AH232" s="59"/>
      <c r="AJ232" s="25">
        <v>5.7927741697587102E-3</v>
      </c>
      <c r="AK232" s="25">
        <v>491.31273878296599</v>
      </c>
      <c r="AL232" s="11">
        <f t="shared" si="17"/>
        <v>0.13983073720763003</v>
      </c>
      <c r="AN232" s="63">
        <v>318</v>
      </c>
      <c r="AO232" s="11">
        <f t="shared" si="15"/>
        <v>348.15</v>
      </c>
      <c r="AP232" s="65" t="s">
        <v>161</v>
      </c>
      <c r="AQ232" s="66">
        <v>491.31273878296599</v>
      </c>
      <c r="AR232" s="66">
        <v>5.7927741697587102E-3</v>
      </c>
      <c r="AS232" s="11"/>
      <c r="AT232" s="11"/>
      <c r="AU232" s="11"/>
      <c r="BD232" s="19" t="s">
        <v>158</v>
      </c>
      <c r="BE232" s="11" t="s">
        <v>409</v>
      </c>
    </row>
    <row r="233" spans="2:57" x14ac:dyDescent="0.3">
      <c r="B233" s="11" t="s">
        <v>163</v>
      </c>
      <c r="C233" s="4" t="s">
        <v>164</v>
      </c>
      <c r="D233" s="4" t="s">
        <v>257</v>
      </c>
      <c r="E233" s="4"/>
      <c r="F233" s="42" t="s">
        <v>254</v>
      </c>
      <c r="G233" s="4"/>
      <c r="H233" s="4">
        <v>1023.654</v>
      </c>
      <c r="I233" s="36">
        <f t="shared" si="16"/>
        <v>167.14632092484374</v>
      </c>
      <c r="J233" s="4" t="s">
        <v>259</v>
      </c>
      <c r="K233" s="4">
        <v>171.1</v>
      </c>
      <c r="L233" s="4">
        <v>2.4500000000000002</v>
      </c>
      <c r="M233" s="4">
        <f t="shared" si="18"/>
        <v>69.836734693877546</v>
      </c>
      <c r="N233" s="4" t="s">
        <v>253</v>
      </c>
      <c r="O233" s="4"/>
      <c r="P233" s="4" t="s">
        <v>258</v>
      </c>
      <c r="Q233" s="4"/>
      <c r="R233" s="4" t="s">
        <v>396</v>
      </c>
      <c r="S233" s="4" t="s">
        <v>397</v>
      </c>
      <c r="T233" s="4"/>
      <c r="U233" s="4" t="s">
        <v>398</v>
      </c>
      <c r="V233" s="4" t="s">
        <v>399</v>
      </c>
      <c r="W233" s="4" t="s">
        <v>400</v>
      </c>
      <c r="X233" s="4" t="s">
        <v>402</v>
      </c>
      <c r="Y233" s="4" t="s">
        <v>403</v>
      </c>
      <c r="Z233" s="4" t="s">
        <v>404</v>
      </c>
      <c r="AA233" s="4">
        <v>318</v>
      </c>
      <c r="AB233" s="4"/>
      <c r="AC233" s="4" t="s">
        <v>376</v>
      </c>
      <c r="AD233" s="4"/>
      <c r="AE233" s="4">
        <v>7200</v>
      </c>
      <c r="AF233" s="4" t="s">
        <v>405</v>
      </c>
      <c r="AG233" s="4"/>
      <c r="AH233" s="59"/>
      <c r="AJ233" s="25">
        <v>5.6568846042991299E-3</v>
      </c>
      <c r="AK233" s="25">
        <v>491.31273878296599</v>
      </c>
      <c r="AL233" s="11">
        <f t="shared" si="17"/>
        <v>0.13655052334805379</v>
      </c>
      <c r="AN233" s="63">
        <v>318</v>
      </c>
      <c r="AO233" s="11">
        <f t="shared" si="15"/>
        <v>348.15</v>
      </c>
      <c r="AP233" s="65" t="s">
        <v>161</v>
      </c>
      <c r="AQ233" s="66">
        <v>491.31273878296599</v>
      </c>
      <c r="AR233" s="66">
        <v>5.6568846042991299E-3</v>
      </c>
      <c r="AS233" s="11"/>
      <c r="AT233" s="11"/>
      <c r="AU233" s="11"/>
      <c r="BD233" s="19" t="s">
        <v>158</v>
      </c>
      <c r="BE233" s="11" t="s">
        <v>409</v>
      </c>
    </row>
    <row r="234" spans="2:57" x14ac:dyDescent="0.3">
      <c r="B234" s="11" t="s">
        <v>163</v>
      </c>
      <c r="C234" s="4" t="s">
        <v>164</v>
      </c>
      <c r="D234" s="4" t="s">
        <v>257</v>
      </c>
      <c r="E234" s="4"/>
      <c r="F234" s="42" t="s">
        <v>254</v>
      </c>
      <c r="G234" s="4"/>
      <c r="H234" s="4">
        <v>1023.654</v>
      </c>
      <c r="I234" s="36">
        <f t="shared" si="16"/>
        <v>167.14632092484374</v>
      </c>
      <c r="J234" s="4" t="s">
        <v>259</v>
      </c>
      <c r="K234" s="4">
        <v>171.1</v>
      </c>
      <c r="L234" s="4">
        <v>2.4500000000000002</v>
      </c>
      <c r="M234" s="4">
        <f t="shared" si="18"/>
        <v>69.836734693877546</v>
      </c>
      <c r="N234" s="4" t="s">
        <v>253</v>
      </c>
      <c r="O234" s="4"/>
      <c r="P234" s="4" t="s">
        <v>258</v>
      </c>
      <c r="Q234" s="4"/>
      <c r="R234" s="4" t="s">
        <v>396</v>
      </c>
      <c r="S234" s="4" t="s">
        <v>397</v>
      </c>
      <c r="T234" s="4"/>
      <c r="U234" s="4" t="s">
        <v>398</v>
      </c>
      <c r="V234" s="4" t="s">
        <v>399</v>
      </c>
      <c r="W234" s="4" t="s">
        <v>400</v>
      </c>
      <c r="X234" s="4" t="s">
        <v>402</v>
      </c>
      <c r="Y234" s="4" t="s">
        <v>403</v>
      </c>
      <c r="Z234" s="4" t="s">
        <v>404</v>
      </c>
      <c r="AA234" s="4">
        <v>318</v>
      </c>
      <c r="AB234" s="4"/>
      <c r="AC234" s="4" t="s">
        <v>376</v>
      </c>
      <c r="AD234" s="4"/>
      <c r="AE234" s="4">
        <v>7200</v>
      </c>
      <c r="AF234" s="4" t="s">
        <v>405</v>
      </c>
      <c r="AG234" s="4"/>
      <c r="AH234" s="59"/>
      <c r="AJ234" s="25">
        <v>5.5241827988763903E-3</v>
      </c>
      <c r="AK234" s="25">
        <v>495.99037752380599</v>
      </c>
      <c r="AL234" s="11">
        <f t="shared" si="17"/>
        <v>0.13589846248929358</v>
      </c>
      <c r="AN234" s="63">
        <v>318</v>
      </c>
      <c r="AO234" s="11">
        <f t="shared" si="15"/>
        <v>348.15</v>
      </c>
      <c r="AP234" s="65" t="s">
        <v>161</v>
      </c>
      <c r="AQ234" s="66">
        <v>495.99037752380599</v>
      </c>
      <c r="AR234" s="66">
        <v>5.5241827988763903E-3</v>
      </c>
      <c r="AS234" s="11"/>
      <c r="AT234" s="11"/>
      <c r="AU234" s="11"/>
      <c r="BD234" s="19" t="s">
        <v>158</v>
      </c>
      <c r="BE234" s="11" t="s">
        <v>409</v>
      </c>
    </row>
    <row r="235" spans="2:57" x14ac:dyDescent="0.3">
      <c r="B235" s="11" t="s">
        <v>163</v>
      </c>
      <c r="C235" s="4" t="s">
        <v>164</v>
      </c>
      <c r="D235" s="4" t="s">
        <v>257</v>
      </c>
      <c r="E235" s="4"/>
      <c r="F235" s="42" t="s">
        <v>254</v>
      </c>
      <c r="G235" s="4"/>
      <c r="H235" s="4">
        <v>1023.654</v>
      </c>
      <c r="I235" s="36">
        <f t="shared" si="16"/>
        <v>167.14632092484374</v>
      </c>
      <c r="J235" s="4" t="s">
        <v>259</v>
      </c>
      <c r="K235" s="4">
        <v>171.1</v>
      </c>
      <c r="L235" s="4">
        <v>2.4500000000000002</v>
      </c>
      <c r="M235" s="4">
        <f t="shared" si="18"/>
        <v>69.836734693877546</v>
      </c>
      <c r="N235" s="4" t="s">
        <v>253</v>
      </c>
      <c r="O235" s="4"/>
      <c r="P235" s="4" t="s">
        <v>258</v>
      </c>
      <c r="Q235" s="4"/>
      <c r="R235" s="4" t="s">
        <v>396</v>
      </c>
      <c r="S235" s="4" t="s">
        <v>397</v>
      </c>
      <c r="T235" s="4"/>
      <c r="U235" s="4" t="s">
        <v>398</v>
      </c>
      <c r="V235" s="4" t="s">
        <v>399</v>
      </c>
      <c r="W235" s="4" t="s">
        <v>400</v>
      </c>
      <c r="X235" s="4" t="s">
        <v>402</v>
      </c>
      <c r="Y235" s="4" t="s">
        <v>403</v>
      </c>
      <c r="Z235" s="4" t="s">
        <v>404</v>
      </c>
      <c r="AA235" s="4">
        <v>318</v>
      </c>
      <c r="AB235" s="4"/>
      <c r="AC235" s="4" t="s">
        <v>376</v>
      </c>
      <c r="AD235" s="4"/>
      <c r="AE235" s="4">
        <v>7200</v>
      </c>
      <c r="AF235" s="4" t="s">
        <v>405</v>
      </c>
      <c r="AG235" s="4"/>
      <c r="AH235" s="59"/>
      <c r="AJ235" s="25">
        <v>5.3309440404866104E-3</v>
      </c>
      <c r="AK235" s="25">
        <v>500.71255063646799</v>
      </c>
      <c r="AL235" s="11">
        <f t="shared" si="17"/>
        <v>0.13365372843624157</v>
      </c>
      <c r="AN235" s="63">
        <v>318</v>
      </c>
      <c r="AO235" s="11">
        <f t="shared" si="15"/>
        <v>348.15</v>
      </c>
      <c r="AP235" s="65" t="s">
        <v>161</v>
      </c>
      <c r="AQ235" s="66">
        <v>500.71255063646799</v>
      </c>
      <c r="AR235" s="66">
        <v>5.3309440404866104E-3</v>
      </c>
      <c r="AS235" s="11"/>
      <c r="AT235" s="11"/>
      <c r="AU235" s="11"/>
      <c r="BD235" s="19" t="s">
        <v>158</v>
      </c>
      <c r="BE235" s="11" t="s">
        <v>409</v>
      </c>
    </row>
    <row r="236" spans="2:57" x14ac:dyDescent="0.3">
      <c r="B236" s="11" t="s">
        <v>163</v>
      </c>
      <c r="C236" s="4" t="s">
        <v>164</v>
      </c>
      <c r="D236" s="4" t="s">
        <v>257</v>
      </c>
      <c r="E236" s="4"/>
      <c r="F236" s="42" t="s">
        <v>254</v>
      </c>
      <c r="G236" s="4"/>
      <c r="H236" s="4">
        <v>1023.654</v>
      </c>
      <c r="I236" s="36">
        <f t="shared" si="16"/>
        <v>167.14632092484374</v>
      </c>
      <c r="J236" s="4" t="s">
        <v>259</v>
      </c>
      <c r="K236" s="4">
        <v>171.1</v>
      </c>
      <c r="L236" s="4">
        <v>2.4500000000000002</v>
      </c>
      <c r="M236" s="4">
        <f t="shared" si="18"/>
        <v>69.836734693877546</v>
      </c>
      <c r="N236" s="4" t="s">
        <v>253</v>
      </c>
      <c r="O236" s="4"/>
      <c r="P236" s="4" t="s">
        <v>258</v>
      </c>
      <c r="Q236" s="4"/>
      <c r="R236" s="4" t="s">
        <v>396</v>
      </c>
      <c r="S236" s="4" t="s">
        <v>397</v>
      </c>
      <c r="T236" s="4"/>
      <c r="U236" s="4" t="s">
        <v>398</v>
      </c>
      <c r="V236" s="4" t="s">
        <v>399</v>
      </c>
      <c r="W236" s="4" t="s">
        <v>400</v>
      </c>
      <c r="X236" s="4" t="s">
        <v>402</v>
      </c>
      <c r="Y236" s="4" t="s">
        <v>403</v>
      </c>
      <c r="Z236" s="4" t="s">
        <v>404</v>
      </c>
      <c r="AA236" s="4">
        <v>318</v>
      </c>
      <c r="AB236" s="4"/>
      <c r="AC236" s="4" t="s">
        <v>376</v>
      </c>
      <c r="AD236" s="4"/>
      <c r="AE236" s="4">
        <v>7200</v>
      </c>
      <c r="AF236" s="4" t="s">
        <v>405</v>
      </c>
      <c r="AG236" s="4"/>
      <c r="AH236" s="59"/>
      <c r="AJ236" s="25">
        <v>5.1444648733528697E-3</v>
      </c>
      <c r="AK236" s="25">
        <v>500.71255063646799</v>
      </c>
      <c r="AL236" s="11">
        <f t="shared" si="17"/>
        <v>0.12897845220489804</v>
      </c>
      <c r="AN236" s="63">
        <v>318</v>
      </c>
      <c r="AO236" s="11">
        <f t="shared" si="15"/>
        <v>348.15</v>
      </c>
      <c r="AP236" s="65" t="s">
        <v>161</v>
      </c>
      <c r="AQ236" s="66">
        <v>500.71255063646799</v>
      </c>
      <c r="AR236" s="66">
        <v>5.1444648733528697E-3</v>
      </c>
      <c r="AS236" s="11"/>
      <c r="AT236" s="11"/>
      <c r="AU236" s="11"/>
      <c r="BD236" s="19" t="s">
        <v>158</v>
      </c>
      <c r="BE236" s="11" t="s">
        <v>409</v>
      </c>
    </row>
    <row r="237" spans="2:57" x14ac:dyDescent="0.3">
      <c r="B237" s="11" t="s">
        <v>163</v>
      </c>
      <c r="C237" s="4" t="s">
        <v>164</v>
      </c>
      <c r="D237" s="4" t="s">
        <v>257</v>
      </c>
      <c r="E237" s="4"/>
      <c r="F237" s="42" t="s">
        <v>254</v>
      </c>
      <c r="G237" s="4"/>
      <c r="H237" s="4">
        <v>1023.654</v>
      </c>
      <c r="I237" s="36">
        <f t="shared" si="16"/>
        <v>167.14632092484374</v>
      </c>
      <c r="J237" s="4" t="s">
        <v>259</v>
      </c>
      <c r="K237" s="4">
        <v>171.1</v>
      </c>
      <c r="L237" s="4">
        <v>2.4500000000000002</v>
      </c>
      <c r="M237" s="4">
        <f t="shared" si="18"/>
        <v>69.836734693877546</v>
      </c>
      <c r="N237" s="4" t="s">
        <v>253</v>
      </c>
      <c r="O237" s="4"/>
      <c r="P237" s="4" t="s">
        <v>258</v>
      </c>
      <c r="Q237" s="4"/>
      <c r="R237" s="4" t="s">
        <v>396</v>
      </c>
      <c r="S237" s="4" t="s">
        <v>397</v>
      </c>
      <c r="T237" s="4"/>
      <c r="U237" s="4" t="s">
        <v>398</v>
      </c>
      <c r="V237" s="4" t="s">
        <v>399</v>
      </c>
      <c r="W237" s="4" t="s">
        <v>400</v>
      </c>
      <c r="X237" s="4" t="s">
        <v>402</v>
      </c>
      <c r="Y237" s="4" t="s">
        <v>403</v>
      </c>
      <c r="Z237" s="4" t="s">
        <v>404</v>
      </c>
      <c r="AA237" s="4">
        <v>318</v>
      </c>
      <c r="AB237" s="4"/>
      <c r="AC237" s="4" t="s">
        <v>376</v>
      </c>
      <c r="AD237" s="4"/>
      <c r="AE237" s="4">
        <v>7200</v>
      </c>
      <c r="AF237" s="4" t="s">
        <v>405</v>
      </c>
      <c r="AG237" s="4"/>
      <c r="AH237" s="59"/>
      <c r="AJ237" s="25">
        <v>4.9645088434928999E-3</v>
      </c>
      <c r="AK237" s="25">
        <v>505.47968211912303</v>
      </c>
      <c r="AL237" s="11">
        <f t="shared" si="17"/>
        <v>0.12684802101037945</v>
      </c>
      <c r="AN237" s="63">
        <v>318</v>
      </c>
      <c r="AO237" s="11">
        <f t="shared" si="15"/>
        <v>348.15</v>
      </c>
      <c r="AP237" s="65" t="s">
        <v>161</v>
      </c>
      <c r="AQ237" s="66">
        <v>505.47968211912303</v>
      </c>
      <c r="AR237" s="66">
        <v>4.9645088434928999E-3</v>
      </c>
      <c r="AS237" s="11"/>
      <c r="AT237" s="11"/>
      <c r="AU237" s="11"/>
      <c r="BD237" s="19" t="s">
        <v>158</v>
      </c>
      <c r="BE237" s="11" t="s">
        <v>409</v>
      </c>
    </row>
    <row r="238" spans="2:57" x14ac:dyDescent="0.3">
      <c r="B238" s="11" t="s">
        <v>163</v>
      </c>
      <c r="C238" s="4" t="s">
        <v>164</v>
      </c>
      <c r="D238" s="4" t="s">
        <v>257</v>
      </c>
      <c r="E238" s="4"/>
      <c r="F238" s="42" t="s">
        <v>254</v>
      </c>
      <c r="G238" s="4"/>
      <c r="H238" s="4">
        <v>1023.654</v>
      </c>
      <c r="I238" s="36">
        <f t="shared" si="16"/>
        <v>167.14632092484374</v>
      </c>
      <c r="J238" s="4" t="s">
        <v>259</v>
      </c>
      <c r="K238" s="4">
        <v>171.1</v>
      </c>
      <c r="L238" s="4">
        <v>2.4500000000000002</v>
      </c>
      <c r="M238" s="4">
        <f t="shared" si="18"/>
        <v>69.836734693877546</v>
      </c>
      <c r="N238" s="4" t="s">
        <v>253</v>
      </c>
      <c r="O238" s="4"/>
      <c r="P238" s="4" t="s">
        <v>258</v>
      </c>
      <c r="Q238" s="4"/>
      <c r="R238" s="4" t="s">
        <v>396</v>
      </c>
      <c r="S238" s="4" t="s">
        <v>397</v>
      </c>
      <c r="T238" s="4"/>
      <c r="U238" s="4" t="s">
        <v>398</v>
      </c>
      <c r="V238" s="4" t="s">
        <v>399</v>
      </c>
      <c r="W238" s="4" t="s">
        <v>400</v>
      </c>
      <c r="X238" s="4" t="s">
        <v>402</v>
      </c>
      <c r="Y238" s="4" t="s">
        <v>403</v>
      </c>
      <c r="Z238" s="4" t="s">
        <v>404</v>
      </c>
      <c r="AA238" s="4">
        <v>318</v>
      </c>
      <c r="AB238" s="4"/>
      <c r="AC238" s="4" t="s">
        <v>376</v>
      </c>
      <c r="AD238" s="4"/>
      <c r="AE238" s="4">
        <v>7200</v>
      </c>
      <c r="AF238" s="4" t="s">
        <v>405</v>
      </c>
      <c r="AG238" s="4"/>
      <c r="AH238" s="59"/>
      <c r="AJ238" s="25">
        <v>4.7908477682064698E-3</v>
      </c>
      <c r="AK238" s="25">
        <v>510.29220000670102</v>
      </c>
      <c r="AL238" s="11">
        <f t="shared" si="17"/>
        <v>0.12475277970221013</v>
      </c>
      <c r="AN238" s="63">
        <v>318</v>
      </c>
      <c r="AO238" s="11">
        <f t="shared" si="15"/>
        <v>348.15</v>
      </c>
      <c r="AP238" s="65" t="s">
        <v>161</v>
      </c>
      <c r="AQ238" s="66">
        <v>510.29220000670102</v>
      </c>
      <c r="AR238" s="66">
        <v>4.7908477682064698E-3</v>
      </c>
      <c r="AS238" s="11"/>
      <c r="AT238" s="11"/>
      <c r="AU238" s="11"/>
      <c r="BD238" s="19" t="s">
        <v>158</v>
      </c>
      <c r="BE238" s="11" t="s">
        <v>409</v>
      </c>
    </row>
    <row r="239" spans="2:57" x14ac:dyDescent="0.3">
      <c r="B239" s="11" t="s">
        <v>163</v>
      </c>
      <c r="C239" s="4" t="s">
        <v>164</v>
      </c>
      <c r="D239" s="4" t="s">
        <v>257</v>
      </c>
      <c r="E239" s="4"/>
      <c r="F239" s="42" t="s">
        <v>254</v>
      </c>
      <c r="G239" s="4"/>
      <c r="H239" s="4">
        <v>1023.654</v>
      </c>
      <c r="I239" s="36">
        <f t="shared" si="16"/>
        <v>167.14632092484374</v>
      </c>
      <c r="J239" s="4" t="s">
        <v>259</v>
      </c>
      <c r="K239" s="4">
        <v>171.1</v>
      </c>
      <c r="L239" s="4">
        <v>2.4500000000000002</v>
      </c>
      <c r="M239" s="4">
        <f t="shared" si="18"/>
        <v>69.836734693877546</v>
      </c>
      <c r="N239" s="4" t="s">
        <v>253</v>
      </c>
      <c r="O239" s="4"/>
      <c r="P239" s="4" t="s">
        <v>258</v>
      </c>
      <c r="Q239" s="4"/>
      <c r="R239" s="4" t="s">
        <v>396</v>
      </c>
      <c r="S239" s="4" t="s">
        <v>397</v>
      </c>
      <c r="T239" s="4"/>
      <c r="U239" s="4" t="s">
        <v>398</v>
      </c>
      <c r="V239" s="4" t="s">
        <v>399</v>
      </c>
      <c r="W239" s="4" t="s">
        <v>400</v>
      </c>
      <c r="X239" s="4" t="s">
        <v>402</v>
      </c>
      <c r="Y239" s="4" t="s">
        <v>403</v>
      </c>
      <c r="Z239" s="4" t="s">
        <v>404</v>
      </c>
      <c r="AA239" s="4">
        <v>318</v>
      </c>
      <c r="AB239" s="4"/>
      <c r="AC239" s="4" t="s">
        <v>376</v>
      </c>
      <c r="AD239" s="4"/>
      <c r="AE239" s="4">
        <v>7200</v>
      </c>
      <c r="AF239" s="4" t="s">
        <v>405</v>
      </c>
      <c r="AG239" s="4"/>
      <c r="AH239" s="59"/>
      <c r="AJ239" s="25">
        <v>4.6232614467417001E-3</v>
      </c>
      <c r="AK239" s="25">
        <v>515.15053640932001</v>
      </c>
      <c r="AL239" s="11">
        <f t="shared" si="17"/>
        <v>0.12269214702336349</v>
      </c>
      <c r="AN239" s="63">
        <v>318</v>
      </c>
      <c r="AO239" s="11">
        <f t="shared" si="15"/>
        <v>348.15</v>
      </c>
      <c r="AP239" s="65" t="s">
        <v>161</v>
      </c>
      <c r="AQ239" s="66">
        <v>515.15053640932001</v>
      </c>
      <c r="AR239" s="66">
        <v>4.6232614467417001E-3</v>
      </c>
      <c r="AS239" s="11"/>
      <c r="AT239" s="11"/>
      <c r="AU239" s="11"/>
      <c r="BD239" s="19" t="s">
        <v>158</v>
      </c>
      <c r="BE239" s="11" t="s">
        <v>409</v>
      </c>
    </row>
    <row r="240" spans="2:57" x14ac:dyDescent="0.3">
      <c r="B240" s="11" t="s">
        <v>163</v>
      </c>
      <c r="C240" s="4" t="s">
        <v>164</v>
      </c>
      <c r="D240" s="4" t="s">
        <v>257</v>
      </c>
      <c r="E240" s="4"/>
      <c r="F240" s="42" t="s">
        <v>254</v>
      </c>
      <c r="G240" s="4"/>
      <c r="H240" s="4">
        <v>1023.654</v>
      </c>
      <c r="I240" s="36">
        <f t="shared" si="16"/>
        <v>167.14632092484374</v>
      </c>
      <c r="J240" s="4" t="s">
        <v>259</v>
      </c>
      <c r="K240" s="4">
        <v>171.1</v>
      </c>
      <c r="L240" s="4">
        <v>2.4500000000000002</v>
      </c>
      <c r="M240" s="4">
        <f t="shared" si="18"/>
        <v>69.836734693877546</v>
      </c>
      <c r="N240" s="4" t="s">
        <v>253</v>
      </c>
      <c r="O240" s="4"/>
      <c r="P240" s="4" t="s">
        <v>258</v>
      </c>
      <c r="Q240" s="4"/>
      <c r="R240" s="4" t="s">
        <v>396</v>
      </c>
      <c r="S240" s="4" t="s">
        <v>397</v>
      </c>
      <c r="T240" s="4"/>
      <c r="U240" s="4" t="s">
        <v>398</v>
      </c>
      <c r="V240" s="4" t="s">
        <v>399</v>
      </c>
      <c r="W240" s="4" t="s">
        <v>400</v>
      </c>
      <c r="X240" s="4" t="s">
        <v>402</v>
      </c>
      <c r="Y240" s="4" t="s">
        <v>403</v>
      </c>
      <c r="Z240" s="4" t="s">
        <v>404</v>
      </c>
      <c r="AA240" s="4">
        <v>318</v>
      </c>
      <c r="AB240" s="4"/>
      <c r="AC240" s="4" t="s">
        <v>376</v>
      </c>
      <c r="AD240" s="4"/>
      <c r="AE240" s="4">
        <v>7200</v>
      </c>
      <c r="AF240" s="4" t="s">
        <v>405</v>
      </c>
      <c r="AG240" s="4"/>
      <c r="AH240" s="59"/>
      <c r="AJ240" s="25">
        <v>4.4088964303372301E-3</v>
      </c>
      <c r="AK240" s="25">
        <v>520.05512755108805</v>
      </c>
      <c r="AL240" s="11">
        <f t="shared" si="17"/>
        <v>0.11924183818917636</v>
      </c>
      <c r="AN240" s="63">
        <v>318</v>
      </c>
      <c r="AO240" s="11">
        <f t="shared" si="15"/>
        <v>348.15</v>
      </c>
      <c r="AP240" s="65" t="s">
        <v>161</v>
      </c>
      <c r="AQ240" s="66">
        <v>520.05512755108805</v>
      </c>
      <c r="AR240" s="66">
        <v>4.4088964303372301E-3</v>
      </c>
      <c r="AS240" s="11"/>
      <c r="AT240" s="11"/>
      <c r="AU240" s="11"/>
      <c r="BD240" s="19" t="s">
        <v>158</v>
      </c>
      <c r="BE240" s="11" t="s">
        <v>409</v>
      </c>
    </row>
    <row r="241" spans="2:57" x14ac:dyDescent="0.3">
      <c r="B241" s="11" t="s">
        <v>163</v>
      </c>
      <c r="C241" s="4" t="s">
        <v>164</v>
      </c>
      <c r="D241" s="4" t="s">
        <v>257</v>
      </c>
      <c r="E241" s="4"/>
      <c r="F241" s="42" t="s">
        <v>254</v>
      </c>
      <c r="G241" s="4"/>
      <c r="H241" s="4">
        <v>1023.654</v>
      </c>
      <c r="I241" s="36">
        <f t="shared" si="16"/>
        <v>167.14632092484374</v>
      </c>
      <c r="J241" s="4" t="s">
        <v>259</v>
      </c>
      <c r="K241" s="4">
        <v>171.1</v>
      </c>
      <c r="L241" s="4">
        <v>2.4500000000000002</v>
      </c>
      <c r="M241" s="4">
        <f t="shared" si="18"/>
        <v>69.836734693877546</v>
      </c>
      <c r="N241" s="4" t="s">
        <v>253</v>
      </c>
      <c r="O241" s="4"/>
      <c r="P241" s="4" t="s">
        <v>258</v>
      </c>
      <c r="Q241" s="4"/>
      <c r="R241" s="4" t="s">
        <v>396</v>
      </c>
      <c r="S241" s="4" t="s">
        <v>397</v>
      </c>
      <c r="T241" s="4"/>
      <c r="U241" s="4" t="s">
        <v>398</v>
      </c>
      <c r="V241" s="4" t="s">
        <v>399</v>
      </c>
      <c r="W241" s="4" t="s">
        <v>400</v>
      </c>
      <c r="X241" s="4" t="s">
        <v>402</v>
      </c>
      <c r="Y241" s="4" t="s">
        <v>403</v>
      </c>
      <c r="Z241" s="4" t="s">
        <v>404</v>
      </c>
      <c r="AA241" s="4">
        <v>318</v>
      </c>
      <c r="AB241" s="4"/>
      <c r="AC241" s="4" t="s">
        <v>376</v>
      </c>
      <c r="AD241" s="4"/>
      <c r="AE241" s="4">
        <v>7200</v>
      </c>
      <c r="AF241" s="4" t="s">
        <v>405</v>
      </c>
      <c r="AG241" s="4"/>
      <c r="AH241" s="59"/>
      <c r="AJ241" s="25">
        <v>4.4615373810823599E-3</v>
      </c>
      <c r="AK241" s="25">
        <v>520.05512755108805</v>
      </c>
      <c r="AL241" s="11">
        <f t="shared" si="17"/>
        <v>0.12066555131785944</v>
      </c>
      <c r="AN241" s="63">
        <v>318</v>
      </c>
      <c r="AO241" s="11">
        <f t="shared" si="15"/>
        <v>348.15</v>
      </c>
      <c r="AP241" s="65" t="s">
        <v>161</v>
      </c>
      <c r="AQ241" s="66">
        <v>520.05512755108805</v>
      </c>
      <c r="AR241" s="66">
        <v>4.4615373810823599E-3</v>
      </c>
      <c r="AS241" s="11"/>
      <c r="AT241" s="11"/>
      <c r="AU241" s="11"/>
      <c r="BD241" s="19" t="s">
        <v>158</v>
      </c>
      <c r="BE241" s="11" t="s">
        <v>409</v>
      </c>
    </row>
    <row r="242" spans="2:57" x14ac:dyDescent="0.3">
      <c r="B242" s="11" t="s">
        <v>163</v>
      </c>
      <c r="C242" s="4" t="s">
        <v>164</v>
      </c>
      <c r="D242" s="4" t="s">
        <v>257</v>
      </c>
      <c r="E242" s="4"/>
      <c r="F242" s="42" t="s">
        <v>254</v>
      </c>
      <c r="G242" s="4"/>
      <c r="H242" s="4">
        <v>1023.654</v>
      </c>
      <c r="I242" s="36">
        <f t="shared" si="16"/>
        <v>167.14632092484374</v>
      </c>
      <c r="J242" s="4" t="s">
        <v>259</v>
      </c>
      <c r="K242" s="4">
        <v>171.1</v>
      </c>
      <c r="L242" s="4">
        <v>2.4500000000000002</v>
      </c>
      <c r="M242" s="4">
        <f t="shared" si="18"/>
        <v>69.836734693877546</v>
      </c>
      <c r="N242" s="4" t="s">
        <v>253</v>
      </c>
      <c r="O242" s="4"/>
      <c r="P242" s="4" t="s">
        <v>258</v>
      </c>
      <c r="Q242" s="4"/>
      <c r="R242" s="4" t="s">
        <v>396</v>
      </c>
      <c r="S242" s="4" t="s">
        <v>397</v>
      </c>
      <c r="T242" s="4"/>
      <c r="U242" s="4" t="s">
        <v>398</v>
      </c>
      <c r="V242" s="4" t="s">
        <v>399</v>
      </c>
      <c r="W242" s="4" t="s">
        <v>400</v>
      </c>
      <c r="X242" s="4" t="s">
        <v>402</v>
      </c>
      <c r="Y242" s="4" t="s">
        <v>403</v>
      </c>
      <c r="Z242" s="4" t="s">
        <v>404</v>
      </c>
      <c r="AA242" s="4">
        <v>318</v>
      </c>
      <c r="AB242" s="4"/>
      <c r="AC242" s="4" t="s">
        <v>376</v>
      </c>
      <c r="AD242" s="4"/>
      <c r="AE242" s="4">
        <v>7200</v>
      </c>
      <c r="AF242" s="4" t="s">
        <v>405</v>
      </c>
      <c r="AG242" s="4"/>
      <c r="AH242" s="59"/>
      <c r="AJ242" s="25">
        <v>4.20447079564142E-3</v>
      </c>
      <c r="AK242" s="25">
        <v>525.00641380926902</v>
      </c>
      <c r="AL242" s="11">
        <f t="shared" si="17"/>
        <v>0.11588855782290738</v>
      </c>
      <c r="AN242" s="63">
        <v>318</v>
      </c>
      <c r="AO242" s="11">
        <f t="shared" si="15"/>
        <v>348.15</v>
      </c>
      <c r="AP242" s="65" t="s">
        <v>161</v>
      </c>
      <c r="AQ242" s="66">
        <v>525.00641380926902</v>
      </c>
      <c r="AR242" s="66">
        <v>4.20447079564142E-3</v>
      </c>
      <c r="AS242" s="11"/>
      <c r="AT242" s="11"/>
      <c r="AU242" s="11"/>
      <c r="BD242" s="19" t="s">
        <v>158</v>
      </c>
      <c r="BE242" s="11" t="s">
        <v>409</v>
      </c>
    </row>
    <row r="243" spans="2:57" x14ac:dyDescent="0.3">
      <c r="B243" s="11" t="s">
        <v>163</v>
      </c>
      <c r="C243" s="4" t="s">
        <v>164</v>
      </c>
      <c r="D243" s="4" t="s">
        <v>257</v>
      </c>
      <c r="E243" s="4"/>
      <c r="F243" s="42" t="s">
        <v>254</v>
      </c>
      <c r="G243" s="4"/>
      <c r="H243" s="4">
        <v>1023.654</v>
      </c>
      <c r="I243" s="36">
        <f t="shared" si="16"/>
        <v>167.14632092484374</v>
      </c>
      <c r="J243" s="4" t="s">
        <v>259</v>
      </c>
      <c r="K243" s="4">
        <v>171.1</v>
      </c>
      <c r="L243" s="4">
        <v>2.4500000000000002</v>
      </c>
      <c r="M243" s="4">
        <f t="shared" si="18"/>
        <v>69.836734693877546</v>
      </c>
      <c r="N243" s="4" t="s">
        <v>253</v>
      </c>
      <c r="O243" s="4"/>
      <c r="P243" s="4" t="s">
        <v>258</v>
      </c>
      <c r="Q243" s="4"/>
      <c r="R243" s="4" t="s">
        <v>396</v>
      </c>
      <c r="S243" s="4" t="s">
        <v>397</v>
      </c>
      <c r="T243" s="4"/>
      <c r="U243" s="4" t="s">
        <v>398</v>
      </c>
      <c r="V243" s="4" t="s">
        <v>399</v>
      </c>
      <c r="W243" s="4" t="s">
        <v>400</v>
      </c>
      <c r="X243" s="4" t="s">
        <v>402</v>
      </c>
      <c r="Y243" s="4" t="s">
        <v>403</v>
      </c>
      <c r="Z243" s="4" t="s">
        <v>404</v>
      </c>
      <c r="AA243" s="4">
        <v>318</v>
      </c>
      <c r="AB243" s="4"/>
      <c r="AC243" s="4" t="s">
        <v>376</v>
      </c>
      <c r="AD243" s="4"/>
      <c r="AE243" s="4">
        <v>7200</v>
      </c>
      <c r="AF243" s="4" t="s">
        <v>405</v>
      </c>
      <c r="AG243" s="4"/>
      <c r="AH243" s="59"/>
      <c r="AJ243" s="25">
        <v>4.0573962425688604E-3</v>
      </c>
      <c r="AK243" s="25">
        <v>530.00483975382394</v>
      </c>
      <c r="AL243" s="11">
        <f t="shared" si="17"/>
        <v>0.11397434196395494</v>
      </c>
      <c r="AN243" s="63">
        <v>318</v>
      </c>
      <c r="AO243" s="11">
        <f t="shared" si="15"/>
        <v>348.15</v>
      </c>
      <c r="AP243" s="65" t="s">
        <v>161</v>
      </c>
      <c r="AQ243" s="66">
        <v>530.00483975382394</v>
      </c>
      <c r="AR243" s="66">
        <v>4.0573962425688604E-3</v>
      </c>
      <c r="AS243" s="11"/>
      <c r="AT243" s="11"/>
      <c r="AU243" s="11"/>
      <c r="BD243" s="19" t="s">
        <v>158</v>
      </c>
      <c r="BE243" s="11" t="s">
        <v>409</v>
      </c>
    </row>
    <row r="244" spans="2:57" x14ac:dyDescent="0.3">
      <c r="B244" s="11" t="s">
        <v>163</v>
      </c>
      <c r="C244" s="4" t="s">
        <v>164</v>
      </c>
      <c r="D244" s="4" t="s">
        <v>257</v>
      </c>
      <c r="E244" s="4"/>
      <c r="F244" s="42" t="s">
        <v>254</v>
      </c>
      <c r="G244" s="4"/>
      <c r="H244" s="4">
        <v>1023.654</v>
      </c>
      <c r="I244" s="36">
        <f t="shared" si="16"/>
        <v>167.14632092484374</v>
      </c>
      <c r="J244" s="4" t="s">
        <v>259</v>
      </c>
      <c r="K244" s="4">
        <v>171.1</v>
      </c>
      <c r="L244" s="4">
        <v>2.4500000000000002</v>
      </c>
      <c r="M244" s="4">
        <f t="shared" si="18"/>
        <v>69.836734693877546</v>
      </c>
      <c r="N244" s="4" t="s">
        <v>253</v>
      </c>
      <c r="O244" s="4"/>
      <c r="P244" s="4" t="s">
        <v>258</v>
      </c>
      <c r="Q244" s="4"/>
      <c r="R244" s="4" t="s">
        <v>396</v>
      </c>
      <c r="S244" s="4" t="s">
        <v>397</v>
      </c>
      <c r="T244" s="4"/>
      <c r="U244" s="4" t="s">
        <v>398</v>
      </c>
      <c r="V244" s="4" t="s">
        <v>399</v>
      </c>
      <c r="W244" s="4" t="s">
        <v>400</v>
      </c>
      <c r="X244" s="4" t="s">
        <v>402</v>
      </c>
      <c r="Y244" s="4" t="s">
        <v>403</v>
      </c>
      <c r="Z244" s="4" t="s">
        <v>404</v>
      </c>
      <c r="AA244" s="4">
        <v>318</v>
      </c>
      <c r="AB244" s="4"/>
      <c r="AC244" s="4" t="s">
        <v>376</v>
      </c>
      <c r="AD244" s="4"/>
      <c r="AE244" s="4">
        <v>7200</v>
      </c>
      <c r="AF244" s="4" t="s">
        <v>405</v>
      </c>
      <c r="AG244" s="4"/>
      <c r="AH244" s="59"/>
      <c r="AJ244" s="25">
        <v>3.9622159720901096E-3</v>
      </c>
      <c r="AK244" s="25">
        <v>530.00483975382394</v>
      </c>
      <c r="AL244" s="11">
        <f t="shared" si="17"/>
        <v>0.1113006793371816</v>
      </c>
      <c r="AN244" s="63">
        <v>318</v>
      </c>
      <c r="AO244" s="11">
        <f t="shared" si="15"/>
        <v>348.15</v>
      </c>
      <c r="AP244" s="65" t="s">
        <v>161</v>
      </c>
      <c r="AQ244" s="66">
        <v>530.00483975382394</v>
      </c>
      <c r="AR244" s="66">
        <v>3.9622159720901096E-3</v>
      </c>
      <c r="AS244" s="11"/>
      <c r="AT244" s="11"/>
      <c r="AU244" s="11"/>
      <c r="BD244" s="19" t="s">
        <v>158</v>
      </c>
      <c r="BE244" s="11" t="s">
        <v>409</v>
      </c>
    </row>
    <row r="245" spans="2:57" x14ac:dyDescent="0.3">
      <c r="B245" s="11" t="s">
        <v>163</v>
      </c>
      <c r="C245" s="4" t="s">
        <v>164</v>
      </c>
      <c r="D245" s="4" t="s">
        <v>257</v>
      </c>
      <c r="E245" s="4"/>
      <c r="F245" s="42" t="s">
        <v>254</v>
      </c>
      <c r="G245" s="4"/>
      <c r="H245" s="4">
        <v>1023.654</v>
      </c>
      <c r="I245" s="36">
        <f t="shared" si="16"/>
        <v>167.14632092484374</v>
      </c>
      <c r="J245" s="4" t="s">
        <v>259</v>
      </c>
      <c r="K245" s="4">
        <v>171.1</v>
      </c>
      <c r="L245" s="4">
        <v>2.4500000000000002</v>
      </c>
      <c r="M245" s="4">
        <f t="shared" si="18"/>
        <v>69.836734693877546</v>
      </c>
      <c r="N245" s="4" t="s">
        <v>253</v>
      </c>
      <c r="O245" s="4"/>
      <c r="P245" s="4" t="s">
        <v>258</v>
      </c>
      <c r="Q245" s="4"/>
      <c r="R245" s="4" t="s">
        <v>396</v>
      </c>
      <c r="S245" s="4" t="s">
        <v>397</v>
      </c>
      <c r="T245" s="4"/>
      <c r="U245" s="4" t="s">
        <v>398</v>
      </c>
      <c r="V245" s="4" t="s">
        <v>399</v>
      </c>
      <c r="W245" s="4" t="s">
        <v>400</v>
      </c>
      <c r="X245" s="4" t="s">
        <v>402</v>
      </c>
      <c r="Y245" s="4" t="s">
        <v>403</v>
      </c>
      <c r="Z245" s="4" t="s">
        <v>404</v>
      </c>
      <c r="AA245" s="4">
        <v>318</v>
      </c>
      <c r="AB245" s="4"/>
      <c r="AC245" s="4" t="s">
        <v>376</v>
      </c>
      <c r="AD245" s="4"/>
      <c r="AE245" s="4">
        <v>7200</v>
      </c>
      <c r="AF245" s="4" t="s">
        <v>405</v>
      </c>
      <c r="AG245" s="4"/>
      <c r="AH245" s="59"/>
      <c r="AJ245" s="25">
        <v>3.8692684842499599E-3</v>
      </c>
      <c r="AK245" s="25">
        <v>535.05085418733199</v>
      </c>
      <c r="AL245" s="11">
        <f t="shared" si="17"/>
        <v>0.11076919242105865</v>
      </c>
      <c r="AN245" s="63">
        <v>318</v>
      </c>
      <c r="AO245" s="11">
        <f t="shared" si="15"/>
        <v>348.15</v>
      </c>
      <c r="AP245" s="65" t="s">
        <v>161</v>
      </c>
      <c r="AQ245" s="66">
        <v>535.05085418733199</v>
      </c>
      <c r="AR245" s="66">
        <v>3.8692684842499599E-3</v>
      </c>
      <c r="AS245" s="11"/>
      <c r="AT245" s="11"/>
      <c r="AU245" s="11"/>
      <c r="BD245" s="19" t="s">
        <v>158</v>
      </c>
      <c r="BE245" s="11" t="s">
        <v>409</v>
      </c>
    </row>
    <row r="246" spans="2:57" x14ac:dyDescent="0.3">
      <c r="B246" s="11" t="s">
        <v>163</v>
      </c>
      <c r="C246" s="4" t="s">
        <v>164</v>
      </c>
      <c r="D246" s="4" t="s">
        <v>257</v>
      </c>
      <c r="E246" s="4"/>
      <c r="F246" s="42" t="s">
        <v>254</v>
      </c>
      <c r="G246" s="4"/>
      <c r="H246" s="4">
        <v>1023.654</v>
      </c>
      <c r="I246" s="36">
        <f t="shared" si="16"/>
        <v>167.14632092484374</v>
      </c>
      <c r="J246" s="4" t="s">
        <v>259</v>
      </c>
      <c r="K246" s="4">
        <v>171.1</v>
      </c>
      <c r="L246" s="4">
        <v>2.4500000000000002</v>
      </c>
      <c r="M246" s="4">
        <f t="shared" si="18"/>
        <v>69.836734693877546</v>
      </c>
      <c r="N246" s="4" t="s">
        <v>253</v>
      </c>
      <c r="O246" s="4"/>
      <c r="P246" s="4" t="s">
        <v>258</v>
      </c>
      <c r="Q246" s="4"/>
      <c r="R246" s="4" t="s">
        <v>396</v>
      </c>
      <c r="S246" s="4" t="s">
        <v>397</v>
      </c>
      <c r="T246" s="4"/>
      <c r="U246" s="4" t="s">
        <v>398</v>
      </c>
      <c r="V246" s="4" t="s">
        <v>399</v>
      </c>
      <c r="W246" s="4" t="s">
        <v>400</v>
      </c>
      <c r="X246" s="4" t="s">
        <v>402</v>
      </c>
      <c r="Y246" s="4" t="s">
        <v>403</v>
      </c>
      <c r="Z246" s="4" t="s">
        <v>404</v>
      </c>
      <c r="AA246" s="4">
        <v>318</v>
      </c>
      <c r="AB246" s="4"/>
      <c r="AC246" s="4" t="s">
        <v>376</v>
      </c>
      <c r="AD246" s="4"/>
      <c r="AE246" s="4">
        <v>7200</v>
      </c>
      <c r="AF246" s="4" t="s">
        <v>405</v>
      </c>
      <c r="AG246" s="4"/>
      <c r="AH246" s="59"/>
      <c r="AJ246" s="25">
        <v>3.7785014014045698E-3</v>
      </c>
      <c r="AK246" s="25">
        <v>540.14491018528099</v>
      </c>
      <c r="AL246" s="11">
        <f t="shared" si="17"/>
        <v>0.11024024347993941</v>
      </c>
      <c r="AN246" s="63">
        <v>318</v>
      </c>
      <c r="AO246" s="11">
        <f t="shared" ref="AO246:AO266" si="19">75+273.15</f>
        <v>348.15</v>
      </c>
      <c r="AP246" s="65" t="s">
        <v>161</v>
      </c>
      <c r="AQ246" s="66">
        <v>540.14491018528099</v>
      </c>
      <c r="AR246" s="66">
        <v>3.7785014014045698E-3</v>
      </c>
      <c r="AS246" s="11"/>
      <c r="AT246" s="11"/>
      <c r="AU246" s="11"/>
      <c r="BD246" s="19" t="s">
        <v>158</v>
      </c>
      <c r="BE246" s="11" t="s">
        <v>409</v>
      </c>
    </row>
    <row r="247" spans="2:57" x14ac:dyDescent="0.3">
      <c r="B247" s="11" t="s">
        <v>163</v>
      </c>
      <c r="C247" s="4" t="s">
        <v>164</v>
      </c>
      <c r="D247" s="4" t="s">
        <v>257</v>
      </c>
      <c r="E247" s="4"/>
      <c r="F247" s="42" t="s">
        <v>254</v>
      </c>
      <c r="G247" s="4"/>
      <c r="H247" s="4">
        <v>1023.654</v>
      </c>
      <c r="I247" s="36">
        <f t="shared" si="16"/>
        <v>167.14632092484374</v>
      </c>
      <c r="J247" s="4" t="s">
        <v>259</v>
      </c>
      <c r="K247" s="4">
        <v>171.1</v>
      </c>
      <c r="L247" s="4">
        <v>2.4500000000000002</v>
      </c>
      <c r="M247" s="4">
        <f t="shared" si="18"/>
        <v>69.836734693877546</v>
      </c>
      <c r="N247" s="4" t="s">
        <v>253</v>
      </c>
      <c r="O247" s="4"/>
      <c r="P247" s="4" t="s">
        <v>258</v>
      </c>
      <c r="Q247" s="4"/>
      <c r="R247" s="4" t="s">
        <v>396</v>
      </c>
      <c r="S247" s="4" t="s">
        <v>397</v>
      </c>
      <c r="T247" s="4"/>
      <c r="U247" s="4" t="s">
        <v>398</v>
      </c>
      <c r="V247" s="4" t="s">
        <v>399</v>
      </c>
      <c r="W247" s="4" t="s">
        <v>400</v>
      </c>
      <c r="X247" s="4" t="s">
        <v>402</v>
      </c>
      <c r="Y247" s="4" t="s">
        <v>403</v>
      </c>
      <c r="Z247" s="4" t="s">
        <v>404</v>
      </c>
      <c r="AA247" s="4">
        <v>318</v>
      </c>
      <c r="AB247" s="4"/>
      <c r="AC247" s="4" t="s">
        <v>376</v>
      </c>
      <c r="AD247" s="4"/>
      <c r="AE247" s="4">
        <v>7200</v>
      </c>
      <c r="AF247" s="4" t="s">
        <v>405</v>
      </c>
      <c r="AG247" s="4"/>
      <c r="AH247" s="59"/>
      <c r="AJ247" s="25">
        <v>3.7339194806063399E-3</v>
      </c>
      <c r="AK247" s="25">
        <v>540.14491018528099</v>
      </c>
      <c r="AL247" s="11">
        <f t="shared" si="17"/>
        <v>0.10893953685541009</v>
      </c>
      <c r="AN247" s="63">
        <v>318</v>
      </c>
      <c r="AO247" s="11">
        <f t="shared" si="19"/>
        <v>348.15</v>
      </c>
      <c r="AP247" s="65" t="s">
        <v>161</v>
      </c>
      <c r="AQ247" s="66">
        <v>540.14491018528099</v>
      </c>
      <c r="AR247" s="66">
        <v>3.7339194806063399E-3</v>
      </c>
      <c r="AS247" s="11"/>
      <c r="AT247" s="11"/>
      <c r="AU247" s="11"/>
      <c r="BD247" s="19" t="s">
        <v>158</v>
      </c>
      <c r="BE247" s="11" t="s">
        <v>409</v>
      </c>
    </row>
    <row r="248" spans="2:57" x14ac:dyDescent="0.3">
      <c r="B248" s="11" t="s">
        <v>163</v>
      </c>
      <c r="C248" s="4" t="s">
        <v>164</v>
      </c>
      <c r="D248" s="4" t="s">
        <v>257</v>
      </c>
      <c r="E248" s="4"/>
      <c r="F248" s="42" t="s">
        <v>254</v>
      </c>
      <c r="G248" s="4"/>
      <c r="H248" s="4">
        <v>1023.654</v>
      </c>
      <c r="I248" s="36">
        <f t="shared" si="16"/>
        <v>167.14632092484374</v>
      </c>
      <c r="J248" s="4" t="s">
        <v>259</v>
      </c>
      <c r="K248" s="4">
        <v>171.1</v>
      </c>
      <c r="L248" s="4">
        <v>2.4500000000000002</v>
      </c>
      <c r="M248" s="4">
        <f t="shared" si="18"/>
        <v>69.836734693877546</v>
      </c>
      <c r="N248" s="4" t="s">
        <v>253</v>
      </c>
      <c r="O248" s="4"/>
      <c r="P248" s="4" t="s">
        <v>258</v>
      </c>
      <c r="Q248" s="4"/>
      <c r="R248" s="4" t="s">
        <v>396</v>
      </c>
      <c r="S248" s="4" t="s">
        <v>397</v>
      </c>
      <c r="T248" s="4"/>
      <c r="U248" s="4" t="s">
        <v>398</v>
      </c>
      <c r="V248" s="4" t="s">
        <v>399</v>
      </c>
      <c r="W248" s="4" t="s">
        <v>400</v>
      </c>
      <c r="X248" s="4" t="s">
        <v>402</v>
      </c>
      <c r="Y248" s="4" t="s">
        <v>403</v>
      </c>
      <c r="Z248" s="4" t="s">
        <v>404</v>
      </c>
      <c r="AA248" s="4">
        <v>318</v>
      </c>
      <c r="AB248" s="4"/>
      <c r="AC248" s="4" t="s">
        <v>376</v>
      </c>
      <c r="AD248" s="4"/>
      <c r="AE248" s="4">
        <v>7200</v>
      </c>
      <c r="AF248" s="4" t="s">
        <v>405</v>
      </c>
      <c r="AG248" s="4"/>
      <c r="AH248" s="59"/>
      <c r="AJ248" s="25">
        <v>3.6463274770496398E-3</v>
      </c>
      <c r="AK248" s="25">
        <v>545.28746513675401</v>
      </c>
      <c r="AL248" s="11">
        <f t="shared" si="17"/>
        <v>0.10841932494985893</v>
      </c>
      <c r="AN248" s="63">
        <v>318</v>
      </c>
      <c r="AO248" s="11">
        <f t="shared" si="19"/>
        <v>348.15</v>
      </c>
      <c r="AP248" s="65" t="s">
        <v>161</v>
      </c>
      <c r="AQ248" s="66">
        <v>545.28746513675401</v>
      </c>
      <c r="AR248" s="66">
        <v>3.6463274770496398E-3</v>
      </c>
      <c r="AS248" s="11"/>
      <c r="AT248" s="11"/>
      <c r="AU248" s="11"/>
      <c r="BD248" s="19" t="s">
        <v>158</v>
      </c>
      <c r="BE248" s="11" t="s">
        <v>409</v>
      </c>
    </row>
    <row r="249" spans="2:57" x14ac:dyDescent="0.3">
      <c r="B249" s="11" t="s">
        <v>163</v>
      </c>
      <c r="C249" s="4" t="s">
        <v>164</v>
      </c>
      <c r="D249" s="4" t="s">
        <v>257</v>
      </c>
      <c r="E249" s="4"/>
      <c r="F249" s="42" t="s">
        <v>254</v>
      </c>
      <c r="G249" s="4"/>
      <c r="H249" s="4">
        <v>1023.654</v>
      </c>
      <c r="I249" s="36">
        <f t="shared" si="16"/>
        <v>167.14632092484374</v>
      </c>
      <c r="J249" s="4" t="s">
        <v>259</v>
      </c>
      <c r="K249" s="4">
        <v>171.1</v>
      </c>
      <c r="L249" s="4">
        <v>2.4500000000000002</v>
      </c>
      <c r="M249" s="4">
        <f t="shared" si="18"/>
        <v>69.836734693877546</v>
      </c>
      <c r="N249" s="4" t="s">
        <v>253</v>
      </c>
      <c r="O249" s="4"/>
      <c r="P249" s="4" t="s">
        <v>258</v>
      </c>
      <c r="Q249" s="4"/>
      <c r="R249" s="4" t="s">
        <v>396</v>
      </c>
      <c r="S249" s="4" t="s">
        <v>397</v>
      </c>
      <c r="T249" s="4"/>
      <c r="U249" s="4" t="s">
        <v>398</v>
      </c>
      <c r="V249" s="4" t="s">
        <v>399</v>
      </c>
      <c r="W249" s="4" t="s">
        <v>400</v>
      </c>
      <c r="X249" s="4" t="s">
        <v>402</v>
      </c>
      <c r="Y249" s="4" t="s">
        <v>403</v>
      </c>
      <c r="Z249" s="4" t="s">
        <v>404</v>
      </c>
      <c r="AA249" s="4">
        <v>318</v>
      </c>
      <c r="AB249" s="4"/>
      <c r="AC249" s="4" t="s">
        <v>376</v>
      </c>
      <c r="AD249" s="4"/>
      <c r="AE249" s="4">
        <v>7200</v>
      </c>
      <c r="AF249" s="4" t="s">
        <v>405</v>
      </c>
      <c r="AG249" s="4"/>
      <c r="AH249" s="59"/>
      <c r="AJ249" s="25">
        <v>3.5607902470698601E-3</v>
      </c>
      <c r="AK249" s="25">
        <v>545.28746513675401</v>
      </c>
      <c r="AL249" s="11">
        <f t="shared" si="17"/>
        <v>0.10587597447164231</v>
      </c>
      <c r="AN249" s="63">
        <v>318</v>
      </c>
      <c r="AO249" s="11">
        <f t="shared" si="19"/>
        <v>348.15</v>
      </c>
      <c r="AP249" s="65" t="s">
        <v>161</v>
      </c>
      <c r="AQ249" s="66">
        <v>545.28746513675401</v>
      </c>
      <c r="AR249" s="66">
        <v>3.5607902470698601E-3</v>
      </c>
      <c r="AS249" s="11"/>
      <c r="AT249" s="11"/>
      <c r="AU249" s="11"/>
      <c r="BD249" s="19" t="s">
        <v>158</v>
      </c>
      <c r="BE249" s="11" t="s">
        <v>409</v>
      </c>
    </row>
    <row r="250" spans="2:57" x14ac:dyDescent="0.3">
      <c r="B250" s="11" t="s">
        <v>163</v>
      </c>
      <c r="C250" s="4" t="s">
        <v>164</v>
      </c>
      <c r="D250" s="4" t="s">
        <v>257</v>
      </c>
      <c r="E250" s="4"/>
      <c r="F250" s="42" t="s">
        <v>254</v>
      </c>
      <c r="G250" s="4"/>
      <c r="H250" s="4">
        <v>1023.654</v>
      </c>
      <c r="I250" s="36">
        <f t="shared" ref="I250:I313" si="20">((K250)*1000)/H250</f>
        <v>167.14632092484374</v>
      </c>
      <c r="J250" s="4" t="s">
        <v>259</v>
      </c>
      <c r="K250" s="4">
        <v>171.1</v>
      </c>
      <c r="L250" s="4">
        <v>2.4500000000000002</v>
      </c>
      <c r="M250" s="4">
        <f t="shared" si="18"/>
        <v>69.836734693877546</v>
      </c>
      <c r="N250" s="4" t="s">
        <v>253</v>
      </c>
      <c r="O250" s="4"/>
      <c r="P250" s="4" t="s">
        <v>258</v>
      </c>
      <c r="Q250" s="4"/>
      <c r="R250" s="4" t="s">
        <v>396</v>
      </c>
      <c r="S250" s="4" t="s">
        <v>397</v>
      </c>
      <c r="T250" s="4"/>
      <c r="U250" s="4" t="s">
        <v>398</v>
      </c>
      <c r="V250" s="4" t="s">
        <v>399</v>
      </c>
      <c r="W250" s="4" t="s">
        <v>400</v>
      </c>
      <c r="X250" s="4" t="s">
        <v>402</v>
      </c>
      <c r="Y250" s="4" t="s">
        <v>403</v>
      </c>
      <c r="Z250" s="4" t="s">
        <v>404</v>
      </c>
      <c r="AA250" s="4">
        <v>318</v>
      </c>
      <c r="AB250" s="4"/>
      <c r="AC250" s="4" t="s">
        <v>376</v>
      </c>
      <c r="AD250" s="4"/>
      <c r="AE250" s="4">
        <v>7200</v>
      </c>
      <c r="AF250" s="4" t="s">
        <v>405</v>
      </c>
      <c r="AG250" s="4"/>
      <c r="AH250" s="59"/>
      <c r="AJ250" s="25">
        <v>3.5187770646174302E-3</v>
      </c>
      <c r="AK250" s="25">
        <v>550.47898078549599</v>
      </c>
      <c r="AL250" s="11">
        <f t="shared" ref="AL250:AL313" si="21">((AK250)^2*AJ250)/10000</f>
        <v>0.10662848385963657</v>
      </c>
      <c r="AN250" s="63">
        <v>318</v>
      </c>
      <c r="AO250" s="11">
        <f t="shared" si="19"/>
        <v>348.15</v>
      </c>
      <c r="AP250" s="65" t="s">
        <v>161</v>
      </c>
      <c r="AQ250" s="66">
        <v>550.47898078549599</v>
      </c>
      <c r="AR250" s="66">
        <v>3.5187770646174302E-3</v>
      </c>
      <c r="AS250" s="11"/>
      <c r="AT250" s="11"/>
      <c r="AU250" s="11"/>
      <c r="BD250" s="19" t="s">
        <v>158</v>
      </c>
      <c r="BE250" s="11" t="s">
        <v>409</v>
      </c>
    </row>
    <row r="251" spans="2:57" x14ac:dyDescent="0.3">
      <c r="B251" s="11" t="s">
        <v>163</v>
      </c>
      <c r="C251" s="4" t="s">
        <v>164</v>
      </c>
      <c r="D251" s="4" t="s">
        <v>257</v>
      </c>
      <c r="E251" s="4"/>
      <c r="F251" s="42" t="s">
        <v>254</v>
      </c>
      <c r="G251" s="4"/>
      <c r="H251" s="4">
        <v>1023.654</v>
      </c>
      <c r="I251" s="36">
        <f t="shared" si="20"/>
        <v>167.14632092484374</v>
      </c>
      <c r="J251" s="4" t="s">
        <v>259</v>
      </c>
      <c r="K251" s="4">
        <v>171.1</v>
      </c>
      <c r="L251" s="4">
        <v>2.4500000000000002</v>
      </c>
      <c r="M251" s="4">
        <f t="shared" si="18"/>
        <v>69.836734693877546</v>
      </c>
      <c r="N251" s="4" t="s">
        <v>253</v>
      </c>
      <c r="O251" s="4"/>
      <c r="P251" s="4" t="s">
        <v>258</v>
      </c>
      <c r="Q251" s="4"/>
      <c r="R251" s="4" t="s">
        <v>396</v>
      </c>
      <c r="S251" s="4" t="s">
        <v>397</v>
      </c>
      <c r="T251" s="4"/>
      <c r="U251" s="4" t="s">
        <v>398</v>
      </c>
      <c r="V251" s="4" t="s">
        <v>399</v>
      </c>
      <c r="W251" s="4" t="s">
        <v>400</v>
      </c>
      <c r="X251" s="4" t="s">
        <v>402</v>
      </c>
      <c r="Y251" s="4" t="s">
        <v>403</v>
      </c>
      <c r="Z251" s="4" t="s">
        <v>404</v>
      </c>
      <c r="AA251" s="4">
        <v>318</v>
      </c>
      <c r="AB251" s="4"/>
      <c r="AC251" s="4" t="s">
        <v>376</v>
      </c>
      <c r="AD251" s="4"/>
      <c r="AE251" s="4">
        <v>7200</v>
      </c>
      <c r="AF251" s="4" t="s">
        <v>405</v>
      </c>
      <c r="AG251" s="4"/>
      <c r="AH251" s="59"/>
      <c r="AJ251" s="25">
        <v>3.4362319709805599E-3</v>
      </c>
      <c r="AK251" s="25">
        <v>550.47898078549599</v>
      </c>
      <c r="AL251" s="11">
        <f t="shared" si="21"/>
        <v>0.10412714375683352</v>
      </c>
      <c r="AN251" s="63">
        <v>318</v>
      </c>
      <c r="AO251" s="11">
        <f t="shared" si="19"/>
        <v>348.15</v>
      </c>
      <c r="AP251" s="65" t="s">
        <v>161</v>
      </c>
      <c r="AQ251" s="66">
        <v>550.47898078549599</v>
      </c>
      <c r="AR251" s="66">
        <v>3.4362319709805599E-3</v>
      </c>
      <c r="AS251" s="11"/>
      <c r="AT251" s="11"/>
      <c r="AU251" s="11"/>
      <c r="BD251" s="19" t="s">
        <v>158</v>
      </c>
      <c r="BE251" s="11" t="s">
        <v>409</v>
      </c>
    </row>
    <row r="252" spans="2:57" x14ac:dyDescent="0.3">
      <c r="B252" s="11" t="s">
        <v>163</v>
      </c>
      <c r="C252" s="4" t="s">
        <v>164</v>
      </c>
      <c r="D252" s="4" t="s">
        <v>257</v>
      </c>
      <c r="E252" s="4"/>
      <c r="F252" s="42" t="s">
        <v>254</v>
      </c>
      <c r="G252" s="4"/>
      <c r="H252" s="4">
        <v>1023.654</v>
      </c>
      <c r="I252" s="36">
        <f t="shared" si="20"/>
        <v>167.14632092484374</v>
      </c>
      <c r="J252" s="4" t="s">
        <v>259</v>
      </c>
      <c r="K252" s="4">
        <v>171.1</v>
      </c>
      <c r="L252" s="4">
        <v>2.4500000000000002</v>
      </c>
      <c r="M252" s="4">
        <f t="shared" si="18"/>
        <v>69.836734693877546</v>
      </c>
      <c r="N252" s="4" t="s">
        <v>253</v>
      </c>
      <c r="O252" s="4"/>
      <c r="P252" s="4" t="s">
        <v>258</v>
      </c>
      <c r="Q252" s="4"/>
      <c r="R252" s="4" t="s">
        <v>396</v>
      </c>
      <c r="S252" s="4" t="s">
        <v>397</v>
      </c>
      <c r="T252" s="4"/>
      <c r="U252" s="4" t="s">
        <v>398</v>
      </c>
      <c r="V252" s="4" t="s">
        <v>399</v>
      </c>
      <c r="W252" s="4" t="s">
        <v>400</v>
      </c>
      <c r="X252" s="4" t="s">
        <v>402</v>
      </c>
      <c r="Y252" s="4" t="s">
        <v>403</v>
      </c>
      <c r="Z252" s="4" t="s">
        <v>404</v>
      </c>
      <c r="AA252" s="4">
        <v>318</v>
      </c>
      <c r="AB252" s="4"/>
      <c r="AC252" s="4" t="s">
        <v>376</v>
      </c>
      <c r="AD252" s="4"/>
      <c r="AE252" s="4">
        <v>7200</v>
      </c>
      <c r="AF252" s="4" t="s">
        <v>405</v>
      </c>
      <c r="AG252" s="4"/>
      <c r="AH252" s="59"/>
      <c r="AJ252" s="25">
        <v>3.3956884312804901E-3</v>
      </c>
      <c r="AK252" s="25">
        <v>550.47898078549599</v>
      </c>
      <c r="AL252" s="11">
        <f t="shared" si="21"/>
        <v>0.10289856459733185</v>
      </c>
      <c r="AN252" s="63">
        <v>318</v>
      </c>
      <c r="AO252" s="11">
        <f t="shared" si="19"/>
        <v>348.15</v>
      </c>
      <c r="AP252" s="65" t="s">
        <v>161</v>
      </c>
      <c r="AQ252" s="66">
        <v>550.47898078549599</v>
      </c>
      <c r="AR252" s="66">
        <v>3.3956884312804901E-3</v>
      </c>
      <c r="AS252" s="11"/>
      <c r="AT252" s="11"/>
      <c r="AU252" s="11"/>
      <c r="BD252" s="19" t="s">
        <v>158</v>
      </c>
      <c r="BE252" s="11" t="s">
        <v>409</v>
      </c>
    </row>
    <row r="253" spans="2:57" x14ac:dyDescent="0.3">
      <c r="B253" s="11" t="s">
        <v>163</v>
      </c>
      <c r="C253" s="4" t="s">
        <v>164</v>
      </c>
      <c r="D253" s="4" t="s">
        <v>257</v>
      </c>
      <c r="E253" s="4"/>
      <c r="F253" s="42" t="s">
        <v>254</v>
      </c>
      <c r="G253" s="4"/>
      <c r="H253" s="4">
        <v>1023.654</v>
      </c>
      <c r="I253" s="36">
        <f t="shared" si="20"/>
        <v>167.14632092484374</v>
      </c>
      <c r="J253" s="4" t="s">
        <v>259</v>
      </c>
      <c r="K253" s="4">
        <v>171.1</v>
      </c>
      <c r="L253" s="4">
        <v>2.4500000000000002</v>
      </c>
      <c r="M253" s="4">
        <f t="shared" si="18"/>
        <v>69.836734693877546</v>
      </c>
      <c r="N253" s="4" t="s">
        <v>253</v>
      </c>
      <c r="O253" s="4"/>
      <c r="P253" s="4" t="s">
        <v>258</v>
      </c>
      <c r="Q253" s="4"/>
      <c r="R253" s="4" t="s">
        <v>396</v>
      </c>
      <c r="S253" s="4" t="s">
        <v>397</v>
      </c>
      <c r="T253" s="4"/>
      <c r="U253" s="4" t="s">
        <v>398</v>
      </c>
      <c r="V253" s="4" t="s">
        <v>399</v>
      </c>
      <c r="W253" s="4" t="s">
        <v>400</v>
      </c>
      <c r="X253" s="4" t="s">
        <v>402</v>
      </c>
      <c r="Y253" s="4" t="s">
        <v>403</v>
      </c>
      <c r="Z253" s="4" t="s">
        <v>404</v>
      </c>
      <c r="AA253" s="4">
        <v>318</v>
      </c>
      <c r="AB253" s="4"/>
      <c r="AC253" s="4" t="s">
        <v>376</v>
      </c>
      <c r="AD253" s="4"/>
      <c r="AE253" s="4">
        <v>7200</v>
      </c>
      <c r="AF253" s="4" t="s">
        <v>405</v>
      </c>
      <c r="AG253" s="4"/>
      <c r="AH253" s="59"/>
      <c r="AJ253" s="25">
        <v>3.3556232581823699E-3</v>
      </c>
      <c r="AK253" s="25">
        <v>555.71992327137298</v>
      </c>
      <c r="AL253" s="11">
        <f t="shared" si="21"/>
        <v>0.10362991215995948</v>
      </c>
      <c r="AN253" s="63">
        <v>318</v>
      </c>
      <c r="AO253" s="11">
        <f t="shared" si="19"/>
        <v>348.15</v>
      </c>
      <c r="AP253" s="65" t="s">
        <v>161</v>
      </c>
      <c r="AQ253" s="66">
        <v>555.71992327137298</v>
      </c>
      <c r="AR253" s="66">
        <v>3.3556232581823699E-3</v>
      </c>
      <c r="AS253" s="11"/>
      <c r="AT253" s="11"/>
      <c r="AU253" s="11"/>
      <c r="BD253" s="19" t="s">
        <v>158</v>
      </c>
      <c r="BE253" s="11" t="s">
        <v>409</v>
      </c>
    </row>
    <row r="254" spans="2:57" x14ac:dyDescent="0.3">
      <c r="B254" s="11" t="s">
        <v>163</v>
      </c>
      <c r="C254" s="4" t="s">
        <v>164</v>
      </c>
      <c r="D254" s="4" t="s">
        <v>257</v>
      </c>
      <c r="E254" s="4"/>
      <c r="F254" s="42" t="s">
        <v>254</v>
      </c>
      <c r="G254" s="4"/>
      <c r="H254" s="4">
        <v>1023.654</v>
      </c>
      <c r="I254" s="36">
        <f t="shared" si="20"/>
        <v>167.14632092484374</v>
      </c>
      <c r="J254" s="4" t="s">
        <v>259</v>
      </c>
      <c r="K254" s="4">
        <v>171.1</v>
      </c>
      <c r="L254" s="4">
        <v>2.4500000000000002</v>
      </c>
      <c r="M254" s="4">
        <f t="shared" si="18"/>
        <v>69.836734693877546</v>
      </c>
      <c r="N254" s="4" t="s">
        <v>253</v>
      </c>
      <c r="O254" s="4"/>
      <c r="P254" s="4" t="s">
        <v>258</v>
      </c>
      <c r="Q254" s="4"/>
      <c r="R254" s="4" t="s">
        <v>396</v>
      </c>
      <c r="S254" s="4" t="s">
        <v>397</v>
      </c>
      <c r="T254" s="4"/>
      <c r="U254" s="4" t="s">
        <v>398</v>
      </c>
      <c r="V254" s="4" t="s">
        <v>399</v>
      </c>
      <c r="W254" s="4" t="s">
        <v>400</v>
      </c>
      <c r="X254" s="4" t="s">
        <v>402</v>
      </c>
      <c r="Y254" s="4" t="s">
        <v>403</v>
      </c>
      <c r="Z254" s="4" t="s">
        <v>404</v>
      </c>
      <c r="AA254" s="4">
        <v>318</v>
      </c>
      <c r="AB254" s="4"/>
      <c r="AC254" s="4" t="s">
        <v>376</v>
      </c>
      <c r="AD254" s="4"/>
      <c r="AE254" s="4">
        <v>7200</v>
      </c>
      <c r="AF254" s="4" t="s">
        <v>405</v>
      </c>
      <c r="AG254" s="4"/>
      <c r="AH254" s="59"/>
      <c r="AJ254" s="25">
        <v>3.27690550170897E-3</v>
      </c>
      <c r="AK254" s="25">
        <v>561.01076317222703</v>
      </c>
      <c r="AL254" s="11">
        <f t="shared" si="21"/>
        <v>0.10313505496088424</v>
      </c>
      <c r="AN254" s="63">
        <v>318</v>
      </c>
      <c r="AO254" s="11">
        <f t="shared" si="19"/>
        <v>348.15</v>
      </c>
      <c r="AP254" s="65" t="s">
        <v>161</v>
      </c>
      <c r="AQ254" s="66">
        <v>561.01076317222703</v>
      </c>
      <c r="AR254" s="66">
        <v>3.27690550170897E-3</v>
      </c>
      <c r="AS254" s="11"/>
      <c r="AT254" s="11"/>
      <c r="AU254" s="11"/>
      <c r="BD254" s="19" t="s">
        <v>158</v>
      </c>
      <c r="BE254" s="11" t="s">
        <v>409</v>
      </c>
    </row>
    <row r="255" spans="2:57" x14ac:dyDescent="0.3">
      <c r="B255" s="11" t="s">
        <v>163</v>
      </c>
      <c r="C255" s="4" t="s">
        <v>164</v>
      </c>
      <c r="D255" s="4" t="s">
        <v>257</v>
      </c>
      <c r="E255" s="4"/>
      <c r="F255" s="42" t="s">
        <v>254</v>
      </c>
      <c r="G255" s="4"/>
      <c r="H255" s="4">
        <v>1023.654</v>
      </c>
      <c r="I255" s="36">
        <f t="shared" si="20"/>
        <v>167.14632092484374</v>
      </c>
      <c r="J255" s="4" t="s">
        <v>259</v>
      </c>
      <c r="K255" s="4">
        <v>171.1</v>
      </c>
      <c r="L255" s="4">
        <v>2.4500000000000002</v>
      </c>
      <c r="M255" s="4">
        <f t="shared" si="18"/>
        <v>69.836734693877546</v>
      </c>
      <c r="N255" s="4" t="s">
        <v>253</v>
      </c>
      <c r="O255" s="4"/>
      <c r="P255" s="4" t="s">
        <v>258</v>
      </c>
      <c r="Q255" s="4"/>
      <c r="R255" s="4" t="s">
        <v>396</v>
      </c>
      <c r="S255" s="4" t="s">
        <v>397</v>
      </c>
      <c r="T255" s="4"/>
      <c r="U255" s="4" t="s">
        <v>398</v>
      </c>
      <c r="V255" s="4" t="s">
        <v>399</v>
      </c>
      <c r="W255" s="4" t="s">
        <v>400</v>
      </c>
      <c r="X255" s="4" t="s">
        <v>402</v>
      </c>
      <c r="Y255" s="4" t="s">
        <v>403</v>
      </c>
      <c r="Z255" s="4" t="s">
        <v>404</v>
      </c>
      <c r="AA255" s="4">
        <v>318</v>
      </c>
      <c r="AB255" s="4"/>
      <c r="AC255" s="4" t="s">
        <v>376</v>
      </c>
      <c r="AD255" s="4"/>
      <c r="AE255" s="4">
        <v>7200</v>
      </c>
      <c r="AF255" s="4" t="s">
        <v>405</v>
      </c>
      <c r="AG255" s="4"/>
      <c r="AH255" s="59"/>
      <c r="AJ255" s="25">
        <v>3.2382418289930801E-3</v>
      </c>
      <c r="AK255" s="25">
        <v>561.01076317222703</v>
      </c>
      <c r="AL255" s="11">
        <f t="shared" si="21"/>
        <v>0.10191818129502377</v>
      </c>
      <c r="AN255" s="63">
        <v>318</v>
      </c>
      <c r="AO255" s="11">
        <f t="shared" si="19"/>
        <v>348.15</v>
      </c>
      <c r="AP255" s="65" t="s">
        <v>161</v>
      </c>
      <c r="AQ255" s="66">
        <v>561.01076317222703</v>
      </c>
      <c r="AR255" s="66">
        <v>3.2382418289930801E-3</v>
      </c>
      <c r="AS255" s="11"/>
      <c r="AT255" s="11"/>
      <c r="AU255" s="11"/>
      <c r="BD255" s="19" t="s">
        <v>158</v>
      </c>
      <c r="BE255" s="11" t="s">
        <v>409</v>
      </c>
    </row>
    <row r="256" spans="2:57" x14ac:dyDescent="0.3">
      <c r="B256" s="11" t="s">
        <v>163</v>
      </c>
      <c r="C256" s="4" t="s">
        <v>164</v>
      </c>
      <c r="D256" s="4" t="s">
        <v>257</v>
      </c>
      <c r="E256" s="4"/>
      <c r="F256" s="42" t="s">
        <v>254</v>
      </c>
      <c r="G256" s="4"/>
      <c r="H256" s="4">
        <v>1023.654</v>
      </c>
      <c r="I256" s="36">
        <f t="shared" si="20"/>
        <v>167.14632092484374</v>
      </c>
      <c r="J256" s="4" t="s">
        <v>259</v>
      </c>
      <c r="K256" s="4">
        <v>171.1</v>
      </c>
      <c r="L256" s="4">
        <v>2.4500000000000002</v>
      </c>
      <c r="M256" s="4">
        <f t="shared" si="18"/>
        <v>69.836734693877546</v>
      </c>
      <c r="N256" s="4" t="s">
        <v>253</v>
      </c>
      <c r="O256" s="4"/>
      <c r="P256" s="4" t="s">
        <v>258</v>
      </c>
      <c r="Q256" s="4"/>
      <c r="R256" s="4" t="s">
        <v>396</v>
      </c>
      <c r="S256" s="4" t="s">
        <v>397</v>
      </c>
      <c r="T256" s="4"/>
      <c r="U256" s="4" t="s">
        <v>398</v>
      </c>
      <c r="V256" s="4" t="s">
        <v>399</v>
      </c>
      <c r="W256" s="4" t="s">
        <v>400</v>
      </c>
      <c r="X256" s="4" t="s">
        <v>402</v>
      </c>
      <c r="Y256" s="4" t="s">
        <v>403</v>
      </c>
      <c r="Z256" s="4" t="s">
        <v>404</v>
      </c>
      <c r="AA256" s="4">
        <v>318</v>
      </c>
      <c r="AB256" s="4"/>
      <c r="AC256" s="4" t="s">
        <v>376</v>
      </c>
      <c r="AD256" s="4"/>
      <c r="AE256" s="4">
        <v>7200</v>
      </c>
      <c r="AF256" s="4" t="s">
        <v>405</v>
      </c>
      <c r="AG256" s="4"/>
      <c r="AH256" s="59"/>
      <c r="AJ256" s="25">
        <v>3.1622776601683699E-3</v>
      </c>
      <c r="AK256" s="25">
        <v>566.35197554612705</v>
      </c>
      <c r="AL256" s="11">
        <f t="shared" si="21"/>
        <v>0.10143149801334048</v>
      </c>
      <c r="AN256" s="63">
        <v>318</v>
      </c>
      <c r="AO256" s="11">
        <f t="shared" si="19"/>
        <v>348.15</v>
      </c>
      <c r="AP256" s="65" t="s">
        <v>161</v>
      </c>
      <c r="AQ256" s="66">
        <v>566.35197554612705</v>
      </c>
      <c r="AR256" s="66">
        <v>3.1622776601683699E-3</v>
      </c>
      <c r="AS256" s="11"/>
      <c r="AT256" s="11"/>
      <c r="AU256" s="11"/>
      <c r="BD256" s="19" t="s">
        <v>158</v>
      </c>
      <c r="BE256" s="11" t="s">
        <v>409</v>
      </c>
    </row>
    <row r="257" spans="2:57" x14ac:dyDescent="0.3">
      <c r="B257" s="11" t="s">
        <v>163</v>
      </c>
      <c r="C257" s="4" t="s">
        <v>164</v>
      </c>
      <c r="D257" s="4" t="s">
        <v>257</v>
      </c>
      <c r="E257" s="4"/>
      <c r="F257" s="42" t="s">
        <v>254</v>
      </c>
      <c r="G257" s="4"/>
      <c r="H257" s="4">
        <v>1023.654</v>
      </c>
      <c r="I257" s="36">
        <f t="shared" si="20"/>
        <v>167.14632092484374</v>
      </c>
      <c r="J257" s="4" t="s">
        <v>259</v>
      </c>
      <c r="K257" s="4">
        <v>171.1</v>
      </c>
      <c r="L257" s="4">
        <v>2.4500000000000002</v>
      </c>
      <c r="M257" s="4">
        <f t="shared" si="18"/>
        <v>69.836734693877546</v>
      </c>
      <c r="N257" s="4" t="s">
        <v>253</v>
      </c>
      <c r="O257" s="4"/>
      <c r="P257" s="4" t="s">
        <v>258</v>
      </c>
      <c r="Q257" s="4"/>
      <c r="R257" s="4" t="s">
        <v>396</v>
      </c>
      <c r="S257" s="4" t="s">
        <v>397</v>
      </c>
      <c r="T257" s="4"/>
      <c r="U257" s="4" t="s">
        <v>398</v>
      </c>
      <c r="V257" s="4" t="s">
        <v>399</v>
      </c>
      <c r="W257" s="4" t="s">
        <v>400</v>
      </c>
      <c r="X257" s="4" t="s">
        <v>402</v>
      </c>
      <c r="Y257" s="4" t="s">
        <v>403</v>
      </c>
      <c r="Z257" s="4" t="s">
        <v>404</v>
      </c>
      <c r="AA257" s="4">
        <v>318</v>
      </c>
      <c r="AB257" s="4"/>
      <c r="AC257" s="4" t="s">
        <v>376</v>
      </c>
      <c r="AD257" s="4"/>
      <c r="AE257" s="4">
        <v>7200</v>
      </c>
      <c r="AF257" s="4" t="s">
        <v>405</v>
      </c>
      <c r="AG257" s="4"/>
      <c r="AH257" s="59"/>
      <c r="AJ257" s="25">
        <v>3.0516595595401798E-3</v>
      </c>
      <c r="AK257" s="25">
        <v>566.35197554612796</v>
      </c>
      <c r="AL257" s="11">
        <f t="shared" si="21"/>
        <v>9.7883371991570017E-2</v>
      </c>
      <c r="AN257" s="63">
        <v>318</v>
      </c>
      <c r="AO257" s="11">
        <f t="shared" si="19"/>
        <v>348.15</v>
      </c>
      <c r="AP257" s="65" t="s">
        <v>161</v>
      </c>
      <c r="AQ257" s="66">
        <v>566.35197554612796</v>
      </c>
      <c r="AR257" s="66">
        <v>3.0516595595401798E-3</v>
      </c>
      <c r="AS257" s="11"/>
      <c r="AT257" s="11"/>
      <c r="AU257" s="11"/>
      <c r="BD257" s="19" t="s">
        <v>158</v>
      </c>
      <c r="BE257" s="11" t="s">
        <v>409</v>
      </c>
    </row>
    <row r="258" spans="2:57" x14ac:dyDescent="0.3">
      <c r="B258" s="11" t="s">
        <v>163</v>
      </c>
      <c r="C258" s="4" t="s">
        <v>164</v>
      </c>
      <c r="D258" s="4" t="s">
        <v>257</v>
      </c>
      <c r="E258" s="4"/>
      <c r="F258" s="42" t="s">
        <v>254</v>
      </c>
      <c r="G258" s="4"/>
      <c r="H258" s="4">
        <v>1023.654</v>
      </c>
      <c r="I258" s="36">
        <f t="shared" si="20"/>
        <v>167.14632092484374</v>
      </c>
      <c r="J258" s="4" t="s">
        <v>259</v>
      </c>
      <c r="K258" s="4">
        <v>171.1</v>
      </c>
      <c r="L258" s="4">
        <v>2.4500000000000002</v>
      </c>
      <c r="M258" s="4">
        <f t="shared" si="18"/>
        <v>69.836734693877546</v>
      </c>
      <c r="N258" s="4" t="s">
        <v>253</v>
      </c>
      <c r="O258" s="4"/>
      <c r="P258" s="4" t="s">
        <v>258</v>
      </c>
      <c r="Q258" s="4"/>
      <c r="R258" s="4" t="s">
        <v>396</v>
      </c>
      <c r="S258" s="4" t="s">
        <v>397</v>
      </c>
      <c r="T258" s="4"/>
      <c r="U258" s="4" t="s">
        <v>398</v>
      </c>
      <c r="V258" s="4" t="s">
        <v>399</v>
      </c>
      <c r="W258" s="4" t="s">
        <v>400</v>
      </c>
      <c r="X258" s="4" t="s">
        <v>402</v>
      </c>
      <c r="Y258" s="4" t="s">
        <v>403</v>
      </c>
      <c r="Z258" s="4" t="s">
        <v>404</v>
      </c>
      <c r="AA258" s="4">
        <v>318</v>
      </c>
      <c r="AB258" s="4"/>
      <c r="AC258" s="4" t="s">
        <v>376</v>
      </c>
      <c r="AD258" s="4"/>
      <c r="AE258" s="4">
        <v>7200</v>
      </c>
      <c r="AF258" s="4" t="s">
        <v>405</v>
      </c>
      <c r="AG258" s="4"/>
      <c r="AH258" s="59"/>
      <c r="AJ258" s="25">
        <v>3.0156535269008902E-3</v>
      </c>
      <c r="AK258" s="25">
        <v>566.35197554612796</v>
      </c>
      <c r="AL258" s="11">
        <f t="shared" si="21"/>
        <v>9.6728462075175783E-2</v>
      </c>
      <c r="AN258" s="63">
        <v>318</v>
      </c>
      <c r="AO258" s="11">
        <f t="shared" si="19"/>
        <v>348.15</v>
      </c>
      <c r="AP258" s="65" t="s">
        <v>161</v>
      </c>
      <c r="AQ258" s="66">
        <v>566.35197554612796</v>
      </c>
      <c r="AR258" s="66">
        <v>3.0156535269008902E-3</v>
      </c>
      <c r="AS258" s="11"/>
      <c r="AT258" s="11"/>
      <c r="AU258" s="11"/>
      <c r="BD258" s="19" t="s">
        <v>158</v>
      </c>
      <c r="BE258" s="11" t="s">
        <v>409</v>
      </c>
    </row>
    <row r="259" spans="2:57" x14ac:dyDescent="0.3">
      <c r="B259" s="11" t="s">
        <v>163</v>
      </c>
      <c r="C259" s="4" t="s">
        <v>164</v>
      </c>
      <c r="D259" s="4" t="s">
        <v>257</v>
      </c>
      <c r="E259" s="4"/>
      <c r="F259" s="42" t="s">
        <v>254</v>
      </c>
      <c r="G259" s="4"/>
      <c r="H259" s="4">
        <v>1023.654</v>
      </c>
      <c r="I259" s="36">
        <f t="shared" si="20"/>
        <v>167.14632092484374</v>
      </c>
      <c r="J259" s="4" t="s">
        <v>259</v>
      </c>
      <c r="K259" s="4">
        <v>171.1</v>
      </c>
      <c r="L259" s="4">
        <v>2.4500000000000002</v>
      </c>
      <c r="M259" s="4">
        <f t="shared" si="18"/>
        <v>69.836734693877546</v>
      </c>
      <c r="N259" s="4" t="s">
        <v>253</v>
      </c>
      <c r="O259" s="4"/>
      <c r="P259" s="4" t="s">
        <v>258</v>
      </c>
      <c r="Q259" s="4"/>
      <c r="R259" s="4" t="s">
        <v>396</v>
      </c>
      <c r="S259" s="4" t="s">
        <v>397</v>
      </c>
      <c r="T259" s="4"/>
      <c r="U259" s="4" t="s">
        <v>398</v>
      </c>
      <c r="V259" s="4" t="s">
        <v>399</v>
      </c>
      <c r="W259" s="4" t="s">
        <v>400</v>
      </c>
      <c r="X259" s="4" t="s">
        <v>402</v>
      </c>
      <c r="Y259" s="4" t="s">
        <v>403</v>
      </c>
      <c r="Z259" s="4" t="s">
        <v>404</v>
      </c>
      <c r="AA259" s="4">
        <v>318</v>
      </c>
      <c r="AB259" s="4"/>
      <c r="AC259" s="4" t="s">
        <v>376</v>
      </c>
      <c r="AD259" s="4"/>
      <c r="AE259" s="4">
        <v>7200</v>
      </c>
      <c r="AF259" s="4" t="s">
        <v>405</v>
      </c>
      <c r="AG259" s="4"/>
      <c r="AH259" s="59"/>
      <c r="AJ259" s="25">
        <v>2.9449109370228801E-3</v>
      </c>
      <c r="AK259" s="25">
        <v>571.74403997402703</v>
      </c>
      <c r="AL259" s="11">
        <f t="shared" si="21"/>
        <v>9.6266560923127117E-2</v>
      </c>
      <c r="AN259" s="63">
        <v>318</v>
      </c>
      <c r="AO259" s="11">
        <f t="shared" si="19"/>
        <v>348.15</v>
      </c>
      <c r="AP259" s="65" t="s">
        <v>161</v>
      </c>
      <c r="AQ259" s="66">
        <v>571.74403997402703</v>
      </c>
      <c r="AR259" s="66">
        <v>2.9449109370228801E-3</v>
      </c>
      <c r="AS259" s="11"/>
      <c r="AT259" s="11"/>
      <c r="AU259" s="11"/>
      <c r="BD259" s="19" t="s">
        <v>158</v>
      </c>
      <c r="BE259" s="11" t="s">
        <v>409</v>
      </c>
    </row>
    <row r="260" spans="2:57" x14ac:dyDescent="0.3">
      <c r="B260" s="11" t="s">
        <v>163</v>
      </c>
      <c r="C260" s="4" t="s">
        <v>164</v>
      </c>
      <c r="D260" s="4" t="s">
        <v>257</v>
      </c>
      <c r="E260" s="4"/>
      <c r="F260" s="42" t="s">
        <v>254</v>
      </c>
      <c r="G260" s="4"/>
      <c r="H260" s="4">
        <v>1023.654</v>
      </c>
      <c r="I260" s="36">
        <f t="shared" si="20"/>
        <v>167.14632092484374</v>
      </c>
      <c r="J260" s="4" t="s">
        <v>259</v>
      </c>
      <c r="K260" s="4">
        <v>171.1</v>
      </c>
      <c r="L260" s="4">
        <v>2.4500000000000002</v>
      </c>
      <c r="M260" s="4">
        <f t="shared" si="18"/>
        <v>69.836734693877546</v>
      </c>
      <c r="N260" s="4" t="s">
        <v>253</v>
      </c>
      <c r="O260" s="4"/>
      <c r="P260" s="4" t="s">
        <v>258</v>
      </c>
      <c r="Q260" s="4"/>
      <c r="R260" s="4" t="s">
        <v>396</v>
      </c>
      <c r="S260" s="4" t="s">
        <v>397</v>
      </c>
      <c r="T260" s="4"/>
      <c r="U260" s="4" t="s">
        <v>398</v>
      </c>
      <c r="V260" s="4" t="s">
        <v>399</v>
      </c>
      <c r="W260" s="4" t="s">
        <v>400</v>
      </c>
      <c r="X260" s="4" t="s">
        <v>402</v>
      </c>
      <c r="Y260" s="4" t="s">
        <v>403</v>
      </c>
      <c r="Z260" s="4" t="s">
        <v>404</v>
      </c>
      <c r="AA260" s="4">
        <v>318</v>
      </c>
      <c r="AB260" s="4"/>
      <c r="AC260" s="4" t="s">
        <v>376</v>
      </c>
      <c r="AD260" s="4"/>
      <c r="AE260" s="4">
        <v>7200</v>
      </c>
      <c r="AF260" s="4" t="s">
        <v>405</v>
      </c>
      <c r="AG260" s="4"/>
      <c r="AH260" s="59"/>
      <c r="AJ260" s="25">
        <v>2.8418964362799701E-3</v>
      </c>
      <c r="AK260" s="25">
        <v>571.74403997402806</v>
      </c>
      <c r="AL260" s="11">
        <f t="shared" si="21"/>
        <v>9.2899107059901898E-2</v>
      </c>
      <c r="AN260" s="63">
        <v>318</v>
      </c>
      <c r="AO260" s="11">
        <f t="shared" si="19"/>
        <v>348.15</v>
      </c>
      <c r="AP260" s="65" t="s">
        <v>161</v>
      </c>
      <c r="AQ260" s="66">
        <v>571.74403997402806</v>
      </c>
      <c r="AR260" s="66">
        <v>2.8418964362799701E-3</v>
      </c>
      <c r="AS260" s="11"/>
      <c r="AT260" s="11"/>
      <c r="AU260" s="11"/>
      <c r="BD260" s="19" t="s">
        <v>158</v>
      </c>
      <c r="BE260" s="11" t="s">
        <v>409</v>
      </c>
    </row>
    <row r="261" spans="2:57" x14ac:dyDescent="0.3">
      <c r="B261" s="11" t="s">
        <v>163</v>
      </c>
      <c r="C261" s="4" t="s">
        <v>164</v>
      </c>
      <c r="D261" s="4" t="s">
        <v>257</v>
      </c>
      <c r="E261" s="4"/>
      <c r="F261" s="42" t="s">
        <v>254</v>
      </c>
      <c r="G261" s="4"/>
      <c r="H261" s="4">
        <v>1023.654</v>
      </c>
      <c r="I261" s="36">
        <f t="shared" si="20"/>
        <v>167.14632092484374</v>
      </c>
      <c r="J261" s="4" t="s">
        <v>259</v>
      </c>
      <c r="K261" s="4">
        <v>171.1</v>
      </c>
      <c r="L261" s="4">
        <v>2.4500000000000002</v>
      </c>
      <c r="M261" s="4">
        <f t="shared" si="18"/>
        <v>69.836734693877546</v>
      </c>
      <c r="N261" s="4" t="s">
        <v>253</v>
      </c>
      <c r="O261" s="4"/>
      <c r="P261" s="4" t="s">
        <v>258</v>
      </c>
      <c r="Q261" s="4"/>
      <c r="R261" s="4" t="s">
        <v>396</v>
      </c>
      <c r="S261" s="4" t="s">
        <v>397</v>
      </c>
      <c r="T261" s="4"/>
      <c r="U261" s="4" t="s">
        <v>398</v>
      </c>
      <c r="V261" s="4" t="s">
        <v>399</v>
      </c>
      <c r="W261" s="4" t="s">
        <v>400</v>
      </c>
      <c r="X261" s="4" t="s">
        <v>402</v>
      </c>
      <c r="Y261" s="4" t="s">
        <v>403</v>
      </c>
      <c r="Z261" s="4" t="s">
        <v>404</v>
      </c>
      <c r="AA261" s="4">
        <v>318</v>
      </c>
      <c r="AB261" s="4"/>
      <c r="AC261" s="4" t="s">
        <v>376</v>
      </c>
      <c r="AD261" s="4"/>
      <c r="AE261" s="4">
        <v>7200</v>
      </c>
      <c r="AF261" s="4" t="s">
        <v>405</v>
      </c>
      <c r="AG261" s="4"/>
      <c r="AH261" s="59"/>
      <c r="AJ261" s="25">
        <v>2.77522992029126E-3</v>
      </c>
      <c r="AK261" s="25">
        <v>577.18744060282302</v>
      </c>
      <c r="AL261" s="11">
        <f t="shared" si="21"/>
        <v>9.2455491978521376E-2</v>
      </c>
      <c r="AN261" s="63">
        <v>318</v>
      </c>
      <c r="AO261" s="11">
        <f t="shared" si="19"/>
        <v>348.15</v>
      </c>
      <c r="AP261" s="65" t="s">
        <v>161</v>
      </c>
      <c r="AQ261" s="66">
        <v>577.18744060282302</v>
      </c>
      <c r="AR261" s="66">
        <v>2.77522992029126E-3</v>
      </c>
      <c r="AS261" s="11"/>
      <c r="AT261" s="11"/>
      <c r="AU261" s="11"/>
      <c r="BD261" s="19" t="s">
        <v>158</v>
      </c>
      <c r="BE261" s="11" t="s">
        <v>409</v>
      </c>
    </row>
    <row r="262" spans="2:57" x14ac:dyDescent="0.3">
      <c r="B262" s="11" t="s">
        <v>163</v>
      </c>
      <c r="C262" s="4" t="s">
        <v>164</v>
      </c>
      <c r="D262" s="4" t="s">
        <v>257</v>
      </c>
      <c r="E262" s="4"/>
      <c r="F262" s="42" t="s">
        <v>254</v>
      </c>
      <c r="G262" s="4"/>
      <c r="H262" s="4">
        <v>1023.654</v>
      </c>
      <c r="I262" s="36">
        <f t="shared" si="20"/>
        <v>167.14632092484374</v>
      </c>
      <c r="J262" s="4" t="s">
        <v>259</v>
      </c>
      <c r="K262" s="4">
        <v>171.1</v>
      </c>
      <c r="L262" s="4">
        <v>2.4500000000000002</v>
      </c>
      <c r="M262" s="4">
        <f t="shared" si="18"/>
        <v>69.836734693877546</v>
      </c>
      <c r="N262" s="4" t="s">
        <v>253</v>
      </c>
      <c r="O262" s="4"/>
      <c r="P262" s="4" t="s">
        <v>258</v>
      </c>
      <c r="Q262" s="4"/>
      <c r="R262" s="4" t="s">
        <v>396</v>
      </c>
      <c r="S262" s="4" t="s">
        <v>397</v>
      </c>
      <c r="T262" s="4"/>
      <c r="U262" s="4" t="s">
        <v>398</v>
      </c>
      <c r="V262" s="4" t="s">
        <v>399</v>
      </c>
      <c r="W262" s="4" t="s">
        <v>400</v>
      </c>
      <c r="X262" s="4" t="s">
        <v>402</v>
      </c>
      <c r="Y262" s="4" t="s">
        <v>403</v>
      </c>
      <c r="Z262" s="4" t="s">
        <v>404</v>
      </c>
      <c r="AA262" s="4">
        <v>318</v>
      </c>
      <c r="AB262" s="4"/>
      <c r="AC262" s="4" t="s">
        <v>376</v>
      </c>
      <c r="AD262" s="4"/>
      <c r="AE262" s="4">
        <v>7200</v>
      </c>
      <c r="AF262" s="4" t="s">
        <v>405</v>
      </c>
      <c r="AG262" s="4"/>
      <c r="AH262" s="59"/>
      <c r="AJ262" s="25">
        <v>2.7101272981508002E-3</v>
      </c>
      <c r="AK262" s="25">
        <v>577.18744060282404</v>
      </c>
      <c r="AL262" s="11">
        <f t="shared" si="21"/>
        <v>9.0286628449385245E-2</v>
      </c>
      <c r="AN262" s="63">
        <v>318</v>
      </c>
      <c r="AO262" s="11">
        <f t="shared" si="19"/>
        <v>348.15</v>
      </c>
      <c r="AP262" s="65" t="s">
        <v>161</v>
      </c>
      <c r="AQ262" s="66">
        <v>577.18744060282404</v>
      </c>
      <c r="AR262" s="66">
        <v>2.7101272981508002E-3</v>
      </c>
      <c r="AS262" s="11"/>
      <c r="AT262" s="11"/>
      <c r="AU262" s="11"/>
      <c r="BD262" s="19" t="s">
        <v>158</v>
      </c>
      <c r="BE262" s="11" t="s">
        <v>409</v>
      </c>
    </row>
    <row r="263" spans="2:57" x14ac:dyDescent="0.3">
      <c r="B263" s="11" t="s">
        <v>163</v>
      </c>
      <c r="C263" s="4" t="s">
        <v>164</v>
      </c>
      <c r="D263" s="4" t="s">
        <v>257</v>
      </c>
      <c r="E263" s="4"/>
      <c r="F263" s="42" t="s">
        <v>254</v>
      </c>
      <c r="G263" s="4"/>
      <c r="H263" s="4">
        <v>1023.654</v>
      </c>
      <c r="I263" s="36">
        <f t="shared" si="20"/>
        <v>167.14632092484374</v>
      </c>
      <c r="J263" s="4" t="s">
        <v>259</v>
      </c>
      <c r="K263" s="4">
        <v>171.1</v>
      </c>
      <c r="L263" s="4">
        <v>2.4500000000000002</v>
      </c>
      <c r="M263" s="4">
        <f t="shared" si="18"/>
        <v>69.836734693877546</v>
      </c>
      <c r="N263" s="4" t="s">
        <v>253</v>
      </c>
      <c r="O263" s="4"/>
      <c r="P263" s="4" t="s">
        <v>258</v>
      </c>
      <c r="Q263" s="4"/>
      <c r="R263" s="4" t="s">
        <v>396</v>
      </c>
      <c r="S263" s="4" t="s">
        <v>397</v>
      </c>
      <c r="T263" s="4"/>
      <c r="U263" s="4" t="s">
        <v>398</v>
      </c>
      <c r="V263" s="4" t="s">
        <v>399</v>
      </c>
      <c r="W263" s="4" t="s">
        <v>400</v>
      </c>
      <c r="X263" s="4" t="s">
        <v>402</v>
      </c>
      <c r="Y263" s="4" t="s">
        <v>403</v>
      </c>
      <c r="Z263" s="4" t="s">
        <v>404</v>
      </c>
      <c r="AA263" s="4">
        <v>318</v>
      </c>
      <c r="AB263" s="4"/>
      <c r="AC263" s="4" t="s">
        <v>376</v>
      </c>
      <c r="AD263" s="4"/>
      <c r="AE263" s="4">
        <v>7200</v>
      </c>
      <c r="AF263" s="4" t="s">
        <v>405</v>
      </c>
      <c r="AG263" s="4"/>
      <c r="AH263" s="59"/>
      <c r="AJ263" s="25">
        <v>2.6465518833161499E-3</v>
      </c>
      <c r="AK263" s="25">
        <v>588.23021014165101</v>
      </c>
      <c r="AL263" s="11">
        <f t="shared" si="21"/>
        <v>9.1574606799051897E-2</v>
      </c>
      <c r="AN263" s="63">
        <v>318</v>
      </c>
      <c r="AO263" s="11">
        <f t="shared" si="19"/>
        <v>348.15</v>
      </c>
      <c r="AP263" s="65" t="s">
        <v>161</v>
      </c>
      <c r="AQ263" s="66">
        <v>588.23021014165101</v>
      </c>
      <c r="AR263" s="66">
        <v>2.6465518833161499E-3</v>
      </c>
      <c r="AS263" s="11"/>
      <c r="AT263" s="11"/>
      <c r="AU263" s="11"/>
      <c r="BD263" s="19" t="s">
        <v>158</v>
      </c>
      <c r="BE263" s="11" t="s">
        <v>409</v>
      </c>
    </row>
    <row r="264" spans="2:57" x14ac:dyDescent="0.3">
      <c r="B264" s="11" t="s">
        <v>163</v>
      </c>
      <c r="C264" s="4" t="s">
        <v>164</v>
      </c>
      <c r="D264" s="4" t="s">
        <v>257</v>
      </c>
      <c r="E264" s="4"/>
      <c r="F264" s="42" t="s">
        <v>254</v>
      </c>
      <c r="G264" s="4"/>
      <c r="H264" s="4">
        <v>1023.654</v>
      </c>
      <c r="I264" s="36">
        <f t="shared" si="20"/>
        <v>167.14632092484374</v>
      </c>
      <c r="J264" s="4" t="s">
        <v>259</v>
      </c>
      <c r="K264" s="4">
        <v>171.1</v>
      </c>
      <c r="L264" s="4">
        <v>2.4500000000000002</v>
      </c>
      <c r="M264" s="4">
        <f t="shared" si="18"/>
        <v>69.836734693877546</v>
      </c>
      <c r="N264" s="4" t="s">
        <v>253</v>
      </c>
      <c r="O264" s="4"/>
      <c r="P264" s="4" t="s">
        <v>258</v>
      </c>
      <c r="Q264" s="4"/>
      <c r="R264" s="4" t="s">
        <v>396</v>
      </c>
      <c r="S264" s="4" t="s">
        <v>397</v>
      </c>
      <c r="T264" s="4"/>
      <c r="U264" s="4" t="s">
        <v>398</v>
      </c>
      <c r="V264" s="4" t="s">
        <v>399</v>
      </c>
      <c r="W264" s="4" t="s">
        <v>400</v>
      </c>
      <c r="X264" s="4" t="s">
        <v>402</v>
      </c>
      <c r="Y264" s="4" t="s">
        <v>403</v>
      </c>
      <c r="Z264" s="4" t="s">
        <v>404</v>
      </c>
      <c r="AA264" s="4">
        <v>318</v>
      </c>
      <c r="AB264" s="4"/>
      <c r="AC264" s="4" t="s">
        <v>376</v>
      </c>
      <c r="AD264" s="4"/>
      <c r="AE264" s="4">
        <v>7200</v>
      </c>
      <c r="AF264" s="4" t="s">
        <v>405</v>
      </c>
      <c r="AG264" s="4"/>
      <c r="AH264" s="59"/>
      <c r="AJ264" s="25">
        <v>2.5238402122549899E-3</v>
      </c>
      <c r="AK264" s="25">
        <v>599.48425031893998</v>
      </c>
      <c r="AL264" s="11">
        <f t="shared" si="21"/>
        <v>9.0702114400615222E-2</v>
      </c>
      <c r="AN264" s="63">
        <v>318</v>
      </c>
      <c r="AO264" s="11">
        <f t="shared" si="19"/>
        <v>348.15</v>
      </c>
      <c r="AP264" s="65" t="s">
        <v>161</v>
      </c>
      <c r="AQ264" s="66">
        <v>599.48425031893998</v>
      </c>
      <c r="AR264" s="66">
        <v>2.5238402122549899E-3</v>
      </c>
      <c r="AS264" s="11"/>
      <c r="AT264" s="11"/>
      <c r="AU264" s="11"/>
      <c r="BD264" s="19" t="s">
        <v>158</v>
      </c>
      <c r="BE264" s="11" t="s">
        <v>409</v>
      </c>
    </row>
    <row r="265" spans="2:57" x14ac:dyDescent="0.3">
      <c r="B265" s="11" t="s">
        <v>163</v>
      </c>
      <c r="C265" s="4" t="s">
        <v>164</v>
      </c>
      <c r="D265" s="4" t="s">
        <v>257</v>
      </c>
      <c r="E265" s="4"/>
      <c r="F265" s="42" t="s">
        <v>254</v>
      </c>
      <c r="G265" s="4"/>
      <c r="H265" s="4">
        <v>1023.654</v>
      </c>
      <c r="I265" s="36">
        <f t="shared" si="20"/>
        <v>167.14632092484374</v>
      </c>
      <c r="J265" s="4" t="s">
        <v>259</v>
      </c>
      <c r="K265" s="4">
        <v>171.1</v>
      </c>
      <c r="L265" s="4">
        <v>2.4500000000000002</v>
      </c>
      <c r="M265" s="4">
        <f t="shared" si="18"/>
        <v>69.836734693877546</v>
      </c>
      <c r="N265" s="4" t="s">
        <v>253</v>
      </c>
      <c r="O265" s="4"/>
      <c r="P265" s="4" t="s">
        <v>258</v>
      </c>
      <c r="Q265" s="4"/>
      <c r="R265" s="4" t="s">
        <v>396</v>
      </c>
      <c r="S265" s="4" t="s">
        <v>397</v>
      </c>
      <c r="T265" s="4"/>
      <c r="U265" s="4" t="s">
        <v>398</v>
      </c>
      <c r="V265" s="4" t="s">
        <v>399</v>
      </c>
      <c r="W265" s="4" t="s">
        <v>400</v>
      </c>
      <c r="X265" s="4" t="s">
        <v>402</v>
      </c>
      <c r="Y265" s="4" t="s">
        <v>403</v>
      </c>
      <c r="Z265" s="4" t="s">
        <v>404</v>
      </c>
      <c r="AA265" s="4">
        <v>318</v>
      </c>
      <c r="AB265" s="4"/>
      <c r="AC265" s="4" t="s">
        <v>376</v>
      </c>
      <c r="AD265" s="4"/>
      <c r="AE265" s="4">
        <v>7200</v>
      </c>
      <c r="AF265" s="4" t="s">
        <v>405</v>
      </c>
      <c r="AG265" s="4"/>
      <c r="AH265" s="59"/>
      <c r="AJ265" s="25">
        <v>1.2381792030477699E-2</v>
      </c>
      <c r="AK265" s="25">
        <v>410.36349906661701</v>
      </c>
      <c r="AL265" s="11">
        <f t="shared" si="21"/>
        <v>0.20850715076227616</v>
      </c>
      <c r="AN265" s="63">
        <v>318</v>
      </c>
      <c r="AO265" s="11">
        <f t="shared" si="19"/>
        <v>348.15</v>
      </c>
      <c r="AP265" s="65" t="s">
        <v>161</v>
      </c>
      <c r="AQ265" s="66">
        <v>410.36349906661701</v>
      </c>
      <c r="AR265" s="66">
        <v>1.2381792030477699E-2</v>
      </c>
      <c r="AS265" s="11"/>
      <c r="AT265" s="11"/>
      <c r="AU265" s="11"/>
      <c r="BD265" s="19" t="s">
        <v>158</v>
      </c>
      <c r="BE265" s="11" t="s">
        <v>409</v>
      </c>
    </row>
    <row r="266" spans="2:57" x14ac:dyDescent="0.3">
      <c r="B266" s="60" t="s">
        <v>163</v>
      </c>
      <c r="C266" s="4" t="s">
        <v>164</v>
      </c>
      <c r="D266" s="4" t="s">
        <v>257</v>
      </c>
      <c r="E266" s="4"/>
      <c r="F266" s="42" t="s">
        <v>254</v>
      </c>
      <c r="G266" s="4"/>
      <c r="H266" s="4">
        <v>1023.654</v>
      </c>
      <c r="I266" s="36">
        <f t="shared" si="20"/>
        <v>167.14632092484374</v>
      </c>
      <c r="J266" s="4" t="s">
        <v>259</v>
      </c>
      <c r="K266" s="4">
        <v>171.1</v>
      </c>
      <c r="L266" s="4">
        <v>2.4500000000000002</v>
      </c>
      <c r="M266" s="4">
        <f t="shared" si="18"/>
        <v>69.836734693877546</v>
      </c>
      <c r="N266" s="4" t="s">
        <v>253</v>
      </c>
      <c r="O266" s="4"/>
      <c r="P266" s="4" t="s">
        <v>258</v>
      </c>
      <c r="Q266" s="4"/>
      <c r="R266" s="4" t="s">
        <v>396</v>
      </c>
      <c r="S266" s="4" t="s">
        <v>397</v>
      </c>
      <c r="T266" s="4"/>
      <c r="U266" s="4" t="s">
        <v>398</v>
      </c>
      <c r="V266" s="4" t="s">
        <v>399</v>
      </c>
      <c r="W266" s="4" t="s">
        <v>400</v>
      </c>
      <c r="X266" s="4" t="s">
        <v>402</v>
      </c>
      <c r="Y266" s="4" t="s">
        <v>403</v>
      </c>
      <c r="Z266" s="4" t="s">
        <v>404</v>
      </c>
      <c r="AA266" s="4">
        <v>318</v>
      </c>
      <c r="AB266" s="4"/>
      <c r="AC266" s="4" t="s">
        <v>376</v>
      </c>
      <c r="AD266" s="4"/>
      <c r="AE266" s="4">
        <v>7200</v>
      </c>
      <c r="AF266" s="4" t="s">
        <v>405</v>
      </c>
      <c r="AG266" s="4"/>
      <c r="AH266" s="59"/>
      <c r="AJ266" s="25">
        <v>1.89823735470399E-2</v>
      </c>
      <c r="AK266" s="25">
        <v>369.74408456724098</v>
      </c>
      <c r="AL266" s="11">
        <f t="shared" si="21"/>
        <v>0.25950933488644218</v>
      </c>
      <c r="AN266" s="63">
        <v>318</v>
      </c>
      <c r="AO266" s="11">
        <f t="shared" si="19"/>
        <v>348.15</v>
      </c>
      <c r="AP266" s="65" t="s">
        <v>161</v>
      </c>
      <c r="AQ266" s="66">
        <v>369.74408456724098</v>
      </c>
      <c r="AR266" s="66">
        <v>1.89823735470399E-2</v>
      </c>
      <c r="AS266" s="11"/>
      <c r="AT266" s="11"/>
      <c r="AU266" s="11"/>
      <c r="BD266" s="19" t="s">
        <v>158</v>
      </c>
      <c r="BE266" s="11" t="s">
        <v>409</v>
      </c>
    </row>
    <row r="267" spans="2:57" ht="316.8" x14ac:dyDescent="0.3">
      <c r="B267" s="11" t="s">
        <v>165</v>
      </c>
      <c r="C267" s="4" t="s">
        <v>162</v>
      </c>
      <c r="D267" s="4" t="s">
        <v>91</v>
      </c>
      <c r="E267" s="4" t="e" vm="5">
        <v>#VALUE!</v>
      </c>
      <c r="F267" s="43" t="s">
        <v>251</v>
      </c>
      <c r="H267" s="4">
        <v>166.28</v>
      </c>
      <c r="I267" s="36">
        <f t="shared" si="20"/>
        <v>0</v>
      </c>
      <c r="J267" s="4" t="s">
        <v>423</v>
      </c>
      <c r="K267" s="4"/>
      <c r="L267" s="4"/>
      <c r="M267" s="4" t="e">
        <f t="shared" si="18"/>
        <v>#DIV/0!</v>
      </c>
      <c r="N267" t="s">
        <v>184</v>
      </c>
      <c r="P267" s="4" t="s">
        <v>258</v>
      </c>
      <c r="Q267" s="4" t="s">
        <v>422</v>
      </c>
      <c r="R267" s="4" t="s">
        <v>422</v>
      </c>
      <c r="S267" s="4" t="s">
        <v>412</v>
      </c>
      <c r="T267" t="s">
        <v>419</v>
      </c>
      <c r="U267" s="4" t="s">
        <v>420</v>
      </c>
      <c r="V267" s="4" t="s">
        <v>418</v>
      </c>
      <c r="Y267" s="4" t="s">
        <v>410</v>
      </c>
      <c r="Z267" s="4" t="s">
        <v>368</v>
      </c>
      <c r="AA267" s="4">
        <v>300</v>
      </c>
      <c r="AB267" s="4" t="s">
        <v>411</v>
      </c>
      <c r="AC267" s="4" t="s">
        <v>376</v>
      </c>
      <c r="AF267" s="4" t="s">
        <v>416</v>
      </c>
      <c r="AJ267" s="25">
        <v>4.4788115623460098E-5</v>
      </c>
      <c r="AK267" s="25">
        <v>947.90251725215205</v>
      </c>
      <c r="AL267" s="11">
        <f t="shared" si="21"/>
        <v>4.0242981022851143E-3</v>
      </c>
      <c r="AO267" s="11">
        <v>298</v>
      </c>
      <c r="AP267" s="65" t="s">
        <v>161</v>
      </c>
      <c r="AQ267" s="66">
        <v>947.90251725215205</v>
      </c>
      <c r="AR267" s="66">
        <v>4.4788115623460098E-5</v>
      </c>
      <c r="AS267" s="11" t="s">
        <v>186</v>
      </c>
      <c r="AT267" s="24">
        <v>3.9892885574769298E-3</v>
      </c>
      <c r="AU267" s="24">
        <v>4.3394779416850401E-5</v>
      </c>
      <c r="BA267" s="62" t="s">
        <v>413</v>
      </c>
      <c r="BB267" s="11">
        <v>59</v>
      </c>
      <c r="BC267" s="62" t="s">
        <v>414</v>
      </c>
      <c r="BD267" s="21" t="s">
        <v>181</v>
      </c>
      <c r="BE267" s="11" t="s">
        <v>415</v>
      </c>
    </row>
    <row r="268" spans="2:57" ht="28.8" x14ac:dyDescent="0.3">
      <c r="B268" s="11" t="s">
        <v>165</v>
      </c>
      <c r="C268" s="4" t="s">
        <v>162</v>
      </c>
      <c r="D268" s="4" t="s">
        <v>91</v>
      </c>
      <c r="E268" s="4"/>
      <c r="F268" s="43" t="s">
        <v>251</v>
      </c>
      <c r="H268" s="4">
        <v>166.28</v>
      </c>
      <c r="I268" s="36">
        <f t="shared" si="20"/>
        <v>0</v>
      </c>
      <c r="J268" s="4" t="s">
        <v>423</v>
      </c>
      <c r="K268" s="4"/>
      <c r="L268" s="4"/>
      <c r="M268" s="4" t="e">
        <f t="shared" si="18"/>
        <v>#DIV/0!</v>
      </c>
      <c r="N268" t="s">
        <v>184</v>
      </c>
      <c r="P268" s="4" t="s">
        <v>258</v>
      </c>
      <c r="Q268" s="4" t="s">
        <v>422</v>
      </c>
      <c r="R268" s="4" t="s">
        <v>422</v>
      </c>
      <c r="S268" s="4" t="s">
        <v>412</v>
      </c>
      <c r="T268" t="s">
        <v>419</v>
      </c>
      <c r="U268" s="4" t="s">
        <v>420</v>
      </c>
      <c r="V268" s="4" t="s">
        <v>418</v>
      </c>
      <c r="Y268" s="4" t="s">
        <v>410</v>
      </c>
      <c r="Z268" s="4" t="s">
        <v>368</v>
      </c>
      <c r="AA268" s="4">
        <v>300</v>
      </c>
      <c r="AB268" s="4" t="s">
        <v>411</v>
      </c>
      <c r="AC268" s="4" t="s">
        <v>376</v>
      </c>
      <c r="AF268" s="4" t="s">
        <v>416</v>
      </c>
      <c r="AJ268" s="25">
        <v>6.5155861036393601E-5</v>
      </c>
      <c r="AK268" s="25">
        <v>970.06337600791005</v>
      </c>
      <c r="AL268" s="11">
        <f t="shared" si="21"/>
        <v>6.131316078846945E-3</v>
      </c>
      <c r="AO268" s="11">
        <v>298</v>
      </c>
      <c r="AP268" s="65" t="s">
        <v>161</v>
      </c>
      <c r="AQ268" s="66">
        <v>970.06337600791005</v>
      </c>
      <c r="AR268" s="66">
        <v>6.5155861036393601E-5</v>
      </c>
      <c r="AS268" s="11" t="s">
        <v>186</v>
      </c>
      <c r="AT268" s="24">
        <v>5.9346302393446003E-3</v>
      </c>
      <c r="AU268" s="24">
        <v>5.9656926047312102E-5</v>
      </c>
      <c r="BD268" s="21" t="s">
        <v>181</v>
      </c>
      <c r="BE268" s="11" t="s">
        <v>415</v>
      </c>
    </row>
    <row r="269" spans="2:57" ht="28.8" x14ac:dyDescent="0.3">
      <c r="B269" s="11" t="s">
        <v>165</v>
      </c>
      <c r="C269" s="4" t="s">
        <v>162</v>
      </c>
      <c r="D269" s="4" t="s">
        <v>91</v>
      </c>
      <c r="E269" s="4"/>
      <c r="F269" s="43" t="s">
        <v>251</v>
      </c>
      <c r="H269" s="4">
        <v>166.28</v>
      </c>
      <c r="I269" s="36">
        <f t="shared" si="20"/>
        <v>0</v>
      </c>
      <c r="J269" s="4" t="s">
        <v>423</v>
      </c>
      <c r="K269" s="4"/>
      <c r="L269" s="4"/>
      <c r="M269" s="4" t="e">
        <f t="shared" si="18"/>
        <v>#DIV/0!</v>
      </c>
      <c r="N269" t="s">
        <v>184</v>
      </c>
      <c r="P269" s="4" t="s">
        <v>258</v>
      </c>
      <c r="Q269" s="4" t="s">
        <v>422</v>
      </c>
      <c r="R269" s="4" t="s">
        <v>422</v>
      </c>
      <c r="S269" s="4" t="s">
        <v>412</v>
      </c>
      <c r="T269" t="s">
        <v>419</v>
      </c>
      <c r="U269" s="4" t="s">
        <v>420</v>
      </c>
      <c r="V269" s="4" t="s">
        <v>418</v>
      </c>
      <c r="Y269" s="4" t="s">
        <v>410</v>
      </c>
      <c r="Z269" s="4" t="s">
        <v>368</v>
      </c>
      <c r="AA269" s="4">
        <v>300</v>
      </c>
      <c r="AB269" s="4" t="s">
        <v>411</v>
      </c>
      <c r="AC269" s="4" t="s">
        <v>376</v>
      </c>
      <c r="AF269" s="4" t="s">
        <v>416</v>
      </c>
      <c r="AJ269" s="25">
        <v>2.9182082376441002E-4</v>
      </c>
      <c r="AK269" s="25">
        <v>550.23922220655697</v>
      </c>
      <c r="AL269" s="11">
        <f t="shared" si="21"/>
        <v>8.8352606912359584E-3</v>
      </c>
      <c r="AO269" s="11">
        <v>298</v>
      </c>
      <c r="AP269" s="65" t="s">
        <v>161</v>
      </c>
      <c r="AQ269" s="66">
        <v>550.23922220655697</v>
      </c>
      <c r="AR269" s="66">
        <v>2.9182082376441002E-4</v>
      </c>
      <c r="AS269" s="11" t="s">
        <v>186</v>
      </c>
      <c r="AT269" s="24">
        <v>8.8007589068857701E-3</v>
      </c>
      <c r="AU269" s="24">
        <v>2.9474409019608801E-4</v>
      </c>
      <c r="BD269" s="21" t="s">
        <v>181</v>
      </c>
      <c r="BE269" s="11" t="s">
        <v>415</v>
      </c>
    </row>
    <row r="270" spans="2:57" ht="28.8" x14ac:dyDescent="0.3">
      <c r="B270" s="11" t="s">
        <v>165</v>
      </c>
      <c r="C270" s="4" t="s">
        <v>162</v>
      </c>
      <c r="D270" s="4" t="s">
        <v>91</v>
      </c>
      <c r="E270" s="4"/>
      <c r="F270" s="43" t="s">
        <v>251</v>
      </c>
      <c r="H270" s="4">
        <v>166.28</v>
      </c>
      <c r="I270" s="36">
        <f t="shared" si="20"/>
        <v>0</v>
      </c>
      <c r="J270" s="4" t="s">
        <v>423</v>
      </c>
      <c r="K270" s="4"/>
      <c r="L270" s="4"/>
      <c r="M270" s="4" t="e">
        <f t="shared" si="18"/>
        <v>#DIV/0!</v>
      </c>
      <c r="N270" t="s">
        <v>184</v>
      </c>
      <c r="P270" s="4" t="s">
        <v>258</v>
      </c>
      <c r="Q270" s="4" t="s">
        <v>422</v>
      </c>
      <c r="R270" s="4" t="s">
        <v>422</v>
      </c>
      <c r="S270" s="4" t="s">
        <v>412</v>
      </c>
      <c r="T270" t="s">
        <v>419</v>
      </c>
      <c r="U270" s="4" t="s">
        <v>420</v>
      </c>
      <c r="V270" s="4" t="s">
        <v>418</v>
      </c>
      <c r="Y270" s="4" t="s">
        <v>410</v>
      </c>
      <c r="Z270" s="4" t="s">
        <v>368</v>
      </c>
      <c r="AA270" s="4">
        <v>300</v>
      </c>
      <c r="AB270" s="4" t="s">
        <v>411</v>
      </c>
      <c r="AC270" s="4" t="s">
        <v>376</v>
      </c>
      <c r="AF270" s="4" t="s">
        <v>416</v>
      </c>
      <c r="AJ270" s="25">
        <v>5.8538536481818305E-4</v>
      </c>
      <c r="AK270" s="25">
        <v>391.48500585978599</v>
      </c>
      <c r="AL270" s="11">
        <f t="shared" si="21"/>
        <v>8.9716459449125183E-3</v>
      </c>
      <c r="AO270" s="11">
        <v>298</v>
      </c>
      <c r="AP270" s="65" t="s">
        <v>161</v>
      </c>
      <c r="AQ270" s="66">
        <v>391.48500585978599</v>
      </c>
      <c r="AR270" s="66">
        <v>5.8538536481818305E-4</v>
      </c>
      <c r="AS270" s="11" t="s">
        <v>186</v>
      </c>
      <c r="AT270" s="24">
        <v>8.7868709125086594E-3</v>
      </c>
      <c r="AU270" s="24">
        <v>5.5876028460648405E-4</v>
      </c>
      <c r="BD270" s="21" t="s">
        <v>181</v>
      </c>
      <c r="BE270" s="11" t="s">
        <v>415</v>
      </c>
    </row>
    <row r="271" spans="2:57" ht="28.8" x14ac:dyDescent="0.3">
      <c r="B271" s="11" t="s">
        <v>166</v>
      </c>
      <c r="C271" s="4" t="s">
        <v>187</v>
      </c>
      <c r="D271" s="4"/>
      <c r="E271" s="4" t="e" vm="6">
        <v>#VALUE!</v>
      </c>
      <c r="F271" s="42" t="s">
        <v>250</v>
      </c>
      <c r="G271" s="4"/>
      <c r="H271" s="4">
        <v>695.2</v>
      </c>
      <c r="I271" s="36">
        <f t="shared" si="20"/>
        <v>0</v>
      </c>
      <c r="J271" s="4" t="s">
        <v>423</v>
      </c>
      <c r="K271" s="4"/>
      <c r="L271" s="4"/>
      <c r="M271" s="4" t="e">
        <f t="shared" si="18"/>
        <v>#DIV/0!</v>
      </c>
      <c r="N271" t="s">
        <v>184</v>
      </c>
      <c r="P271" s="4" t="s">
        <v>258</v>
      </c>
      <c r="Q271" s="4" t="s">
        <v>422</v>
      </c>
      <c r="R271" s="4" t="s">
        <v>422</v>
      </c>
      <c r="S271" s="4" t="s">
        <v>412</v>
      </c>
      <c r="T271" t="s">
        <v>419</v>
      </c>
      <c r="U271" s="4" t="s">
        <v>420</v>
      </c>
      <c r="V271" s="4" t="s">
        <v>418</v>
      </c>
      <c r="Y271" s="4" t="s">
        <v>410</v>
      </c>
      <c r="Z271" s="4" t="s">
        <v>368</v>
      </c>
      <c r="AA271" s="4">
        <v>300</v>
      </c>
      <c r="AB271" s="4" t="s">
        <v>411</v>
      </c>
      <c r="AC271" s="4" t="s">
        <v>376</v>
      </c>
      <c r="AF271" s="4" t="s">
        <v>416</v>
      </c>
      <c r="AJ271" s="25">
        <v>5.5486335881450898E-4</v>
      </c>
      <c r="AK271" s="25">
        <v>675.62876507447504</v>
      </c>
      <c r="AL271" s="11">
        <f t="shared" si="21"/>
        <v>2.5328082346912657E-2</v>
      </c>
      <c r="AO271" s="11">
        <v>298</v>
      </c>
      <c r="AP271" s="65" t="s">
        <v>161</v>
      </c>
      <c r="AQ271" s="66">
        <v>675.62876507447504</v>
      </c>
      <c r="AR271" s="66">
        <v>5.5486335881450898E-4</v>
      </c>
      <c r="AS271" s="11" t="s">
        <v>186</v>
      </c>
      <c r="AT271" s="25">
        <v>2.4459884046295E-2</v>
      </c>
      <c r="AU271" s="25">
        <v>4.7431376663332E-4</v>
      </c>
      <c r="BD271" s="21" t="s">
        <v>181</v>
      </c>
      <c r="BE271" s="11" t="s">
        <v>415</v>
      </c>
    </row>
    <row r="272" spans="2:57" ht="28.8" x14ac:dyDescent="0.3">
      <c r="B272" s="11" t="s">
        <v>166</v>
      </c>
      <c r="C272" s="4" t="s">
        <v>187</v>
      </c>
      <c r="D272" s="4"/>
      <c r="E272" s="4"/>
      <c r="F272" s="42" t="s">
        <v>250</v>
      </c>
      <c r="G272" s="4"/>
      <c r="H272" s="4">
        <v>695.2</v>
      </c>
      <c r="I272" s="36">
        <f t="shared" si="20"/>
        <v>0</v>
      </c>
      <c r="J272" s="4" t="s">
        <v>423</v>
      </c>
      <c r="K272" s="4"/>
      <c r="L272" s="4"/>
      <c r="M272" s="4" t="e">
        <f t="shared" si="18"/>
        <v>#DIV/0!</v>
      </c>
      <c r="N272" t="s">
        <v>184</v>
      </c>
      <c r="P272" s="4" t="s">
        <v>258</v>
      </c>
      <c r="Q272" s="4" t="s">
        <v>422</v>
      </c>
      <c r="R272" s="4" t="s">
        <v>422</v>
      </c>
      <c r="S272" s="4" t="s">
        <v>412</v>
      </c>
      <c r="T272" t="s">
        <v>419</v>
      </c>
      <c r="U272" s="4" t="s">
        <v>420</v>
      </c>
      <c r="V272" s="4" t="s">
        <v>418</v>
      </c>
      <c r="Y272" s="4" t="s">
        <v>410</v>
      </c>
      <c r="Z272" s="4" t="s">
        <v>368</v>
      </c>
      <c r="AA272" s="4">
        <v>300</v>
      </c>
      <c r="AB272" s="4" t="s">
        <v>411</v>
      </c>
      <c r="AC272" s="4" t="s">
        <v>376</v>
      </c>
      <c r="AF272" s="4" t="s">
        <v>416</v>
      </c>
      <c r="AJ272" s="25">
        <v>5.5486335881451201E-3</v>
      </c>
      <c r="AK272" s="25">
        <v>551.84194924092503</v>
      </c>
      <c r="AL272" s="11">
        <f t="shared" si="21"/>
        <v>0.16897228172587928</v>
      </c>
      <c r="AO272" s="11">
        <v>298</v>
      </c>
      <c r="AP272" s="65" t="s">
        <v>161</v>
      </c>
      <c r="AQ272" s="66">
        <v>551.84194924092503</v>
      </c>
      <c r="AR272" s="66">
        <v>5.5486335881451201E-3</v>
      </c>
      <c r="AS272" s="11" t="s">
        <v>186</v>
      </c>
      <c r="AT272" s="25">
        <v>0.18824461133228301</v>
      </c>
      <c r="AU272" s="25">
        <v>5.4633786391157001E-3</v>
      </c>
      <c r="BD272" s="21" t="s">
        <v>181</v>
      </c>
      <c r="BE272" s="11" t="s">
        <v>415</v>
      </c>
    </row>
    <row r="273" spans="2:57" ht="28.8" x14ac:dyDescent="0.3">
      <c r="B273" s="11" t="s">
        <v>166</v>
      </c>
      <c r="C273" s="4" t="s">
        <v>187</v>
      </c>
      <c r="D273" s="4"/>
      <c r="E273" s="4"/>
      <c r="F273" s="42" t="s">
        <v>250</v>
      </c>
      <c r="G273" s="4"/>
      <c r="H273" s="4">
        <v>695.2</v>
      </c>
      <c r="I273" s="36">
        <f t="shared" si="20"/>
        <v>0</v>
      </c>
      <c r="J273" s="4" t="s">
        <v>423</v>
      </c>
      <c r="K273" s="4"/>
      <c r="L273" s="4"/>
      <c r="M273" s="4" t="e">
        <f t="shared" si="18"/>
        <v>#DIV/0!</v>
      </c>
      <c r="N273" t="s">
        <v>184</v>
      </c>
      <c r="P273" s="4" t="s">
        <v>258</v>
      </c>
      <c r="Q273" s="4" t="s">
        <v>422</v>
      </c>
      <c r="R273" s="4" t="s">
        <v>422</v>
      </c>
      <c r="S273" s="4" t="s">
        <v>412</v>
      </c>
      <c r="T273" t="s">
        <v>419</v>
      </c>
      <c r="U273" s="4" t="s">
        <v>420</v>
      </c>
      <c r="V273" s="4" t="s">
        <v>418</v>
      </c>
      <c r="Y273" s="4" t="s">
        <v>410</v>
      </c>
      <c r="Z273" s="4" t="s">
        <v>368</v>
      </c>
      <c r="AA273" s="4">
        <v>300</v>
      </c>
      <c r="AB273" s="4" t="s">
        <v>411</v>
      </c>
      <c r="AC273" s="4" t="s">
        <v>376</v>
      </c>
      <c r="AF273" s="4" t="s">
        <v>416</v>
      </c>
      <c r="AJ273" s="25">
        <v>1.9013837040719701E-2</v>
      </c>
      <c r="AK273" s="25">
        <v>194.116451775336</v>
      </c>
      <c r="AL273" s="11">
        <f t="shared" si="21"/>
        <v>7.1646413640225892E-2</v>
      </c>
      <c r="AO273" s="11">
        <v>298</v>
      </c>
      <c r="AP273" s="65" t="s">
        <v>161</v>
      </c>
      <c r="AQ273" s="66">
        <v>194.116451775336</v>
      </c>
      <c r="AR273" s="66">
        <v>1.9013837040719701E-2</v>
      </c>
      <c r="AS273" s="11" t="s">
        <v>186</v>
      </c>
      <c r="AT273" s="25">
        <v>0.51873034311008004</v>
      </c>
      <c r="AU273" s="25">
        <v>0.28101266078746001</v>
      </c>
      <c r="BD273" s="21" t="s">
        <v>181</v>
      </c>
      <c r="BE273" s="11" t="s">
        <v>415</v>
      </c>
    </row>
    <row r="274" spans="2:57" ht="28.8" x14ac:dyDescent="0.3">
      <c r="B274" s="11" t="s">
        <v>166</v>
      </c>
      <c r="C274" s="4" t="s">
        <v>187</v>
      </c>
      <c r="D274" s="4"/>
      <c r="E274" s="4"/>
      <c r="F274" s="42" t="s">
        <v>250</v>
      </c>
      <c r="G274" s="4"/>
      <c r="H274" s="4">
        <v>695.2</v>
      </c>
      <c r="I274" s="36">
        <f t="shared" si="20"/>
        <v>0</v>
      </c>
      <c r="J274" s="4" t="s">
        <v>423</v>
      </c>
      <c r="K274" s="4"/>
      <c r="L274" s="4"/>
      <c r="M274" s="4" t="e">
        <f t="shared" si="18"/>
        <v>#DIV/0!</v>
      </c>
      <c r="N274" t="s">
        <v>184</v>
      </c>
      <c r="P274" s="4" t="s">
        <v>258</v>
      </c>
      <c r="Q274" s="4" t="s">
        <v>422</v>
      </c>
      <c r="R274" s="4" t="s">
        <v>422</v>
      </c>
      <c r="S274" s="4" t="s">
        <v>412</v>
      </c>
      <c r="T274" t="s">
        <v>419</v>
      </c>
      <c r="U274" s="4" t="s">
        <v>420</v>
      </c>
      <c r="V274" s="4" t="s">
        <v>418</v>
      </c>
      <c r="Y274" s="4" t="s">
        <v>410</v>
      </c>
      <c r="Z274" s="4" t="s">
        <v>368</v>
      </c>
      <c r="AA274" s="4">
        <v>300</v>
      </c>
      <c r="AB274" s="4" t="s">
        <v>411</v>
      </c>
      <c r="AC274" s="4" t="s">
        <v>376</v>
      </c>
      <c r="AF274" s="4" t="s">
        <v>416</v>
      </c>
      <c r="AJ274" s="25">
        <v>0.29182082376440899</v>
      </c>
      <c r="AK274" s="25">
        <v>132.23527887122199</v>
      </c>
      <c r="AL274" s="11">
        <f t="shared" si="21"/>
        <v>0.51028282356873433</v>
      </c>
      <c r="AO274" s="11">
        <v>298</v>
      </c>
      <c r="AP274" s="65" t="s">
        <v>161</v>
      </c>
      <c r="AQ274" s="66">
        <v>132.23527887122199</v>
      </c>
      <c r="AR274" s="66">
        <v>0.29182082376440899</v>
      </c>
      <c r="AS274" s="11" t="s">
        <v>186</v>
      </c>
      <c r="AT274" s="25">
        <v>0.32968165712151598</v>
      </c>
      <c r="AU274" s="25">
        <v>0.148493536141559</v>
      </c>
      <c r="BD274" s="21" t="s">
        <v>181</v>
      </c>
      <c r="BE274" s="11" t="s">
        <v>415</v>
      </c>
    </row>
    <row r="275" spans="2:57" ht="28.8" x14ac:dyDescent="0.3">
      <c r="B275" s="11" t="s">
        <v>166</v>
      </c>
      <c r="C275" s="4" t="s">
        <v>187</v>
      </c>
      <c r="D275" s="4"/>
      <c r="E275" s="4"/>
      <c r="F275" s="42" t="s">
        <v>250</v>
      </c>
      <c r="G275" s="4"/>
      <c r="H275" s="4">
        <v>695.2</v>
      </c>
      <c r="I275" s="36">
        <f t="shared" si="20"/>
        <v>0</v>
      </c>
      <c r="J275" s="4" t="s">
        <v>423</v>
      </c>
      <c r="K275" s="4"/>
      <c r="L275" s="4"/>
      <c r="M275" s="4" t="e">
        <f t="shared" si="18"/>
        <v>#DIV/0!</v>
      </c>
      <c r="N275" t="s">
        <v>184</v>
      </c>
      <c r="P275" s="4" t="s">
        <v>258</v>
      </c>
      <c r="Q275" s="4" t="s">
        <v>422</v>
      </c>
      <c r="R275" s="4" t="s">
        <v>422</v>
      </c>
      <c r="S275" s="4" t="s">
        <v>412</v>
      </c>
      <c r="T275" t="s">
        <v>419</v>
      </c>
      <c r="U275" s="4" t="s">
        <v>420</v>
      </c>
      <c r="V275" s="4" t="s">
        <v>418</v>
      </c>
      <c r="Y275" s="4" t="s">
        <v>410</v>
      </c>
      <c r="Z275" s="4" t="s">
        <v>368</v>
      </c>
      <c r="AA275" s="4">
        <v>300</v>
      </c>
      <c r="AB275" s="4" t="s">
        <v>411</v>
      </c>
      <c r="AC275" s="4" t="s">
        <v>376</v>
      </c>
      <c r="AF275" s="4" t="s">
        <v>416</v>
      </c>
      <c r="AJ275" s="25">
        <v>2.23273514877729</v>
      </c>
      <c r="AK275" s="25">
        <v>46.552120531297099</v>
      </c>
      <c r="AL275" s="11">
        <f t="shared" si="21"/>
        <v>0.4838560175604476</v>
      </c>
      <c r="AO275" s="11">
        <v>298</v>
      </c>
      <c r="AP275" s="65" t="s">
        <v>161</v>
      </c>
      <c r="AQ275" s="66">
        <v>46.552120531297099</v>
      </c>
      <c r="AR275" s="66">
        <v>2.23273514877729</v>
      </c>
      <c r="AS275" s="11" t="s">
        <v>186</v>
      </c>
      <c r="AT275" s="25">
        <v>0.24768162265302901</v>
      </c>
      <c r="AU275" s="25">
        <v>0.29724369126266598</v>
      </c>
      <c r="BD275" s="21" t="s">
        <v>181</v>
      </c>
      <c r="BE275" s="11" t="s">
        <v>415</v>
      </c>
    </row>
    <row r="276" spans="2:57" ht="28.8" x14ac:dyDescent="0.3">
      <c r="B276" s="11" t="s">
        <v>166</v>
      </c>
      <c r="C276" s="4" t="s">
        <v>187</v>
      </c>
      <c r="D276" s="4"/>
      <c r="E276" s="4"/>
      <c r="F276" s="42" t="s">
        <v>250</v>
      </c>
      <c r="G276" s="4"/>
      <c r="H276" s="4">
        <v>695.2</v>
      </c>
      <c r="I276" s="36">
        <f t="shared" si="20"/>
        <v>0</v>
      </c>
      <c r="J276" s="4" t="s">
        <v>423</v>
      </c>
      <c r="K276" s="4"/>
      <c r="L276" s="4"/>
      <c r="M276" s="4" t="e">
        <f t="shared" si="18"/>
        <v>#DIV/0!</v>
      </c>
      <c r="N276" t="s">
        <v>184</v>
      </c>
      <c r="P276" s="4" t="s">
        <v>258</v>
      </c>
      <c r="Q276" s="4" t="s">
        <v>422</v>
      </c>
      <c r="R276" s="4" t="s">
        <v>422</v>
      </c>
      <c r="S276" s="4" t="s">
        <v>412</v>
      </c>
      <c r="T276" t="s">
        <v>419</v>
      </c>
      <c r="U276" s="4" t="s">
        <v>420</v>
      </c>
      <c r="V276" s="4" t="s">
        <v>418</v>
      </c>
      <c r="Y276" s="4" t="s">
        <v>410</v>
      </c>
      <c r="Z276" s="4" t="s">
        <v>368</v>
      </c>
      <c r="AA276" s="4">
        <v>300</v>
      </c>
      <c r="AB276" s="4" t="s">
        <v>411</v>
      </c>
      <c r="AC276" s="4" t="s">
        <v>376</v>
      </c>
      <c r="AF276" s="4" t="s">
        <v>416</v>
      </c>
      <c r="AJ276" s="25">
        <v>3.81412874828324</v>
      </c>
      <c r="AK276" s="25">
        <v>61.189530073279201</v>
      </c>
      <c r="AL276" s="11">
        <f t="shared" si="21"/>
        <v>1.4280702918496169</v>
      </c>
      <c r="AO276" s="11">
        <v>298</v>
      </c>
      <c r="AP276" s="65" t="s">
        <v>161</v>
      </c>
      <c r="AQ276" s="66">
        <v>61.189530073279201</v>
      </c>
      <c r="AR276" s="66">
        <v>3.81412874828324</v>
      </c>
      <c r="AS276" s="11" t="s">
        <v>186</v>
      </c>
      <c r="AT276" s="25">
        <v>0.41115287755890101</v>
      </c>
      <c r="AU276" s="25">
        <v>2.1317925457273499</v>
      </c>
      <c r="BD276" s="21" t="s">
        <v>181</v>
      </c>
      <c r="BE276" s="11" t="s">
        <v>415</v>
      </c>
    </row>
    <row r="277" spans="2:57" ht="28.8" x14ac:dyDescent="0.3">
      <c r="B277" s="11" t="s">
        <v>166</v>
      </c>
      <c r="C277" s="4" t="s">
        <v>187</v>
      </c>
      <c r="D277" s="4"/>
      <c r="E277" s="4"/>
      <c r="F277" s="42" t="s">
        <v>250</v>
      </c>
      <c r="G277" s="4"/>
      <c r="H277" s="4">
        <v>695.2</v>
      </c>
      <c r="I277" s="36">
        <f t="shared" si="20"/>
        <v>0</v>
      </c>
      <c r="J277" s="4" t="s">
        <v>423</v>
      </c>
      <c r="K277" s="4"/>
      <c r="L277" s="4"/>
      <c r="M277" s="4" t="e">
        <f t="shared" si="18"/>
        <v>#DIV/0!</v>
      </c>
      <c r="N277" t="s">
        <v>184</v>
      </c>
      <c r="P277" s="4" t="s">
        <v>258</v>
      </c>
      <c r="Q277" s="4" t="s">
        <v>422</v>
      </c>
      <c r="R277" s="4" t="s">
        <v>422</v>
      </c>
      <c r="S277" s="4" t="s">
        <v>412</v>
      </c>
      <c r="T277" t="s">
        <v>419</v>
      </c>
      <c r="U277" s="4" t="s">
        <v>420</v>
      </c>
      <c r="V277" s="4" t="s">
        <v>418</v>
      </c>
      <c r="Y277" s="4" t="s">
        <v>410</v>
      </c>
      <c r="Z277" s="4" t="s">
        <v>368</v>
      </c>
      <c r="AA277" s="4">
        <v>300</v>
      </c>
      <c r="AB277" s="4" t="s">
        <v>411</v>
      </c>
      <c r="AC277" s="4" t="s">
        <v>376</v>
      </c>
      <c r="AF277" s="4" t="s">
        <v>416</v>
      </c>
      <c r="AJ277" s="25">
        <v>0.27660527949178998</v>
      </c>
      <c r="AK277" s="25">
        <v>96.175633520431504</v>
      </c>
      <c r="AL277" s="11">
        <f t="shared" si="21"/>
        <v>0.25585303708056789</v>
      </c>
      <c r="AO277" s="11">
        <v>298</v>
      </c>
      <c r="AP277" s="65" t="s">
        <v>161</v>
      </c>
      <c r="AQ277" s="66">
        <v>96.175633520431504</v>
      </c>
      <c r="AR277" s="66">
        <v>0.27660527949178998</v>
      </c>
      <c r="AS277" s="11" t="s">
        <v>186</v>
      </c>
      <c r="AT277" s="25">
        <v>1.209405783075</v>
      </c>
      <c r="AU277" s="25">
        <v>3.6175843908524699</v>
      </c>
      <c r="BD277" s="21" t="s">
        <v>181</v>
      </c>
      <c r="BE277" s="11" t="s">
        <v>415</v>
      </c>
    </row>
    <row r="278" spans="2:57" x14ac:dyDescent="0.3">
      <c r="B278" s="11" t="s">
        <v>167</v>
      </c>
      <c r="C278" s="4" t="s">
        <v>188</v>
      </c>
      <c r="D278" s="4"/>
      <c r="E278" s="4" t="e" vm="7">
        <v>#VALUE!</v>
      </c>
      <c r="F278" s="42"/>
      <c r="G278" s="4"/>
      <c r="H278" s="4"/>
      <c r="I278" s="36" t="e">
        <f t="shared" si="20"/>
        <v>#DIV/0!</v>
      </c>
      <c r="J278" s="4" t="s">
        <v>423</v>
      </c>
      <c r="K278" s="4"/>
      <c r="L278" s="4"/>
      <c r="M278" s="4" t="e">
        <f t="shared" si="18"/>
        <v>#DIV/0!</v>
      </c>
      <c r="N278" t="s">
        <v>184</v>
      </c>
      <c r="P278" s="4" t="s">
        <v>258</v>
      </c>
      <c r="Q278" s="4" t="s">
        <v>422</v>
      </c>
      <c r="R278" s="4" t="s">
        <v>422</v>
      </c>
      <c r="S278" s="4" t="s">
        <v>412</v>
      </c>
      <c r="U278" s="4" t="s">
        <v>421</v>
      </c>
      <c r="Y278" s="4" t="s">
        <v>410</v>
      </c>
      <c r="Z278" s="4" t="s">
        <v>368</v>
      </c>
      <c r="AA278" s="4">
        <v>300</v>
      </c>
      <c r="AB278" s="4" t="s">
        <v>411</v>
      </c>
      <c r="AC278" s="4" t="s">
        <v>376</v>
      </c>
      <c r="AJ278" s="25">
        <v>1.9013837040719901E-5</v>
      </c>
      <c r="AK278" s="25">
        <v>1302.1335325909999</v>
      </c>
      <c r="AL278" s="11">
        <f t="shared" si="21"/>
        <v>3.2238944415683805E-3</v>
      </c>
      <c r="AO278" s="11">
        <v>298</v>
      </c>
      <c r="AP278" s="65" t="s">
        <v>161</v>
      </c>
      <c r="AQ278" s="66">
        <v>1302.1335325909999</v>
      </c>
      <c r="AR278" s="66">
        <v>1.9013837040719901E-5</v>
      </c>
      <c r="AS278" s="11" t="s">
        <v>186</v>
      </c>
      <c r="AT278" s="23">
        <v>3.37037340020281E-3</v>
      </c>
      <c r="AU278" s="23">
        <v>1.9520805647145299E-5</v>
      </c>
      <c r="BD278" s="21" t="s">
        <v>181</v>
      </c>
      <c r="BE278" s="11" t="s">
        <v>415</v>
      </c>
    </row>
    <row r="279" spans="2:57" x14ac:dyDescent="0.3">
      <c r="B279" s="11" t="s">
        <v>167</v>
      </c>
      <c r="C279" s="4" t="s">
        <v>188</v>
      </c>
      <c r="D279" s="4"/>
      <c r="E279" s="4"/>
      <c r="F279" s="42"/>
      <c r="G279" s="4"/>
      <c r="H279" s="4"/>
      <c r="I279" s="36" t="e">
        <f t="shared" si="20"/>
        <v>#DIV/0!</v>
      </c>
      <c r="J279" s="4" t="s">
        <v>423</v>
      </c>
      <c r="K279" s="4"/>
      <c r="L279" s="4"/>
      <c r="M279" s="4" t="e">
        <f t="shared" si="18"/>
        <v>#DIV/0!</v>
      </c>
      <c r="N279" t="s">
        <v>184</v>
      </c>
      <c r="P279" s="4" t="s">
        <v>258</v>
      </c>
      <c r="Q279" s="4" t="s">
        <v>422</v>
      </c>
      <c r="R279" s="4" t="s">
        <v>422</v>
      </c>
      <c r="S279" s="4" t="s">
        <v>412</v>
      </c>
      <c r="U279" s="4" t="s">
        <v>421</v>
      </c>
      <c r="Y279" s="4" t="s">
        <v>410</v>
      </c>
      <c r="Z279" s="4" t="s">
        <v>368</v>
      </c>
      <c r="AA279" s="4">
        <v>300</v>
      </c>
      <c r="AB279" s="4" t="s">
        <v>411</v>
      </c>
      <c r="AC279" s="4" t="s">
        <v>376</v>
      </c>
      <c r="AJ279" s="25">
        <v>4.9851062445855398E-3</v>
      </c>
      <c r="AK279" s="25">
        <v>401.33724461173398</v>
      </c>
      <c r="AL279" s="11">
        <f t="shared" si="21"/>
        <v>8.0295895878768092E-2</v>
      </c>
      <c r="AO279" s="11">
        <v>298</v>
      </c>
      <c r="AP279" s="65" t="s">
        <v>161</v>
      </c>
      <c r="AQ279" s="66">
        <v>401.33724461173398</v>
      </c>
      <c r="AR279" s="66">
        <v>4.9851062445855398E-3</v>
      </c>
      <c r="AS279" s="11" t="s">
        <v>186</v>
      </c>
      <c r="AT279" s="23">
        <v>8.0221632943835303E-2</v>
      </c>
      <c r="AU279" s="23">
        <v>5.7814740493460099E-3</v>
      </c>
      <c r="BD279" s="21" t="s">
        <v>181</v>
      </c>
      <c r="BE279" s="11" t="s">
        <v>415</v>
      </c>
    </row>
    <row r="280" spans="2:57" x14ac:dyDescent="0.3">
      <c r="B280" s="11" t="s">
        <v>167</v>
      </c>
      <c r="C280" s="4" t="s">
        <v>188</v>
      </c>
      <c r="D280" s="4"/>
      <c r="E280" s="4"/>
      <c r="F280" s="42"/>
      <c r="G280" s="4"/>
      <c r="H280" s="4"/>
      <c r="I280" s="36" t="e">
        <f t="shared" si="20"/>
        <v>#DIV/0!</v>
      </c>
      <c r="J280" s="4" t="s">
        <v>423</v>
      </c>
      <c r="K280" s="4"/>
      <c r="L280" s="4"/>
      <c r="M280" s="4" t="e">
        <f t="shared" si="18"/>
        <v>#DIV/0!</v>
      </c>
      <c r="N280" t="s">
        <v>184</v>
      </c>
      <c r="P280" s="4" t="s">
        <v>258</v>
      </c>
      <c r="Q280" s="4" t="s">
        <v>422</v>
      </c>
      <c r="R280" s="4" t="s">
        <v>422</v>
      </c>
      <c r="S280" s="4" t="s">
        <v>412</v>
      </c>
      <c r="U280" s="4" t="s">
        <v>421</v>
      </c>
      <c r="Y280" s="4" t="s">
        <v>410</v>
      </c>
      <c r="Z280" s="4" t="s">
        <v>368</v>
      </c>
      <c r="AA280" s="4">
        <v>300</v>
      </c>
      <c r="AB280" s="4" t="s">
        <v>411</v>
      </c>
      <c r="AC280" s="4" t="s">
        <v>376</v>
      </c>
      <c r="AJ280" s="25">
        <v>3.0787334695491601E-2</v>
      </c>
      <c r="AK280" s="25">
        <v>367.10277748572298</v>
      </c>
      <c r="AL280" s="11">
        <f t="shared" si="21"/>
        <v>0.41490382037356505</v>
      </c>
      <c r="AO280" s="11">
        <v>298</v>
      </c>
      <c r="AP280" s="65" t="s">
        <v>161</v>
      </c>
      <c r="AQ280" s="66">
        <v>367.10277748572298</v>
      </c>
      <c r="AR280" s="66">
        <v>3.0787334695491601E-2</v>
      </c>
      <c r="AS280" s="11" t="s">
        <v>186</v>
      </c>
      <c r="AT280" s="23">
        <v>7.9926559150170703E-2</v>
      </c>
      <c r="AU280" s="23">
        <v>2.5715377438104502E-2</v>
      </c>
      <c r="BD280" s="21" t="s">
        <v>181</v>
      </c>
      <c r="BE280" s="11" t="s">
        <v>415</v>
      </c>
    </row>
    <row r="281" spans="2:57" x14ac:dyDescent="0.3">
      <c r="B281" s="11" t="s">
        <v>167</v>
      </c>
      <c r="C281" s="4" t="s">
        <v>188</v>
      </c>
      <c r="D281" s="4"/>
      <c r="E281" s="4"/>
      <c r="F281" s="42"/>
      <c r="G281" s="4"/>
      <c r="H281" s="4"/>
      <c r="I281" s="36" t="e">
        <f t="shared" si="20"/>
        <v>#DIV/0!</v>
      </c>
      <c r="J281" s="4" t="s">
        <v>423</v>
      </c>
      <c r="K281" s="4"/>
      <c r="L281" s="4"/>
      <c r="M281" s="4" t="e">
        <f t="shared" si="18"/>
        <v>#DIV/0!</v>
      </c>
      <c r="N281" t="s">
        <v>184</v>
      </c>
      <c r="P281" s="4" t="s">
        <v>258</v>
      </c>
      <c r="Q281" s="4" t="s">
        <v>422</v>
      </c>
      <c r="R281" s="4" t="s">
        <v>422</v>
      </c>
      <c r="S281" s="4" t="s">
        <v>412</v>
      </c>
      <c r="U281" s="4" t="s">
        <v>421</v>
      </c>
      <c r="Y281" s="4" t="s">
        <v>410</v>
      </c>
      <c r="Z281" s="4" t="s">
        <v>368</v>
      </c>
      <c r="AA281" s="4">
        <v>300</v>
      </c>
      <c r="AB281" s="4" t="s">
        <v>411</v>
      </c>
      <c r="AC281" s="4" t="s">
        <v>376</v>
      </c>
      <c r="AJ281" s="25">
        <v>2.48512842698058E-2</v>
      </c>
      <c r="AK281" s="25">
        <v>185.53499940997401</v>
      </c>
      <c r="AL281" s="11">
        <f t="shared" si="21"/>
        <v>8.5546162347318808E-2</v>
      </c>
      <c r="AO281" s="11">
        <v>298</v>
      </c>
      <c r="AP281" s="65" t="s">
        <v>161</v>
      </c>
      <c r="AQ281" s="66">
        <v>185.53499940997401</v>
      </c>
      <c r="AR281" s="66">
        <v>2.48512842698058E-2</v>
      </c>
      <c r="AS281" s="11" t="s">
        <v>186</v>
      </c>
      <c r="AT281" s="23">
        <v>0.46560345500613998</v>
      </c>
      <c r="AU281" s="23">
        <v>2.8414273493488101E-2</v>
      </c>
      <c r="BD281" s="21" t="s">
        <v>181</v>
      </c>
      <c r="BE281" s="11" t="s">
        <v>415</v>
      </c>
    </row>
    <row r="282" spans="2:57" x14ac:dyDescent="0.3">
      <c r="B282" s="11" t="s">
        <v>168</v>
      </c>
      <c r="C282" s="4" t="s">
        <v>162</v>
      </c>
      <c r="D282" s="4" t="s">
        <v>91</v>
      </c>
      <c r="E282" s="4" t="e" vm="5">
        <v>#VALUE!</v>
      </c>
      <c r="F282" s="42"/>
      <c r="G282" s="4"/>
      <c r="H282" s="4"/>
      <c r="I282" s="36" t="e">
        <f t="shared" si="20"/>
        <v>#DIV/0!</v>
      </c>
      <c r="J282" s="4" t="s">
        <v>424</v>
      </c>
      <c r="K282" s="4"/>
      <c r="L282" s="4"/>
      <c r="M282" s="4" t="e">
        <f t="shared" si="18"/>
        <v>#DIV/0!</v>
      </c>
      <c r="N282" t="s">
        <v>189</v>
      </c>
      <c r="P282" s="4" t="s">
        <v>258</v>
      </c>
      <c r="R282" s="4" t="s">
        <v>422</v>
      </c>
      <c r="S282" s="4" t="s">
        <v>397</v>
      </c>
      <c r="Y282" s="4" t="s">
        <v>410</v>
      </c>
      <c r="Z282" s="4" t="s">
        <v>368</v>
      </c>
      <c r="AA282" s="4">
        <v>300</v>
      </c>
      <c r="AB282" s="4" t="s">
        <v>411</v>
      </c>
      <c r="AC282" s="4" t="s">
        <v>376</v>
      </c>
      <c r="AF282" t="s">
        <v>417</v>
      </c>
      <c r="AJ282" s="27">
        <v>1.0421768821862699E-3</v>
      </c>
      <c r="AK282" s="27">
        <v>668.27439921797395</v>
      </c>
      <c r="AL282" s="11">
        <f t="shared" si="21"/>
        <v>4.6542647483599618E-2</v>
      </c>
      <c r="AO282" s="11">
        <f>80+273.15</f>
        <v>353.15</v>
      </c>
      <c r="AP282" s="65" t="s">
        <v>161</v>
      </c>
      <c r="AQ282" s="75">
        <v>668.27439921797395</v>
      </c>
      <c r="AR282" s="75">
        <v>1.0421768821862699E-3</v>
      </c>
      <c r="AS282" s="11" t="s">
        <v>186</v>
      </c>
      <c r="AT282" s="11">
        <v>3.8475737160407399E-2</v>
      </c>
      <c r="AU282" s="11">
        <v>9.9857526661406202E-4</v>
      </c>
      <c r="BD282" s="21" t="s">
        <v>181</v>
      </c>
      <c r="BE282" s="11" t="s">
        <v>415</v>
      </c>
    </row>
    <row r="283" spans="2:57" x14ac:dyDescent="0.3">
      <c r="B283" s="11" t="s">
        <v>168</v>
      </c>
      <c r="C283" s="4" t="s">
        <v>162</v>
      </c>
      <c r="D283" s="4" t="s">
        <v>91</v>
      </c>
      <c r="E283" s="4"/>
      <c r="F283" s="42"/>
      <c r="G283" s="4"/>
      <c r="H283" s="4"/>
      <c r="I283" s="36" t="e">
        <f t="shared" si="20"/>
        <v>#DIV/0!</v>
      </c>
      <c r="J283" s="4" t="s">
        <v>424</v>
      </c>
      <c r="K283" s="4"/>
      <c r="L283" s="4"/>
      <c r="M283" s="4" t="e">
        <f t="shared" si="18"/>
        <v>#DIV/0!</v>
      </c>
      <c r="N283" t="s">
        <v>189</v>
      </c>
      <c r="P283" s="4" t="s">
        <v>258</v>
      </c>
      <c r="R283" s="4" t="s">
        <v>422</v>
      </c>
      <c r="S283" s="4" t="s">
        <v>397</v>
      </c>
      <c r="Y283" s="4" t="s">
        <v>410</v>
      </c>
      <c r="Z283" s="4" t="s">
        <v>368</v>
      </c>
      <c r="AA283" s="4">
        <v>300</v>
      </c>
      <c r="AB283" s="4" t="s">
        <v>411</v>
      </c>
      <c r="AC283" s="4" t="s">
        <v>376</v>
      </c>
      <c r="AF283" t="s">
        <v>417</v>
      </c>
      <c r="AJ283" s="27">
        <v>0.107275967539467</v>
      </c>
      <c r="AK283" s="27">
        <v>169.769965246727</v>
      </c>
      <c r="AL283" s="11">
        <f t="shared" si="21"/>
        <v>0.30918908902578546</v>
      </c>
      <c r="AO283" s="11">
        <f t="shared" ref="AO283:AO299" si="22">80+273.15</f>
        <v>353.15</v>
      </c>
      <c r="AP283" s="65" t="s">
        <v>161</v>
      </c>
      <c r="AQ283" s="75">
        <v>169.769965246727</v>
      </c>
      <c r="AR283" s="75">
        <v>0.107275967539467</v>
      </c>
      <c r="AS283" s="11" t="s">
        <v>186</v>
      </c>
      <c r="AT283" s="11">
        <v>0.262931621499156</v>
      </c>
      <c r="AU283" s="11">
        <v>9.1992680710288197E-2</v>
      </c>
      <c r="BD283" s="21" t="s">
        <v>181</v>
      </c>
      <c r="BE283" s="11" t="s">
        <v>415</v>
      </c>
    </row>
    <row r="284" spans="2:57" x14ac:dyDescent="0.3">
      <c r="B284" s="11" t="s">
        <v>168</v>
      </c>
      <c r="C284" s="4" t="s">
        <v>162</v>
      </c>
      <c r="D284" s="4" t="s">
        <v>91</v>
      </c>
      <c r="E284" s="4"/>
      <c r="F284" s="42"/>
      <c r="G284" s="4"/>
      <c r="H284" s="4"/>
      <c r="I284" s="36" t="e">
        <f t="shared" si="20"/>
        <v>#DIV/0!</v>
      </c>
      <c r="J284" s="4" t="s">
        <v>424</v>
      </c>
      <c r="K284" s="4"/>
      <c r="L284" s="4"/>
      <c r="M284" s="4" t="e">
        <f t="shared" si="18"/>
        <v>#DIV/0!</v>
      </c>
      <c r="N284" t="s">
        <v>189</v>
      </c>
      <c r="P284" s="4" t="s">
        <v>258</v>
      </c>
      <c r="R284" s="4" t="s">
        <v>422</v>
      </c>
      <c r="S284" s="4" t="s">
        <v>397</v>
      </c>
      <c r="Y284" s="4" t="s">
        <v>410</v>
      </c>
      <c r="Z284" s="4" t="s">
        <v>368</v>
      </c>
      <c r="AA284" s="4">
        <v>300</v>
      </c>
      <c r="AB284" s="4" t="s">
        <v>411</v>
      </c>
      <c r="AC284" s="4" t="s">
        <v>376</v>
      </c>
      <c r="AF284" t="s">
        <v>417</v>
      </c>
      <c r="AJ284" s="27">
        <v>0.18269259207060801</v>
      </c>
      <c r="AK284" s="27">
        <v>141.421356237309</v>
      </c>
      <c r="AL284" s="11">
        <f t="shared" si="21"/>
        <v>0.3653851841412134</v>
      </c>
      <c r="AO284" s="11">
        <f t="shared" si="22"/>
        <v>353.15</v>
      </c>
      <c r="AP284" s="65" t="s">
        <v>161</v>
      </c>
      <c r="AQ284" s="75">
        <v>141.421356237309</v>
      </c>
      <c r="AR284" s="75">
        <v>0.18269259207060801</v>
      </c>
      <c r="AS284" s="11" t="s">
        <v>186</v>
      </c>
      <c r="AT284" s="11">
        <v>0.311378683628242</v>
      </c>
      <c r="AU284" s="11">
        <v>0.165234049872206</v>
      </c>
      <c r="BD284" s="21" t="s">
        <v>181</v>
      </c>
      <c r="BE284" s="11" t="s">
        <v>415</v>
      </c>
    </row>
    <row r="285" spans="2:57" x14ac:dyDescent="0.3">
      <c r="B285" s="11" t="s">
        <v>168</v>
      </c>
      <c r="C285" s="4" t="s">
        <v>162</v>
      </c>
      <c r="D285" s="4" t="s">
        <v>91</v>
      </c>
      <c r="E285" s="4"/>
      <c r="F285" s="42"/>
      <c r="G285" s="4"/>
      <c r="H285" s="4"/>
      <c r="I285" s="36" t="e">
        <f t="shared" si="20"/>
        <v>#DIV/0!</v>
      </c>
      <c r="J285" s="4" t="s">
        <v>424</v>
      </c>
      <c r="K285" s="4"/>
      <c r="L285" s="4"/>
      <c r="M285" s="4" t="e">
        <f t="shared" si="18"/>
        <v>#DIV/0!</v>
      </c>
      <c r="N285" t="s">
        <v>189</v>
      </c>
      <c r="P285" s="4" t="s">
        <v>258</v>
      </c>
      <c r="R285" s="4" t="s">
        <v>422</v>
      </c>
      <c r="S285" s="4" t="s">
        <v>397</v>
      </c>
      <c r="Y285" s="4" t="s">
        <v>410</v>
      </c>
      <c r="Z285" s="4" t="s">
        <v>368</v>
      </c>
      <c r="AA285" s="4">
        <v>300</v>
      </c>
      <c r="AB285" s="4" t="s">
        <v>411</v>
      </c>
      <c r="AC285" s="4" t="s">
        <v>376</v>
      </c>
      <c r="AF285" t="s">
        <v>417</v>
      </c>
      <c r="AJ285" s="27">
        <v>0.26535905183087899</v>
      </c>
      <c r="AK285" s="27">
        <v>132.05665719883899</v>
      </c>
      <c r="AL285" s="11">
        <f t="shared" si="21"/>
        <v>0.46275860790626377</v>
      </c>
      <c r="AO285" s="11">
        <f t="shared" si="22"/>
        <v>353.15</v>
      </c>
      <c r="AP285" s="65" t="s">
        <v>161</v>
      </c>
      <c r="AQ285" s="75">
        <v>132.05665719883899</v>
      </c>
      <c r="AR285" s="75">
        <v>0.26535905183087899</v>
      </c>
      <c r="AS285" s="11" t="s">
        <v>186</v>
      </c>
      <c r="AT285" s="11">
        <v>0.41343182610046503</v>
      </c>
      <c r="AU285" s="11">
        <v>0.22725500437542501</v>
      </c>
      <c r="BD285" s="21" t="s">
        <v>181</v>
      </c>
      <c r="BE285" s="11" t="s">
        <v>415</v>
      </c>
    </row>
    <row r="286" spans="2:57" x14ac:dyDescent="0.3">
      <c r="B286" s="11" t="s">
        <v>168</v>
      </c>
      <c r="C286" s="4" t="s">
        <v>162</v>
      </c>
      <c r="D286" s="4" t="s">
        <v>91</v>
      </c>
      <c r="E286" s="4"/>
      <c r="F286" s="42"/>
      <c r="G286" s="4"/>
      <c r="H286" s="4"/>
      <c r="I286" s="36" t="e">
        <f t="shared" si="20"/>
        <v>#DIV/0!</v>
      </c>
      <c r="J286" s="4" t="s">
        <v>424</v>
      </c>
      <c r="K286" s="4"/>
      <c r="L286" s="4"/>
      <c r="M286" s="4" t="e">
        <f t="shared" si="18"/>
        <v>#DIV/0!</v>
      </c>
      <c r="N286" t="s">
        <v>189</v>
      </c>
      <c r="P286" s="4" t="s">
        <v>258</v>
      </c>
      <c r="R286" s="4" t="s">
        <v>422</v>
      </c>
      <c r="S286" s="4" t="s">
        <v>397</v>
      </c>
      <c r="Y286" s="4" t="s">
        <v>410</v>
      </c>
      <c r="Z286" s="4" t="s">
        <v>368</v>
      </c>
      <c r="AA286" s="4">
        <v>300</v>
      </c>
      <c r="AB286" s="4" t="s">
        <v>411</v>
      </c>
      <c r="AC286" s="4" t="s">
        <v>376</v>
      </c>
      <c r="AF286" t="s">
        <v>417</v>
      </c>
      <c r="AJ286" s="27">
        <v>0.32759798912898003</v>
      </c>
      <c r="AK286" s="27">
        <v>98.134852487214999</v>
      </c>
      <c r="AL286" s="11">
        <f t="shared" si="21"/>
        <v>0.31549158161410562</v>
      </c>
      <c r="AO286" s="11">
        <f t="shared" si="22"/>
        <v>353.15</v>
      </c>
      <c r="AP286" s="65" t="s">
        <v>161</v>
      </c>
      <c r="AQ286" s="75">
        <v>98.134852487214999</v>
      </c>
      <c r="AR286" s="75">
        <v>0.32759798912898003</v>
      </c>
      <c r="AS286" s="11" t="s">
        <v>186</v>
      </c>
      <c r="AT286" s="11">
        <v>0.27754545967892802</v>
      </c>
      <c r="AU286" s="11">
        <v>0.28169150859120401</v>
      </c>
      <c r="BD286" s="21" t="s">
        <v>181</v>
      </c>
      <c r="BE286" s="11" t="s">
        <v>415</v>
      </c>
    </row>
    <row r="287" spans="2:57" x14ac:dyDescent="0.3">
      <c r="B287" s="11" t="s">
        <v>168</v>
      </c>
      <c r="C287" s="4" t="s">
        <v>162</v>
      </c>
      <c r="D287" s="4" t="s">
        <v>91</v>
      </c>
      <c r="E287" s="4"/>
      <c r="F287" s="42"/>
      <c r="G287" s="4"/>
      <c r="H287" s="4"/>
      <c r="I287" s="36" t="e">
        <f t="shared" si="20"/>
        <v>#DIV/0!</v>
      </c>
      <c r="J287" s="4" t="s">
        <v>424</v>
      </c>
      <c r="K287" s="4"/>
      <c r="L287" s="4"/>
      <c r="M287" s="4" t="e">
        <f t="shared" si="18"/>
        <v>#DIV/0!</v>
      </c>
      <c r="N287" t="s">
        <v>189</v>
      </c>
      <c r="P287" s="4" t="s">
        <v>258</v>
      </c>
      <c r="R287" s="4" t="s">
        <v>422</v>
      </c>
      <c r="S287" s="4" t="s">
        <v>397</v>
      </c>
      <c r="Y287" s="4" t="s">
        <v>410</v>
      </c>
      <c r="Z287" s="4" t="s">
        <v>368</v>
      </c>
      <c r="AA287" s="4">
        <v>300</v>
      </c>
      <c r="AB287" s="4" t="s">
        <v>411</v>
      </c>
      <c r="AC287" s="4" t="s">
        <v>376</v>
      </c>
      <c r="AF287" t="s">
        <v>417</v>
      </c>
      <c r="AJ287" s="27">
        <v>0.55919052593857599</v>
      </c>
      <c r="AK287" s="27">
        <v>102.721118456894</v>
      </c>
      <c r="AL287" s="11">
        <f t="shared" si="21"/>
        <v>0.59003705098246406</v>
      </c>
      <c r="AO287" s="11">
        <f t="shared" si="22"/>
        <v>353.15</v>
      </c>
      <c r="AP287" s="65" t="s">
        <v>161</v>
      </c>
      <c r="AQ287" s="75">
        <v>102.721118456894</v>
      </c>
      <c r="AR287" s="75">
        <v>0.55919052593857599</v>
      </c>
      <c r="AS287" s="11" t="s">
        <v>186</v>
      </c>
      <c r="AT287" s="11">
        <v>0.51797992886253597</v>
      </c>
      <c r="AU287" s="11">
        <v>0.50507740720441696</v>
      </c>
      <c r="BD287" s="21" t="s">
        <v>181</v>
      </c>
      <c r="BE287" s="11" t="s">
        <v>415</v>
      </c>
    </row>
    <row r="288" spans="2:57" x14ac:dyDescent="0.3">
      <c r="B288" s="11" t="s">
        <v>168</v>
      </c>
      <c r="C288" s="4" t="s">
        <v>162</v>
      </c>
      <c r="D288" s="4" t="s">
        <v>91</v>
      </c>
      <c r="E288" s="4"/>
      <c r="F288" s="42"/>
      <c r="G288" s="4"/>
      <c r="H288" s="4"/>
      <c r="I288" s="36" t="e">
        <f t="shared" si="20"/>
        <v>#DIV/0!</v>
      </c>
      <c r="J288" s="4" t="s">
        <v>424</v>
      </c>
      <c r="K288" s="4"/>
      <c r="L288" s="4"/>
      <c r="M288" s="4" t="e">
        <f t="shared" ref="M288:M351" si="23">K288/L288</f>
        <v>#DIV/0!</v>
      </c>
      <c r="N288" t="s">
        <v>189</v>
      </c>
      <c r="P288" s="4" t="s">
        <v>258</v>
      </c>
      <c r="R288" s="4" t="s">
        <v>422</v>
      </c>
      <c r="S288" s="4" t="s">
        <v>397</v>
      </c>
      <c r="Y288" s="4" t="s">
        <v>410</v>
      </c>
      <c r="Z288" s="4" t="s">
        <v>368</v>
      </c>
      <c r="AA288" s="4">
        <v>300</v>
      </c>
      <c r="AB288" s="4" t="s">
        <v>411</v>
      </c>
      <c r="AC288" s="4" t="s">
        <v>376</v>
      </c>
      <c r="AF288" t="s">
        <v>417</v>
      </c>
      <c r="AJ288" s="27">
        <v>19.961079058040301</v>
      </c>
      <c r="AK288" s="27">
        <v>66.560000633209498</v>
      </c>
      <c r="AL288" s="11">
        <f t="shared" si="21"/>
        <v>8.8432244817762715</v>
      </c>
      <c r="AO288" s="11">
        <f t="shared" si="22"/>
        <v>353.15</v>
      </c>
      <c r="AP288" s="65" t="s">
        <v>161</v>
      </c>
      <c r="AQ288" s="75">
        <v>66.560000633209498</v>
      </c>
      <c r="AR288" s="75">
        <v>19.961079058040301</v>
      </c>
      <c r="AS288" s="11" t="s">
        <v>186</v>
      </c>
      <c r="AT288" s="11">
        <v>0.31080549451128803</v>
      </c>
      <c r="AU288" s="11">
        <v>0.34847907776883302</v>
      </c>
      <c r="BD288" s="21" t="s">
        <v>181</v>
      </c>
      <c r="BE288" s="11" t="s">
        <v>415</v>
      </c>
    </row>
    <row r="289" spans="1:57" x14ac:dyDescent="0.3">
      <c r="B289" s="11" t="s">
        <v>168</v>
      </c>
      <c r="C289" s="4" t="s">
        <v>162</v>
      </c>
      <c r="D289" s="4" t="s">
        <v>91</v>
      </c>
      <c r="E289" s="4"/>
      <c r="F289" s="42"/>
      <c r="G289" s="4"/>
      <c r="H289" s="4"/>
      <c r="I289" s="36" t="e">
        <f t="shared" si="20"/>
        <v>#DIV/0!</v>
      </c>
      <c r="J289" s="4" t="s">
        <v>424</v>
      </c>
      <c r="K289" s="4"/>
      <c r="L289" s="4"/>
      <c r="M289" s="4" t="e">
        <f t="shared" si="23"/>
        <v>#DIV/0!</v>
      </c>
      <c r="N289" t="s">
        <v>189</v>
      </c>
      <c r="P289" s="4" t="s">
        <v>258</v>
      </c>
      <c r="R289" s="4" t="s">
        <v>422</v>
      </c>
      <c r="S289" s="4" t="s">
        <v>397</v>
      </c>
      <c r="Y289" s="4" t="s">
        <v>410</v>
      </c>
      <c r="Z289" s="4" t="s">
        <v>368</v>
      </c>
      <c r="AA289" s="4">
        <v>300</v>
      </c>
      <c r="AB289" s="4" t="s">
        <v>411</v>
      </c>
      <c r="AC289" s="4" t="s">
        <v>376</v>
      </c>
      <c r="AF289" t="s">
        <v>417</v>
      </c>
      <c r="AJ289" s="27">
        <v>30.584320767779399</v>
      </c>
      <c r="AK289" s="27">
        <v>62.152502427037497</v>
      </c>
      <c r="AL289" s="11">
        <f t="shared" si="21"/>
        <v>11.814519904074507</v>
      </c>
      <c r="AO289" s="11">
        <f t="shared" si="22"/>
        <v>353.15</v>
      </c>
      <c r="AP289" s="65" t="s">
        <v>161</v>
      </c>
      <c r="AQ289" s="75">
        <v>62.152502427037497</v>
      </c>
      <c r="AR289" s="75">
        <v>30.584320767779399</v>
      </c>
      <c r="AS289" s="11" t="s">
        <v>186</v>
      </c>
      <c r="AT289" s="11">
        <v>7.4319476777766402</v>
      </c>
      <c r="AU289" s="11">
        <v>15.978082113506</v>
      </c>
      <c r="BD289" s="21" t="s">
        <v>181</v>
      </c>
      <c r="BE289" s="11" t="s">
        <v>415</v>
      </c>
    </row>
    <row r="290" spans="1:57" x14ac:dyDescent="0.3">
      <c r="B290" s="11" t="s">
        <v>168</v>
      </c>
      <c r="C290" s="4" t="s">
        <v>162</v>
      </c>
      <c r="D290" s="4" t="s">
        <v>91</v>
      </c>
      <c r="E290" s="4"/>
      <c r="F290" s="42"/>
      <c r="G290" s="4"/>
      <c r="H290" s="4"/>
      <c r="I290" s="36" t="e">
        <f t="shared" si="20"/>
        <v>#DIV/0!</v>
      </c>
      <c r="J290" s="4" t="s">
        <v>424</v>
      </c>
      <c r="K290" s="4"/>
      <c r="L290" s="4"/>
      <c r="M290" s="4" t="e">
        <f t="shared" si="23"/>
        <v>#DIV/0!</v>
      </c>
      <c r="N290" t="s">
        <v>189</v>
      </c>
      <c r="P290" s="4" t="s">
        <v>258</v>
      </c>
      <c r="R290" s="4" t="s">
        <v>422</v>
      </c>
      <c r="S290" s="4" t="s">
        <v>397</v>
      </c>
      <c r="Y290" s="4" t="s">
        <v>410</v>
      </c>
      <c r="Z290" s="4" t="s">
        <v>368</v>
      </c>
      <c r="AA290" s="4">
        <v>300</v>
      </c>
      <c r="AB290" s="4" t="s">
        <v>411</v>
      </c>
      <c r="AC290" s="4" t="s">
        <v>376</v>
      </c>
      <c r="AF290" t="s">
        <v>417</v>
      </c>
      <c r="AJ290" s="27">
        <v>28.933229490387799</v>
      </c>
      <c r="AK290" s="27">
        <v>50.605127631827202</v>
      </c>
      <c r="AL290" s="11">
        <f t="shared" si="21"/>
        <v>7.4094498144317313</v>
      </c>
      <c r="AO290" s="11">
        <f t="shared" si="22"/>
        <v>353.15</v>
      </c>
      <c r="AP290" s="65" t="s">
        <v>161</v>
      </c>
      <c r="AQ290" s="75">
        <v>50.605127631827202</v>
      </c>
      <c r="AR290" s="75">
        <v>28.933229490387799</v>
      </c>
      <c r="AS290" s="11" t="s">
        <v>186</v>
      </c>
      <c r="AT290" s="11">
        <v>7.42510412364211</v>
      </c>
      <c r="AU290" s="11">
        <v>23.204019904771201</v>
      </c>
      <c r="BD290" s="21" t="s">
        <v>181</v>
      </c>
      <c r="BE290" s="11" t="s">
        <v>415</v>
      </c>
    </row>
    <row r="291" spans="1:57" x14ac:dyDescent="0.3">
      <c r="B291" s="11" t="s">
        <v>168</v>
      </c>
      <c r="C291" s="4" t="s">
        <v>162</v>
      </c>
      <c r="D291" s="4" t="s">
        <v>91</v>
      </c>
      <c r="E291" s="4"/>
      <c r="F291" s="42"/>
      <c r="G291" s="4"/>
      <c r="H291" s="4"/>
      <c r="I291" s="36" t="e">
        <f t="shared" si="20"/>
        <v>#DIV/0!</v>
      </c>
      <c r="J291" s="4" t="s">
        <v>424</v>
      </c>
      <c r="K291" s="4"/>
      <c r="L291" s="4"/>
      <c r="M291" s="4" t="e">
        <f t="shared" si="23"/>
        <v>#DIV/0!</v>
      </c>
      <c r="N291" t="s">
        <v>189</v>
      </c>
      <c r="P291" s="4" t="s">
        <v>258</v>
      </c>
      <c r="R291" s="4" t="s">
        <v>422</v>
      </c>
      <c r="S291" s="4" t="s">
        <v>397</v>
      </c>
      <c r="Y291" s="4" t="s">
        <v>410</v>
      </c>
      <c r="Z291" s="4" t="s">
        <v>368</v>
      </c>
      <c r="AA291" s="4">
        <v>300</v>
      </c>
      <c r="AB291" s="4" t="s">
        <v>411</v>
      </c>
      <c r="AC291" s="4" t="s">
        <v>376</v>
      </c>
      <c r="AF291" t="s">
        <v>417</v>
      </c>
      <c r="AJ291" s="27">
        <v>19.8610790580403</v>
      </c>
      <c r="AK291" s="27">
        <v>66.360000633209495</v>
      </c>
      <c r="AL291" s="11">
        <f t="shared" si="21"/>
        <v>8.7461234518623989</v>
      </c>
      <c r="AO291" s="11">
        <f t="shared" si="22"/>
        <v>353.15</v>
      </c>
      <c r="AP291" s="65" t="s">
        <v>161</v>
      </c>
      <c r="AQ291" s="75">
        <v>66.360000633209495</v>
      </c>
      <c r="AR291" s="75">
        <v>19.8610790580403</v>
      </c>
      <c r="AS291" s="11" t="s">
        <v>186</v>
      </c>
      <c r="AT291" s="11">
        <v>11.698252232330599</v>
      </c>
      <c r="AU291" s="11">
        <v>25.769018687038098</v>
      </c>
      <c r="BD291" s="21" t="s">
        <v>181</v>
      </c>
      <c r="BE291" s="11" t="s">
        <v>415</v>
      </c>
    </row>
    <row r="292" spans="1:57" x14ac:dyDescent="0.3">
      <c r="B292" s="11" t="s">
        <v>169</v>
      </c>
      <c r="C292" s="4" t="s">
        <v>187</v>
      </c>
      <c r="D292" s="4"/>
      <c r="E292" s="4" t="e" vm="6">
        <v>#VALUE!</v>
      </c>
      <c r="F292" s="42"/>
      <c r="G292" s="4"/>
      <c r="H292" s="4"/>
      <c r="I292" s="36" t="e">
        <f t="shared" si="20"/>
        <v>#DIV/0!</v>
      </c>
      <c r="J292" s="4" t="s">
        <v>424</v>
      </c>
      <c r="K292" s="4"/>
      <c r="L292" s="4"/>
      <c r="M292" s="4" t="e">
        <f t="shared" si="23"/>
        <v>#DIV/0!</v>
      </c>
      <c r="N292" t="s">
        <v>189</v>
      </c>
      <c r="P292" s="4" t="s">
        <v>258</v>
      </c>
      <c r="R292" s="4" t="s">
        <v>422</v>
      </c>
      <c r="S292" s="4" t="s">
        <v>397</v>
      </c>
      <c r="Y292" s="4" t="s">
        <v>410</v>
      </c>
      <c r="Z292" s="4" t="s">
        <v>368</v>
      </c>
      <c r="AA292" s="4">
        <v>300</v>
      </c>
      <c r="AB292" s="4" t="s">
        <v>411</v>
      </c>
      <c r="AC292" s="4" t="s">
        <v>376</v>
      </c>
      <c r="AF292" t="s">
        <v>417</v>
      </c>
      <c r="AJ292" s="25">
        <v>1.0421768821862699E-3</v>
      </c>
      <c r="AK292" s="25">
        <v>668.27439921797395</v>
      </c>
      <c r="AL292" s="11">
        <f t="shared" si="21"/>
        <v>4.6542647483599618E-2</v>
      </c>
      <c r="AO292" s="11">
        <f t="shared" si="22"/>
        <v>353.15</v>
      </c>
      <c r="AP292" s="65" t="s">
        <v>161</v>
      </c>
      <c r="AQ292" s="66">
        <v>668.27439921797395</v>
      </c>
      <c r="AR292" s="66">
        <v>1.0421768821862699E-3</v>
      </c>
      <c r="AS292" s="11" t="s">
        <v>186</v>
      </c>
      <c r="AT292" s="11">
        <v>0.10652797751979</v>
      </c>
      <c r="AU292" s="11">
        <v>7.5388329494507998E-3</v>
      </c>
      <c r="BD292" s="21" t="s">
        <v>181</v>
      </c>
      <c r="BE292" s="11" t="s">
        <v>415</v>
      </c>
    </row>
    <row r="293" spans="1:57" x14ac:dyDescent="0.3">
      <c r="B293" s="11" t="s">
        <v>169</v>
      </c>
      <c r="C293" s="4" t="s">
        <v>187</v>
      </c>
      <c r="D293" s="4"/>
      <c r="E293" s="4"/>
      <c r="F293" s="42"/>
      <c r="G293" s="4"/>
      <c r="H293" s="4"/>
      <c r="I293" s="36" t="e">
        <f t="shared" si="20"/>
        <v>#DIV/0!</v>
      </c>
      <c r="J293" s="4" t="s">
        <v>424</v>
      </c>
      <c r="K293" s="4"/>
      <c r="L293" s="4"/>
      <c r="M293" s="4" t="e">
        <f t="shared" si="23"/>
        <v>#DIV/0!</v>
      </c>
      <c r="N293" t="s">
        <v>189</v>
      </c>
      <c r="P293" s="4" t="s">
        <v>258</v>
      </c>
      <c r="R293" s="4" t="s">
        <v>422</v>
      </c>
      <c r="S293" s="4" t="s">
        <v>397</v>
      </c>
      <c r="Y293" s="4" t="s">
        <v>410</v>
      </c>
      <c r="Z293" s="4" t="s">
        <v>368</v>
      </c>
      <c r="AA293" s="4">
        <v>300</v>
      </c>
      <c r="AB293" s="4" t="s">
        <v>411</v>
      </c>
      <c r="AC293" s="4" t="s">
        <v>376</v>
      </c>
      <c r="AF293" t="s">
        <v>417</v>
      </c>
      <c r="AJ293" s="25">
        <v>0.107275967539467</v>
      </c>
      <c r="AK293" s="25">
        <v>169.769965246727</v>
      </c>
      <c r="AL293" s="11">
        <f t="shared" si="21"/>
        <v>0.30918908902578546</v>
      </c>
      <c r="AO293" s="11">
        <f t="shared" si="22"/>
        <v>353.15</v>
      </c>
      <c r="AP293" s="65" t="s">
        <v>161</v>
      </c>
      <c r="AQ293" s="66">
        <v>169.769965246727</v>
      </c>
      <c r="AR293" s="66">
        <v>0.107275967539467</v>
      </c>
      <c r="AS293" s="11" t="s">
        <v>186</v>
      </c>
      <c r="AT293" s="11">
        <v>0.112730377709949</v>
      </c>
      <c r="AU293" s="11">
        <v>8.3850488401250797E-3</v>
      </c>
      <c r="BD293" s="21" t="s">
        <v>181</v>
      </c>
      <c r="BE293" s="11" t="s">
        <v>415</v>
      </c>
    </row>
    <row r="294" spans="1:57" x14ac:dyDescent="0.3">
      <c r="B294" s="11" t="s">
        <v>169</v>
      </c>
      <c r="C294" s="4" t="s">
        <v>187</v>
      </c>
      <c r="D294" s="4"/>
      <c r="E294" s="4"/>
      <c r="F294" s="42"/>
      <c r="G294" s="4"/>
      <c r="H294" s="4"/>
      <c r="I294" s="36" t="e">
        <f t="shared" si="20"/>
        <v>#DIV/0!</v>
      </c>
      <c r="J294" s="4" t="s">
        <v>424</v>
      </c>
      <c r="K294" s="4"/>
      <c r="L294" s="4"/>
      <c r="M294" s="4" t="e">
        <f t="shared" si="23"/>
        <v>#DIV/0!</v>
      </c>
      <c r="N294" t="s">
        <v>189</v>
      </c>
      <c r="P294" s="4" t="s">
        <v>258</v>
      </c>
      <c r="R294" s="4" t="s">
        <v>422</v>
      </c>
      <c r="S294" s="4" t="s">
        <v>397</v>
      </c>
      <c r="Y294" s="4" t="s">
        <v>410</v>
      </c>
      <c r="Z294" s="4" t="s">
        <v>368</v>
      </c>
      <c r="AA294" s="4">
        <v>300</v>
      </c>
      <c r="AB294" s="4" t="s">
        <v>411</v>
      </c>
      <c r="AC294" s="4" t="s">
        <v>376</v>
      </c>
      <c r="AF294" t="s">
        <v>417</v>
      </c>
      <c r="AJ294" s="25">
        <v>0.18269259207060801</v>
      </c>
      <c r="AK294" s="25">
        <v>141.421356237309</v>
      </c>
      <c r="AL294" s="11">
        <f t="shared" si="21"/>
        <v>0.3653851841412134</v>
      </c>
      <c r="AO294" s="11">
        <f t="shared" si="22"/>
        <v>353.15</v>
      </c>
      <c r="AP294" s="65" t="s">
        <v>161</v>
      </c>
      <c r="AQ294" s="66">
        <v>141.421356237309</v>
      </c>
      <c r="AR294" s="66">
        <v>0.18269259207060801</v>
      </c>
      <c r="AS294" s="11" t="s">
        <v>186</v>
      </c>
      <c r="AT294" s="11">
        <v>0.198942819493069</v>
      </c>
      <c r="AU294" s="11">
        <v>1.03549132159732E-2</v>
      </c>
      <c r="BD294" s="21" t="s">
        <v>181</v>
      </c>
      <c r="BE294" s="11" t="s">
        <v>415</v>
      </c>
    </row>
    <row r="295" spans="1:57" x14ac:dyDescent="0.3">
      <c r="B295" s="11" t="s">
        <v>169</v>
      </c>
      <c r="C295" s="4" t="s">
        <v>187</v>
      </c>
      <c r="D295" s="4"/>
      <c r="E295" s="4"/>
      <c r="F295" s="42"/>
      <c r="G295" s="4"/>
      <c r="H295" s="4"/>
      <c r="I295" s="36" t="e">
        <f t="shared" si="20"/>
        <v>#DIV/0!</v>
      </c>
      <c r="J295" s="4" t="s">
        <v>424</v>
      </c>
      <c r="K295" s="4"/>
      <c r="L295" s="4"/>
      <c r="M295" s="4" t="e">
        <f t="shared" si="23"/>
        <v>#DIV/0!</v>
      </c>
      <c r="N295" t="s">
        <v>189</v>
      </c>
      <c r="P295" s="4" t="s">
        <v>258</v>
      </c>
      <c r="R295" s="4" t="s">
        <v>422</v>
      </c>
      <c r="S295" s="4" t="s">
        <v>397</v>
      </c>
      <c r="Y295" s="4" t="s">
        <v>410</v>
      </c>
      <c r="Z295" s="4" t="s">
        <v>368</v>
      </c>
      <c r="AA295" s="4">
        <v>300</v>
      </c>
      <c r="AB295" s="4" t="s">
        <v>411</v>
      </c>
      <c r="AC295" s="4" t="s">
        <v>376</v>
      </c>
      <c r="AF295" t="s">
        <v>417</v>
      </c>
      <c r="AJ295" s="25">
        <v>0.26535905183087899</v>
      </c>
      <c r="AK295" s="25">
        <v>132.05665719883899</v>
      </c>
      <c r="AL295" s="11">
        <f t="shared" si="21"/>
        <v>0.46275860790626377</v>
      </c>
      <c r="AO295" s="11">
        <f t="shared" si="22"/>
        <v>353.15</v>
      </c>
      <c r="AP295" s="65" t="s">
        <v>161</v>
      </c>
      <c r="AQ295" s="66">
        <v>132.05665719883899</v>
      </c>
      <c r="AR295" s="66">
        <v>0.26535905183087899</v>
      </c>
      <c r="AS295" s="11" t="s">
        <v>186</v>
      </c>
      <c r="AT295" s="11">
        <v>0.19878578714788001</v>
      </c>
      <c r="AU295" s="11">
        <v>1.4257279887190799E-2</v>
      </c>
      <c r="BD295" s="21" t="s">
        <v>181</v>
      </c>
      <c r="BE295" s="11" t="s">
        <v>415</v>
      </c>
    </row>
    <row r="296" spans="1:57" x14ac:dyDescent="0.3">
      <c r="B296" s="11" t="s">
        <v>169</v>
      </c>
      <c r="C296" s="4" t="s">
        <v>187</v>
      </c>
      <c r="D296" s="4"/>
      <c r="E296" s="4"/>
      <c r="F296" s="42"/>
      <c r="G296" s="4"/>
      <c r="H296" s="4"/>
      <c r="I296" s="36" t="e">
        <f t="shared" si="20"/>
        <v>#DIV/0!</v>
      </c>
      <c r="J296" s="4" t="s">
        <v>424</v>
      </c>
      <c r="K296" s="4"/>
      <c r="L296" s="4"/>
      <c r="M296" s="4" t="e">
        <f t="shared" si="23"/>
        <v>#DIV/0!</v>
      </c>
      <c r="N296" t="s">
        <v>189</v>
      </c>
      <c r="P296" s="4" t="s">
        <v>258</v>
      </c>
      <c r="R296" s="4" t="s">
        <v>422</v>
      </c>
      <c r="S296" s="4" t="s">
        <v>397</v>
      </c>
      <c r="Y296" s="4" t="s">
        <v>410</v>
      </c>
      <c r="Z296" s="4" t="s">
        <v>368</v>
      </c>
      <c r="AA296" s="4">
        <v>300</v>
      </c>
      <c r="AB296" s="4" t="s">
        <v>411</v>
      </c>
      <c r="AC296" s="4" t="s">
        <v>376</v>
      </c>
      <c r="AF296" t="s">
        <v>417</v>
      </c>
      <c r="AJ296" s="25">
        <v>0.32759798912898003</v>
      </c>
      <c r="AK296" s="25">
        <v>98.134852487214999</v>
      </c>
      <c r="AL296" s="11">
        <f t="shared" si="21"/>
        <v>0.31549158161410562</v>
      </c>
      <c r="AO296" s="11">
        <f t="shared" si="22"/>
        <v>353.15</v>
      </c>
      <c r="AP296" s="65" t="s">
        <v>161</v>
      </c>
      <c r="AQ296" s="66">
        <v>98.134852487214999</v>
      </c>
      <c r="AR296" s="66">
        <v>0.32759798912898003</v>
      </c>
      <c r="AS296" s="11" t="s">
        <v>186</v>
      </c>
      <c r="AT296" s="11">
        <v>0.26348586574135202</v>
      </c>
      <c r="AU296" s="11">
        <v>3.9208423101731997E-2</v>
      </c>
      <c r="BD296" s="21" t="s">
        <v>181</v>
      </c>
      <c r="BE296" s="11" t="s">
        <v>415</v>
      </c>
    </row>
    <row r="297" spans="1:57" x14ac:dyDescent="0.3">
      <c r="B297" s="11" t="s">
        <v>169</v>
      </c>
      <c r="C297" s="4" t="s">
        <v>187</v>
      </c>
      <c r="D297" s="4"/>
      <c r="E297" s="4"/>
      <c r="F297" s="42"/>
      <c r="G297" s="4"/>
      <c r="H297" s="4"/>
      <c r="I297" s="36" t="e">
        <f t="shared" si="20"/>
        <v>#DIV/0!</v>
      </c>
      <c r="J297" s="4" t="s">
        <v>424</v>
      </c>
      <c r="K297" s="4"/>
      <c r="L297" s="4"/>
      <c r="M297" s="4" t="e">
        <f t="shared" si="23"/>
        <v>#DIV/0!</v>
      </c>
      <c r="N297" t="s">
        <v>189</v>
      </c>
      <c r="P297" s="4" t="s">
        <v>258</v>
      </c>
      <c r="R297" s="4" t="s">
        <v>422</v>
      </c>
      <c r="S297" s="4" t="s">
        <v>397</v>
      </c>
      <c r="Y297" s="4" t="s">
        <v>410</v>
      </c>
      <c r="Z297" s="4" t="s">
        <v>368</v>
      </c>
      <c r="AA297" s="4">
        <v>300</v>
      </c>
      <c r="AB297" s="4" t="s">
        <v>411</v>
      </c>
      <c r="AC297" s="4" t="s">
        <v>376</v>
      </c>
      <c r="AF297" t="s">
        <v>417</v>
      </c>
      <c r="AJ297" s="25">
        <v>19.961079058040301</v>
      </c>
      <c r="AK297" s="25">
        <v>66.560000633209498</v>
      </c>
      <c r="AL297" s="11">
        <f t="shared" si="21"/>
        <v>8.8432244817762715</v>
      </c>
      <c r="AO297" s="11">
        <f t="shared" si="22"/>
        <v>353.15</v>
      </c>
      <c r="AP297" s="65" t="s">
        <v>161</v>
      </c>
      <c r="AQ297" s="66">
        <v>66.560000633209498</v>
      </c>
      <c r="AR297" s="66">
        <v>19.961079058040301</v>
      </c>
      <c r="AS297" s="11" t="s">
        <v>186</v>
      </c>
      <c r="AT297" s="11">
        <v>27.259804917029001</v>
      </c>
      <c r="AU297" s="11">
        <v>410.56709432751899</v>
      </c>
      <c r="BD297" s="21" t="s">
        <v>181</v>
      </c>
      <c r="BE297" s="11" t="s">
        <v>415</v>
      </c>
    </row>
    <row r="298" spans="1:57" x14ac:dyDescent="0.3">
      <c r="B298" s="11" t="s">
        <v>169</v>
      </c>
      <c r="C298" s="4" t="s">
        <v>187</v>
      </c>
      <c r="D298" s="4"/>
      <c r="E298" s="4"/>
      <c r="F298" s="42"/>
      <c r="G298" s="4"/>
      <c r="H298" s="4"/>
      <c r="I298" s="36" t="e">
        <f t="shared" si="20"/>
        <v>#DIV/0!</v>
      </c>
      <c r="J298" s="4" t="s">
        <v>424</v>
      </c>
      <c r="K298" s="4"/>
      <c r="L298" s="4"/>
      <c r="M298" s="4" t="e">
        <f t="shared" si="23"/>
        <v>#DIV/0!</v>
      </c>
      <c r="N298" t="s">
        <v>189</v>
      </c>
      <c r="P298" s="4" t="s">
        <v>258</v>
      </c>
      <c r="R298" s="4" t="s">
        <v>422</v>
      </c>
      <c r="S298" s="4" t="s">
        <v>397</v>
      </c>
      <c r="Y298" s="4" t="s">
        <v>410</v>
      </c>
      <c r="Z298" s="4" t="s">
        <v>368</v>
      </c>
      <c r="AA298" s="4">
        <v>300</v>
      </c>
      <c r="AB298" s="4" t="s">
        <v>411</v>
      </c>
      <c r="AC298" s="4" t="s">
        <v>376</v>
      </c>
      <c r="AF298" t="s">
        <v>417</v>
      </c>
      <c r="AJ298" s="25">
        <v>30.584320767779399</v>
      </c>
      <c r="AK298" s="25">
        <v>62.152502427037497</v>
      </c>
      <c r="AL298" s="11">
        <f t="shared" si="21"/>
        <v>11.814519904074507</v>
      </c>
      <c r="AO298" s="11">
        <f t="shared" si="22"/>
        <v>353.15</v>
      </c>
      <c r="AP298" s="65" t="s">
        <v>161</v>
      </c>
      <c r="AQ298" s="66">
        <v>62.152502427037497</v>
      </c>
      <c r="AR298" s="66">
        <v>30.584320767779399</v>
      </c>
      <c r="AS298" s="11" t="s">
        <v>186</v>
      </c>
      <c r="AT298" s="11">
        <v>22.967039906201201</v>
      </c>
      <c r="AU298" s="11">
        <v>565.66607503057298</v>
      </c>
      <c r="BD298" s="21" t="s">
        <v>181</v>
      </c>
      <c r="BE298" s="11" t="s">
        <v>415</v>
      </c>
    </row>
    <row r="299" spans="1:57" x14ac:dyDescent="0.3">
      <c r="B299" s="11" t="s">
        <v>169</v>
      </c>
      <c r="C299" s="4" t="s">
        <v>187</v>
      </c>
      <c r="D299" s="4"/>
      <c r="E299" s="4"/>
      <c r="F299" s="42"/>
      <c r="G299" s="4"/>
      <c r="H299" s="4"/>
      <c r="I299" s="36" t="e">
        <f t="shared" si="20"/>
        <v>#DIV/0!</v>
      </c>
      <c r="J299" s="4" t="s">
        <v>424</v>
      </c>
      <c r="K299" s="4"/>
      <c r="L299" s="4"/>
      <c r="M299" s="4" t="e">
        <f t="shared" si="23"/>
        <v>#DIV/0!</v>
      </c>
      <c r="N299" t="s">
        <v>189</v>
      </c>
      <c r="P299" s="4" t="s">
        <v>258</v>
      </c>
      <c r="R299" s="4" t="s">
        <v>422</v>
      </c>
      <c r="S299" s="4" t="s">
        <v>397</v>
      </c>
      <c r="Y299" s="4" t="s">
        <v>410</v>
      </c>
      <c r="Z299" s="4" t="s">
        <v>368</v>
      </c>
      <c r="AA299" s="4">
        <v>300</v>
      </c>
      <c r="AB299" s="4" t="s">
        <v>411</v>
      </c>
      <c r="AC299" s="4" t="s">
        <v>376</v>
      </c>
      <c r="AF299" t="s">
        <v>417</v>
      </c>
      <c r="AJ299" s="25">
        <v>28.933229490387799</v>
      </c>
      <c r="AK299" s="25">
        <v>50.605127631827202</v>
      </c>
      <c r="AL299" s="11">
        <f t="shared" si="21"/>
        <v>7.4094498144317313</v>
      </c>
      <c r="AO299" s="11">
        <f t="shared" si="22"/>
        <v>353.15</v>
      </c>
      <c r="AP299" s="65" t="s">
        <v>161</v>
      </c>
      <c r="AQ299" s="66">
        <v>50.605127631827202</v>
      </c>
      <c r="AR299" s="66">
        <v>28.933229490387799</v>
      </c>
      <c r="AS299" s="11" t="s">
        <v>186</v>
      </c>
      <c r="AT299" s="11">
        <v>0.17734978812565499</v>
      </c>
      <c r="AU299" s="11">
        <v>1.6736795239173201E-2</v>
      </c>
      <c r="BD299" s="21" t="s">
        <v>181</v>
      </c>
      <c r="BE299" s="11" t="s">
        <v>415</v>
      </c>
    </row>
    <row r="300" spans="1:57" ht="57.6" x14ac:dyDescent="0.3">
      <c r="A300" s="86"/>
      <c r="B300" s="11" t="s">
        <v>170</v>
      </c>
      <c r="C300" s="4" t="s">
        <v>193</v>
      </c>
      <c r="D300" s="4"/>
      <c r="E300" s="4"/>
      <c r="F300" s="42"/>
      <c r="G300" s="4"/>
      <c r="H300" s="4"/>
      <c r="I300" s="36" t="e">
        <f t="shared" si="20"/>
        <v>#DIV/0!</v>
      </c>
      <c r="J300" s="4"/>
      <c r="K300" s="4"/>
      <c r="L300" s="4"/>
      <c r="M300" s="4" t="e">
        <f t="shared" si="23"/>
        <v>#DIV/0!</v>
      </c>
      <c r="P300" t="s">
        <v>192</v>
      </c>
      <c r="AJ300" s="26">
        <v>5.9078379115879104E-4</v>
      </c>
      <c r="AK300" s="26">
        <v>773.37985813773298</v>
      </c>
      <c r="AL300" s="11">
        <f t="shared" si="21"/>
        <v>3.5335747728429838E-2</v>
      </c>
      <c r="AP300" s="65" t="s">
        <v>161</v>
      </c>
      <c r="AQ300" s="76">
        <v>773.37985813773298</v>
      </c>
      <c r="AR300" s="76">
        <v>5.9078379115879104E-4</v>
      </c>
      <c r="AS300" s="11" t="s">
        <v>186</v>
      </c>
      <c r="AT300" s="31">
        <v>9.2150361107903198E-11</v>
      </c>
      <c r="AU300" s="31">
        <v>6.7160102484519002E-3</v>
      </c>
      <c r="BB300" s="11">
        <v>13</v>
      </c>
      <c r="BC300" s="62" t="s">
        <v>434</v>
      </c>
      <c r="BD300" s="21" t="s">
        <v>190</v>
      </c>
    </row>
    <row r="301" spans="1:57" x14ac:dyDescent="0.3">
      <c r="B301" s="11" t="s">
        <v>170</v>
      </c>
      <c r="C301" s="4" t="s">
        <v>193</v>
      </c>
      <c r="D301" s="4"/>
      <c r="E301" s="4"/>
      <c r="F301" s="42"/>
      <c r="G301" s="4"/>
      <c r="H301" s="4"/>
      <c r="I301" s="36" t="e">
        <f t="shared" si="20"/>
        <v>#DIV/0!</v>
      </c>
      <c r="J301" s="4"/>
      <c r="K301" s="4"/>
      <c r="L301" s="4"/>
      <c r="M301" s="4" t="e">
        <f t="shared" si="23"/>
        <v>#DIV/0!</v>
      </c>
      <c r="P301" t="s">
        <v>192</v>
      </c>
      <c r="AJ301" s="26">
        <v>3.3073527641255401E-3</v>
      </c>
      <c r="AK301" s="26">
        <v>705.04085813783797</v>
      </c>
      <c r="AL301" s="11">
        <f t="shared" si="21"/>
        <v>0.16440275496186627</v>
      </c>
      <c r="AP301" s="65" t="s">
        <v>161</v>
      </c>
      <c r="AQ301" s="76">
        <v>705.04085813783797</v>
      </c>
      <c r="AR301" s="76">
        <v>3.3073527641255401E-3</v>
      </c>
      <c r="AS301" s="11" t="s">
        <v>186</v>
      </c>
      <c r="AT301" s="31">
        <v>2.66707668535019E-10</v>
      </c>
      <c r="AU301" s="31">
        <v>1.9599555195680601E-2</v>
      </c>
      <c r="BD301" s="21" t="s">
        <v>190</v>
      </c>
    </row>
    <row r="302" spans="1:57" x14ac:dyDescent="0.3">
      <c r="B302" s="11" t="s">
        <v>170</v>
      </c>
      <c r="C302" s="4" t="s">
        <v>193</v>
      </c>
      <c r="D302" s="4"/>
      <c r="E302" s="4"/>
      <c r="F302" s="42"/>
      <c r="G302" s="4"/>
      <c r="H302" s="4"/>
      <c r="I302" s="36" t="e">
        <f t="shared" si="20"/>
        <v>#DIV/0!</v>
      </c>
      <c r="J302" s="4"/>
      <c r="K302" s="4"/>
      <c r="L302" s="4"/>
      <c r="M302" s="4" t="e">
        <f t="shared" si="23"/>
        <v>#DIV/0!</v>
      </c>
      <c r="P302" t="s">
        <v>192</v>
      </c>
      <c r="AJ302" s="26">
        <v>9.0332526231612E-3</v>
      </c>
      <c r="AK302" s="26">
        <v>623.22211685237596</v>
      </c>
      <c r="AL302" s="11">
        <f t="shared" si="21"/>
        <v>0.35085677743372057</v>
      </c>
      <c r="AP302" s="65" t="s">
        <v>161</v>
      </c>
      <c r="AQ302" s="76">
        <v>623.22211685237596</v>
      </c>
      <c r="AR302" s="76">
        <v>9.0332526231612E-3</v>
      </c>
      <c r="AS302" s="11" t="s">
        <v>186</v>
      </c>
      <c r="AT302" s="31">
        <v>3.5992583242811199E-8</v>
      </c>
      <c r="AU302" s="31">
        <v>5.2812752133101295E-4</v>
      </c>
      <c r="BD302" s="21" t="s">
        <v>190</v>
      </c>
    </row>
    <row r="303" spans="1:57" x14ac:dyDescent="0.3">
      <c r="B303" s="11" t="s">
        <v>170</v>
      </c>
      <c r="C303" s="4" t="s">
        <v>193</v>
      </c>
      <c r="D303" s="4"/>
      <c r="E303" s="4"/>
      <c r="F303" s="42"/>
      <c r="G303" s="4"/>
      <c r="H303" s="4"/>
      <c r="I303" s="36" t="e">
        <f t="shared" si="20"/>
        <v>#DIV/0!</v>
      </c>
      <c r="J303" s="4"/>
      <c r="K303" s="4"/>
      <c r="L303" s="4"/>
      <c r="M303" s="4" t="e">
        <f t="shared" si="23"/>
        <v>#DIV/0!</v>
      </c>
      <c r="P303" t="s">
        <v>192</v>
      </c>
      <c r="AJ303" s="26">
        <v>3.2876313785268202E-2</v>
      </c>
      <c r="AK303" s="26">
        <v>604.29639023813195</v>
      </c>
      <c r="AL303" s="11">
        <f t="shared" si="21"/>
        <v>1.2005579193891471</v>
      </c>
      <c r="AP303" s="65" t="s">
        <v>161</v>
      </c>
      <c r="AQ303" s="76">
        <v>604.29639023813195</v>
      </c>
      <c r="AR303" s="76">
        <v>3.2876313785268202E-2</v>
      </c>
      <c r="AS303" s="11" t="s">
        <v>186</v>
      </c>
      <c r="AT303" s="31">
        <v>1.7012542798525899E-7</v>
      </c>
      <c r="AU303" s="31">
        <v>3.6374166724743601E-3</v>
      </c>
      <c r="BD303" s="21" t="s">
        <v>190</v>
      </c>
    </row>
    <row r="304" spans="1:57" x14ac:dyDescent="0.3">
      <c r="B304" s="11" t="s">
        <v>170</v>
      </c>
      <c r="C304" s="4" t="s">
        <v>193</v>
      </c>
      <c r="D304" s="4"/>
      <c r="E304" s="4"/>
      <c r="F304" s="42"/>
      <c r="G304" s="4"/>
      <c r="H304" s="4"/>
      <c r="I304" s="36" t="e">
        <f t="shared" si="20"/>
        <v>#DIV/0!</v>
      </c>
      <c r="J304" s="4"/>
      <c r="K304" s="4"/>
      <c r="L304" s="4"/>
      <c r="M304" s="4" t="e">
        <f t="shared" si="23"/>
        <v>#DIV/0!</v>
      </c>
      <c r="P304" t="s">
        <v>192</v>
      </c>
      <c r="AJ304" s="26">
        <v>0.111366160430208</v>
      </c>
      <c r="AK304" s="26">
        <v>550.89829539782704</v>
      </c>
      <c r="AL304" s="11">
        <f t="shared" si="21"/>
        <v>3.3798397075675397</v>
      </c>
      <c r="AP304" s="65" t="s">
        <v>161</v>
      </c>
      <c r="AQ304" s="76">
        <v>550.89829539782704</v>
      </c>
      <c r="AR304" s="76">
        <v>0.111366160430208</v>
      </c>
      <c r="AS304" s="11" t="s">
        <v>186</v>
      </c>
      <c r="AT304" s="31">
        <v>3.01501821907994E-7</v>
      </c>
      <c r="AU304" s="31">
        <v>7.9865493446930804E-3</v>
      </c>
      <c r="BD304" s="21" t="s">
        <v>190</v>
      </c>
    </row>
    <row r="305" spans="2:56" x14ac:dyDescent="0.3">
      <c r="B305" s="11" t="s">
        <v>170</v>
      </c>
      <c r="C305" s="4" t="s">
        <v>193</v>
      </c>
      <c r="D305" s="4"/>
      <c r="E305" s="4"/>
      <c r="F305" s="42"/>
      <c r="G305" s="4"/>
      <c r="H305" s="4"/>
      <c r="I305" s="36" t="e">
        <f t="shared" si="20"/>
        <v>#DIV/0!</v>
      </c>
      <c r="J305" s="4"/>
      <c r="K305" s="4"/>
      <c r="L305" s="4"/>
      <c r="M305" s="4" t="e">
        <f t="shared" si="23"/>
        <v>#DIV/0!</v>
      </c>
      <c r="P305" t="s">
        <v>192</v>
      </c>
      <c r="AJ305" s="26">
        <v>0.40531456255041898</v>
      </c>
      <c r="AK305" s="26">
        <v>486.967525165864</v>
      </c>
      <c r="AL305" s="11">
        <f t="shared" si="21"/>
        <v>9.6115229615382329</v>
      </c>
      <c r="AP305" s="65" t="s">
        <v>161</v>
      </c>
      <c r="AQ305" s="76">
        <v>486.967525165864</v>
      </c>
      <c r="AR305" s="76">
        <v>0.40531456255041898</v>
      </c>
      <c r="AS305" s="11" t="s">
        <v>186</v>
      </c>
      <c r="AT305" s="31">
        <v>1.4251026703029899E-6</v>
      </c>
      <c r="AU305" s="31">
        <v>3.0978671070718299E-2</v>
      </c>
      <c r="BD305" s="21" t="s">
        <v>190</v>
      </c>
    </row>
    <row r="306" spans="2:56" x14ac:dyDescent="0.3">
      <c r="B306" s="11" t="s">
        <v>170</v>
      </c>
      <c r="C306" s="4" t="s">
        <v>193</v>
      </c>
      <c r="D306" s="4"/>
      <c r="E306" s="4"/>
      <c r="F306" s="42"/>
      <c r="G306" s="4"/>
      <c r="H306" s="4"/>
      <c r="I306" s="36" t="e">
        <f t="shared" si="20"/>
        <v>#DIV/0!</v>
      </c>
      <c r="J306" s="4"/>
      <c r="K306" s="4"/>
      <c r="L306" s="4"/>
      <c r="M306" s="4" t="e">
        <f t="shared" si="23"/>
        <v>#DIV/0!</v>
      </c>
      <c r="P306" t="s">
        <v>192</v>
      </c>
      <c r="AJ306" s="26">
        <v>2.1119096016108898</v>
      </c>
      <c r="AK306" s="26">
        <v>443.93708759745601</v>
      </c>
      <c r="AL306" s="11">
        <f t="shared" si="21"/>
        <v>41.621543518943021</v>
      </c>
      <c r="AP306" s="65" t="s">
        <v>161</v>
      </c>
      <c r="AQ306" s="76">
        <v>443.93708759745601</v>
      </c>
      <c r="AR306" s="76">
        <v>2.1119096016108898</v>
      </c>
      <c r="AS306" s="11" t="s">
        <v>186</v>
      </c>
      <c r="AT306" s="31">
        <v>3.80085810619542E-6</v>
      </c>
      <c r="AU306" s="31">
        <v>9.7174185836287799E-2</v>
      </c>
      <c r="BD306" s="21" t="s">
        <v>190</v>
      </c>
    </row>
    <row r="307" spans="2:56" x14ac:dyDescent="0.3">
      <c r="B307" s="11" t="s">
        <v>170</v>
      </c>
      <c r="C307" s="4" t="s">
        <v>193</v>
      </c>
      <c r="D307" s="4"/>
      <c r="E307" s="4"/>
      <c r="F307" s="42"/>
      <c r="G307" s="4"/>
      <c r="H307" s="4"/>
      <c r="I307" s="36" t="e">
        <f t="shared" si="20"/>
        <v>#DIV/0!</v>
      </c>
      <c r="J307" s="4"/>
      <c r="K307" s="4"/>
      <c r="L307" s="4"/>
      <c r="M307" s="4" t="e">
        <f t="shared" si="23"/>
        <v>#DIV/0!</v>
      </c>
      <c r="P307" t="s">
        <v>192</v>
      </c>
      <c r="AJ307" s="26">
        <v>5.3687122798864397</v>
      </c>
      <c r="AK307" s="26">
        <v>392.41897584845299</v>
      </c>
      <c r="AL307" s="11">
        <f t="shared" si="21"/>
        <v>82.674224505784352</v>
      </c>
      <c r="AP307" s="65" t="s">
        <v>161</v>
      </c>
      <c r="AQ307" s="76">
        <v>392.41897584845299</v>
      </c>
      <c r="AR307" s="76">
        <v>5.3687122798864397</v>
      </c>
      <c r="AS307" s="11" t="s">
        <v>186</v>
      </c>
      <c r="AT307" s="31">
        <v>1.46446997937971E-8</v>
      </c>
      <c r="AU307" s="31">
        <v>1.0682272293769901</v>
      </c>
      <c r="BD307" s="21" t="s">
        <v>190</v>
      </c>
    </row>
    <row r="308" spans="2:56" x14ac:dyDescent="0.3">
      <c r="B308" s="11" t="s">
        <v>170</v>
      </c>
      <c r="C308" s="4" t="s">
        <v>193</v>
      </c>
      <c r="D308" s="4"/>
      <c r="E308" s="4"/>
      <c r="F308" s="42"/>
      <c r="G308" s="4"/>
      <c r="H308" s="4"/>
      <c r="I308" s="36" t="e">
        <f t="shared" si="20"/>
        <v>#DIV/0!</v>
      </c>
      <c r="J308" s="4"/>
      <c r="K308" s="4"/>
      <c r="L308" s="4"/>
      <c r="M308" s="4" t="e">
        <f t="shared" si="23"/>
        <v>#DIV/0!</v>
      </c>
      <c r="P308" t="s">
        <v>192</v>
      </c>
      <c r="AJ308" s="26">
        <v>14.663369088209199</v>
      </c>
      <c r="AK308" s="26">
        <v>346.87944960701998</v>
      </c>
      <c r="AL308" s="11">
        <f t="shared" si="21"/>
        <v>176.43750552513256</v>
      </c>
      <c r="AP308" s="65" t="s">
        <v>161</v>
      </c>
      <c r="AQ308" s="76">
        <v>346.87944960701998</v>
      </c>
      <c r="AR308" s="76">
        <v>14.663369088209199</v>
      </c>
      <c r="AS308" s="11" t="s">
        <v>186</v>
      </c>
      <c r="AT308" s="31">
        <v>8.8459720358308704E-8</v>
      </c>
      <c r="AU308" s="31">
        <v>9.1132041264093804</v>
      </c>
      <c r="BD308" s="21" t="s">
        <v>190</v>
      </c>
    </row>
    <row r="309" spans="2:56" x14ac:dyDescent="0.3">
      <c r="B309" s="11" t="s">
        <v>170</v>
      </c>
      <c r="C309" s="4" t="s">
        <v>193</v>
      </c>
      <c r="D309" s="4"/>
      <c r="E309" s="4"/>
      <c r="F309" s="42"/>
      <c r="G309" s="4"/>
      <c r="H309" s="4"/>
      <c r="I309" s="36" t="e">
        <f t="shared" si="20"/>
        <v>#DIV/0!</v>
      </c>
      <c r="J309" s="4"/>
      <c r="K309" s="4"/>
      <c r="L309" s="4"/>
      <c r="M309" s="4" t="e">
        <f t="shared" si="23"/>
        <v>#DIV/0!</v>
      </c>
      <c r="P309" t="s">
        <v>192</v>
      </c>
      <c r="AJ309" s="26">
        <v>26.036608663423898</v>
      </c>
      <c r="AK309" s="26">
        <v>297.31326465101398</v>
      </c>
      <c r="AL309" s="11">
        <f t="shared" si="21"/>
        <v>230.15106400689831</v>
      </c>
      <c r="AP309" s="65" t="s">
        <v>161</v>
      </c>
      <c r="AQ309" s="76">
        <v>297.31326465101398</v>
      </c>
      <c r="AR309" s="76">
        <v>26.036608663423898</v>
      </c>
      <c r="AS309" s="11" t="s">
        <v>186</v>
      </c>
      <c r="AT309" s="31">
        <v>1.10006948616164E-5</v>
      </c>
      <c r="AU309" s="31">
        <v>0.37788625934321901</v>
      </c>
      <c r="BD309" s="21" t="s">
        <v>190</v>
      </c>
    </row>
    <row r="310" spans="2:56" x14ac:dyDescent="0.3">
      <c r="B310" s="11" t="s">
        <v>170</v>
      </c>
      <c r="C310" s="4" t="s">
        <v>193</v>
      </c>
      <c r="D310" s="4"/>
      <c r="E310" s="4"/>
      <c r="F310" s="42"/>
      <c r="G310" s="4"/>
      <c r="H310" s="4"/>
      <c r="I310" s="36" t="e">
        <f t="shared" si="20"/>
        <v>#DIV/0!</v>
      </c>
      <c r="J310" s="4"/>
      <c r="K310" s="4"/>
      <c r="L310" s="4"/>
      <c r="M310" s="4" t="e">
        <f t="shared" si="23"/>
        <v>#DIV/0!</v>
      </c>
      <c r="P310" t="s">
        <v>192</v>
      </c>
      <c r="AJ310" s="26">
        <v>46.231189204490697</v>
      </c>
      <c r="AK310" s="26">
        <v>232.31188491403</v>
      </c>
      <c r="AL310" s="11">
        <f t="shared" si="21"/>
        <v>249.5042352810305</v>
      </c>
      <c r="AP310" s="65" t="s">
        <v>161</v>
      </c>
      <c r="AQ310" s="76">
        <v>232.31188491403</v>
      </c>
      <c r="AR310" s="76">
        <v>46.231189204490697</v>
      </c>
      <c r="AS310" s="11" t="s">
        <v>186</v>
      </c>
      <c r="AT310" s="31">
        <v>5.1996765801508397E-5</v>
      </c>
      <c r="AU310" s="31">
        <v>1.9531699287072799</v>
      </c>
      <c r="BD310" s="21" t="s">
        <v>190</v>
      </c>
    </row>
    <row r="311" spans="2:56" x14ac:dyDescent="0.3">
      <c r="B311" s="11" t="s">
        <v>170</v>
      </c>
      <c r="C311" s="4" t="s">
        <v>193</v>
      </c>
      <c r="D311" s="4"/>
      <c r="E311" s="4"/>
      <c r="F311" s="42"/>
      <c r="G311" s="4"/>
      <c r="H311" s="4"/>
      <c r="I311" s="36" t="e">
        <f t="shared" si="20"/>
        <v>#DIV/0!</v>
      </c>
      <c r="J311" s="4"/>
      <c r="K311" s="4"/>
      <c r="L311" s="4"/>
      <c r="M311" s="4" t="e">
        <f t="shared" si="23"/>
        <v>#DIV/0!</v>
      </c>
      <c r="P311" t="s">
        <v>192</v>
      </c>
      <c r="AJ311" s="26">
        <v>71.112844707171703</v>
      </c>
      <c r="AK311" s="26">
        <v>218.41663618286799</v>
      </c>
      <c r="AL311" s="11">
        <f t="shared" si="21"/>
        <v>339.24970643360393</v>
      </c>
      <c r="AP311" s="65" t="s">
        <v>161</v>
      </c>
      <c r="AQ311" s="76">
        <v>218.41663618286799</v>
      </c>
      <c r="AR311" s="76">
        <v>71.112844707171703</v>
      </c>
      <c r="AS311" s="11" t="s">
        <v>186</v>
      </c>
      <c r="AT311" s="31">
        <v>8.49168905231679E-5</v>
      </c>
      <c r="AU311" s="31">
        <v>4.2903288952385301</v>
      </c>
      <c r="BD311" s="21" t="s">
        <v>190</v>
      </c>
    </row>
    <row r="312" spans="2:56" x14ac:dyDescent="0.3">
      <c r="B312" s="11" t="s">
        <v>170</v>
      </c>
      <c r="C312" s="4" t="s">
        <v>193</v>
      </c>
      <c r="D312" s="4"/>
      <c r="E312" s="4"/>
      <c r="F312" s="42"/>
      <c r="G312" s="4"/>
      <c r="H312" s="4"/>
      <c r="I312" s="36" t="e">
        <f t="shared" si="20"/>
        <v>#DIV/0!</v>
      </c>
      <c r="J312" s="4"/>
      <c r="K312" s="4"/>
      <c r="L312" s="4"/>
      <c r="M312" s="4" t="e">
        <f t="shared" si="23"/>
        <v>#DIV/0!</v>
      </c>
      <c r="P312" t="s">
        <v>192</v>
      </c>
      <c r="AJ312" s="26">
        <v>94.759634434247104</v>
      </c>
      <c r="AK312" s="26">
        <v>176.00933994510501</v>
      </c>
      <c r="AL312" s="11">
        <f t="shared" si="21"/>
        <v>293.55859820254477</v>
      </c>
      <c r="AP312" s="65" t="s">
        <v>161</v>
      </c>
      <c r="AQ312" s="76">
        <v>176.00933994510501</v>
      </c>
      <c r="AR312" s="76">
        <v>94.759634434247104</v>
      </c>
      <c r="AS312" s="11" t="s">
        <v>186</v>
      </c>
      <c r="AT312" s="31">
        <v>1.9231965384489201E-4</v>
      </c>
      <c r="AU312" s="31">
        <v>13.4693790706995</v>
      </c>
      <c r="BD312" s="21" t="s">
        <v>190</v>
      </c>
    </row>
    <row r="313" spans="2:56" x14ac:dyDescent="0.3">
      <c r="B313" s="11" t="s">
        <v>170</v>
      </c>
      <c r="C313" s="4" t="s">
        <v>193</v>
      </c>
      <c r="D313" s="4"/>
      <c r="E313" s="4"/>
      <c r="F313" s="42"/>
      <c r="G313" s="4"/>
      <c r="H313" s="4"/>
      <c r="I313" s="36" t="e">
        <f t="shared" si="20"/>
        <v>#DIV/0!</v>
      </c>
      <c r="J313" s="4"/>
      <c r="K313" s="4"/>
      <c r="L313" s="4"/>
      <c r="M313" s="4" t="e">
        <f t="shared" si="23"/>
        <v>#DIV/0!</v>
      </c>
      <c r="P313" t="s">
        <v>192</v>
      </c>
      <c r="AJ313" s="26">
        <v>117.524894534586</v>
      </c>
      <c r="AK313" s="26">
        <v>110.82630582794501</v>
      </c>
      <c r="AL313" s="11">
        <f t="shared" si="21"/>
        <v>144.34959988334273</v>
      </c>
      <c r="AP313" s="65" t="s">
        <v>161</v>
      </c>
      <c r="AQ313" s="76">
        <v>110.82630582794501</v>
      </c>
      <c r="AR313" s="76">
        <v>117.524894534586</v>
      </c>
      <c r="AS313" s="11" t="s">
        <v>186</v>
      </c>
      <c r="AT313" s="31">
        <v>2.2647985890677499E-4</v>
      </c>
      <c r="AU313" s="31">
        <v>20.701017886469501</v>
      </c>
      <c r="BD313" s="21" t="s">
        <v>190</v>
      </c>
    </row>
    <row r="314" spans="2:56" x14ac:dyDescent="0.3">
      <c r="B314" s="11" t="s">
        <v>170</v>
      </c>
      <c r="C314" s="4" t="s">
        <v>193</v>
      </c>
      <c r="D314" s="4"/>
      <c r="E314" s="4"/>
      <c r="F314" s="42"/>
      <c r="G314" s="4"/>
      <c r="H314" s="4"/>
      <c r="I314" s="36" t="e">
        <f t="shared" ref="I314:I377" si="24">((K314)*1000)/H314</f>
        <v>#DIV/0!</v>
      </c>
      <c r="J314" s="4"/>
      <c r="K314" s="4"/>
      <c r="L314" s="4"/>
      <c r="M314" s="4" t="e">
        <f t="shared" si="23"/>
        <v>#DIV/0!</v>
      </c>
      <c r="P314" t="s">
        <v>192</v>
      </c>
      <c r="AJ314" s="26">
        <v>126.26956993616599</v>
      </c>
      <c r="AK314" s="26">
        <v>94.990149552668001</v>
      </c>
      <c r="AL314" s="11">
        <f t="shared" ref="AL314:AL377" si="25">((AK314)^2*AJ314)/10000</f>
        <v>113.93465566938249</v>
      </c>
      <c r="AP314" s="65" t="s">
        <v>161</v>
      </c>
      <c r="AQ314" s="76">
        <v>94.990149552668001</v>
      </c>
      <c r="AR314" s="76">
        <v>126.26956993616599</v>
      </c>
      <c r="AS314" s="11" t="s">
        <v>186</v>
      </c>
      <c r="AT314" s="31">
        <v>2.6670766853501801E-4</v>
      </c>
      <c r="AU314" s="31">
        <v>36.725988005980199</v>
      </c>
      <c r="BD314" s="21" t="s">
        <v>190</v>
      </c>
    </row>
    <row r="315" spans="2:56" x14ac:dyDescent="0.3">
      <c r="B315" s="11" t="s">
        <v>170</v>
      </c>
      <c r="C315" s="4" t="s">
        <v>193</v>
      </c>
      <c r="D315" s="4"/>
      <c r="E315" s="4"/>
      <c r="F315" s="42"/>
      <c r="G315" s="4"/>
      <c r="H315" s="4"/>
      <c r="I315" s="36" t="e">
        <f t="shared" si="24"/>
        <v>#DIV/0!</v>
      </c>
      <c r="J315" s="4"/>
      <c r="K315" s="4"/>
      <c r="L315" s="4"/>
      <c r="M315" s="4" t="e">
        <f t="shared" si="23"/>
        <v>#DIV/0!</v>
      </c>
      <c r="P315" t="s">
        <v>192</v>
      </c>
      <c r="AJ315" s="26">
        <v>156.604845283283</v>
      </c>
      <c r="AK315" s="26">
        <v>74.222523225623902</v>
      </c>
      <c r="AL315" s="11">
        <f t="shared" si="25"/>
        <v>86.273342317601177</v>
      </c>
      <c r="AP315" s="65" t="s">
        <v>161</v>
      </c>
      <c r="AQ315" s="76">
        <v>74.222523225623902</v>
      </c>
      <c r="AR315" s="76">
        <v>156.604845283283</v>
      </c>
      <c r="AS315" s="11" t="s">
        <v>186</v>
      </c>
      <c r="AT315" s="31">
        <v>4.3556528067790801E-4</v>
      </c>
      <c r="AU315" s="31">
        <v>65.045544220646704</v>
      </c>
      <c r="BD315" s="21" t="s">
        <v>190</v>
      </c>
    </row>
    <row r="316" spans="2:56" x14ac:dyDescent="0.3">
      <c r="B316" s="11" t="s">
        <v>170</v>
      </c>
      <c r="C316" s="4" t="s">
        <v>193</v>
      </c>
      <c r="D316" s="4"/>
      <c r="E316" s="4"/>
      <c r="F316" s="42"/>
      <c r="G316" s="4"/>
      <c r="H316" s="4"/>
      <c r="I316" s="36" t="e">
        <f t="shared" si="24"/>
        <v>#DIV/0!</v>
      </c>
      <c r="J316" s="4"/>
      <c r="K316" s="4"/>
      <c r="L316" s="4"/>
      <c r="M316" s="4" t="e">
        <f t="shared" si="23"/>
        <v>#DIV/0!</v>
      </c>
      <c r="P316" t="s">
        <v>192</v>
      </c>
      <c r="AJ316" s="26">
        <v>194.22793297386801</v>
      </c>
      <c r="AK316" s="26">
        <v>65.609131029615398</v>
      </c>
      <c r="AL316" s="11">
        <f t="shared" si="25"/>
        <v>83.606541716858032</v>
      </c>
      <c r="AP316" s="65" t="s">
        <v>161</v>
      </c>
      <c r="AQ316" s="76">
        <v>65.609131029615398</v>
      </c>
      <c r="AR316" s="76">
        <v>194.22793297386801</v>
      </c>
      <c r="AS316" s="11" t="s">
        <v>186</v>
      </c>
      <c r="AT316" s="31">
        <v>3.4083515150935698E-4</v>
      </c>
      <c r="AU316" s="31">
        <v>80.7750690691838</v>
      </c>
      <c r="BD316" s="21" t="s">
        <v>190</v>
      </c>
    </row>
    <row r="317" spans="2:56" x14ac:dyDescent="0.3">
      <c r="B317" s="11" t="s">
        <v>170</v>
      </c>
      <c r="C317" s="4" t="s">
        <v>193</v>
      </c>
      <c r="D317" s="4"/>
      <c r="E317" s="4"/>
      <c r="F317" s="42"/>
      <c r="G317" s="4"/>
      <c r="H317" s="4"/>
      <c r="I317" s="36" t="e">
        <f t="shared" si="24"/>
        <v>#DIV/0!</v>
      </c>
      <c r="J317" s="4"/>
      <c r="K317" s="4"/>
      <c r="L317" s="4"/>
      <c r="M317" s="4" t="e">
        <f t="shared" si="23"/>
        <v>#DIV/0!</v>
      </c>
      <c r="P317" t="s">
        <v>192</v>
      </c>
      <c r="AJ317" s="26">
        <v>224.20709447806101</v>
      </c>
      <c r="AK317" s="26">
        <v>63.616742692154297</v>
      </c>
      <c r="AL317" s="11">
        <f t="shared" si="25"/>
        <v>90.738627895120644</v>
      </c>
      <c r="AP317" s="65" t="s">
        <v>161</v>
      </c>
      <c r="AQ317" s="76">
        <v>63.616742692154297</v>
      </c>
      <c r="AR317" s="76">
        <v>224.20709447806101</v>
      </c>
      <c r="AS317" s="11" t="s">
        <v>186</v>
      </c>
      <c r="AT317" s="31">
        <v>1.92319653844891E-4</v>
      </c>
      <c r="AU317" s="31">
        <v>100.47889451204</v>
      </c>
      <c r="BD317" s="21" t="s">
        <v>190</v>
      </c>
    </row>
    <row r="318" spans="2:56" x14ac:dyDescent="0.3">
      <c r="B318" s="11" t="s">
        <v>170</v>
      </c>
      <c r="C318" s="4" t="s">
        <v>193</v>
      </c>
      <c r="D318" s="4"/>
      <c r="E318" s="4"/>
      <c r="F318" s="42"/>
      <c r="G318" s="4"/>
      <c r="H318" s="4"/>
      <c r="I318" s="36" t="e">
        <f t="shared" si="24"/>
        <v>#DIV/0!</v>
      </c>
      <c r="J318" s="4"/>
      <c r="K318" s="4"/>
      <c r="L318" s="4"/>
      <c r="M318" s="4" t="e">
        <f t="shared" si="23"/>
        <v>#DIV/0!</v>
      </c>
      <c r="P318" t="s">
        <v>192</v>
      </c>
      <c r="AJ318" s="26">
        <v>258.81355191612499</v>
      </c>
      <c r="AK318" s="26">
        <v>54.526439884794698</v>
      </c>
      <c r="AL318" s="11">
        <f t="shared" si="25"/>
        <v>76.948702056107564</v>
      </c>
      <c r="AP318" s="65" t="s">
        <v>161</v>
      </c>
      <c r="AQ318" s="76">
        <v>54.526439884794698</v>
      </c>
      <c r="AR318" s="76">
        <v>258.81355191612499</v>
      </c>
      <c r="AS318" s="11" t="s">
        <v>186</v>
      </c>
      <c r="AT318" s="31">
        <v>1.0851829422882701E-4</v>
      </c>
      <c r="AU318" s="31">
        <v>116.33316055965</v>
      </c>
      <c r="BD318" s="21" t="s">
        <v>190</v>
      </c>
    </row>
    <row r="319" spans="2:56" x14ac:dyDescent="0.3">
      <c r="B319" s="11" t="s">
        <v>170</v>
      </c>
      <c r="C319" s="4" t="s">
        <v>193</v>
      </c>
      <c r="D319" s="4"/>
      <c r="E319" s="4"/>
      <c r="F319" s="42"/>
      <c r="G319" s="4"/>
      <c r="H319" s="4"/>
      <c r="I319" s="36" t="e">
        <f t="shared" si="24"/>
        <v>#DIV/0!</v>
      </c>
      <c r="J319" s="4"/>
      <c r="K319" s="4"/>
      <c r="L319" s="4"/>
      <c r="M319" s="4" t="e">
        <f t="shared" si="23"/>
        <v>#DIV/0!</v>
      </c>
      <c r="P319" t="s">
        <v>192</v>
      </c>
      <c r="AJ319" s="26">
        <v>298.76153032256599</v>
      </c>
      <c r="AK319" s="26">
        <v>46.735065655551097</v>
      </c>
      <c r="AL319" s="11">
        <f t="shared" si="25"/>
        <v>65.254488473900537</v>
      </c>
      <c r="AP319" s="65" t="s">
        <v>161</v>
      </c>
      <c r="AQ319" s="76">
        <v>46.735065655551097</v>
      </c>
      <c r="AR319" s="76">
        <v>298.76153032256599</v>
      </c>
      <c r="AS319" s="11" t="s">
        <v>186</v>
      </c>
      <c r="AT319" s="31">
        <v>9.2150361107902603E-5</v>
      </c>
      <c r="AU319" s="31">
        <v>155.14854741011499</v>
      </c>
      <c r="BD319" s="21" t="s">
        <v>190</v>
      </c>
    </row>
    <row r="320" spans="2:56" x14ac:dyDescent="0.3">
      <c r="B320" s="11" t="s">
        <v>170</v>
      </c>
      <c r="C320" s="4" t="s">
        <v>193</v>
      </c>
      <c r="D320" s="4"/>
      <c r="E320" s="4"/>
      <c r="F320" s="42"/>
      <c r="G320" s="4"/>
      <c r="H320" s="4"/>
      <c r="I320" s="36" t="e">
        <f t="shared" si="24"/>
        <v>#DIV/0!</v>
      </c>
      <c r="J320" s="4"/>
      <c r="K320" s="4"/>
      <c r="L320" s="4"/>
      <c r="M320" s="4" t="e">
        <f t="shared" si="23"/>
        <v>#DIV/0!</v>
      </c>
      <c r="P320" t="s">
        <v>192</v>
      </c>
      <c r="AJ320" s="26">
        <v>298.76153032256599</v>
      </c>
      <c r="AK320" s="26">
        <v>43.939705607607898</v>
      </c>
      <c r="AL320" s="11">
        <f t="shared" si="25"/>
        <v>57.68182080714621</v>
      </c>
      <c r="AP320" s="65" t="s">
        <v>161</v>
      </c>
      <c r="AQ320" s="76">
        <v>43.939705607607898</v>
      </c>
      <c r="AR320" s="76">
        <v>298.76153032256599</v>
      </c>
      <c r="AS320" s="11" t="s">
        <v>186</v>
      </c>
      <c r="AT320" s="31">
        <v>8.49168905231679E-5</v>
      </c>
      <c r="AU320" s="31">
        <v>222.216498784621</v>
      </c>
      <c r="BD320" s="21" t="s">
        <v>190</v>
      </c>
    </row>
    <row r="321" spans="2:56" x14ac:dyDescent="0.3">
      <c r="B321" s="11" t="s">
        <v>170</v>
      </c>
      <c r="C321" s="4" t="s">
        <v>193</v>
      </c>
      <c r="D321" s="4"/>
      <c r="E321" s="4"/>
      <c r="F321" s="42"/>
      <c r="G321" s="4"/>
      <c r="H321" s="4"/>
      <c r="I321" s="36" t="e">
        <f t="shared" si="24"/>
        <v>#DIV/0!</v>
      </c>
      <c r="J321" s="4"/>
      <c r="K321" s="4"/>
      <c r="L321" s="4"/>
      <c r="M321" s="4" t="e">
        <f t="shared" si="23"/>
        <v>#DIV/0!</v>
      </c>
      <c r="P321" t="s">
        <v>192</v>
      </c>
      <c r="AJ321" s="26">
        <v>706.88806531775106</v>
      </c>
      <c r="AK321" s="26">
        <v>45.3158363760081</v>
      </c>
      <c r="AL321" s="11">
        <f t="shared" si="25"/>
        <v>145.16123330338706</v>
      </c>
      <c r="AP321" s="65" t="s">
        <v>161</v>
      </c>
      <c r="AQ321" s="76">
        <v>45.3158363760081</v>
      </c>
      <c r="AR321" s="76">
        <v>706.88806531775106</v>
      </c>
      <c r="AS321" s="11" t="s">
        <v>186</v>
      </c>
      <c r="AT321" s="31">
        <v>6.6448503889293705E-5</v>
      </c>
      <c r="AU321" s="31">
        <v>275.953614543551</v>
      </c>
      <c r="BD321" s="21" t="s">
        <v>190</v>
      </c>
    </row>
    <row r="322" spans="2:56" x14ac:dyDescent="0.3">
      <c r="B322" s="11" t="s">
        <v>170</v>
      </c>
      <c r="C322" s="4" t="s">
        <v>193</v>
      </c>
      <c r="D322" s="4"/>
      <c r="E322" s="4"/>
      <c r="F322" s="42"/>
      <c r="G322" s="4"/>
      <c r="H322" s="4"/>
      <c r="I322" s="36" t="e">
        <f t="shared" si="24"/>
        <v>#DIV/0!</v>
      </c>
      <c r="J322" s="4"/>
      <c r="K322" s="4"/>
      <c r="L322" s="4"/>
      <c r="M322" s="4" t="e">
        <f t="shared" si="23"/>
        <v>#DIV/0!</v>
      </c>
      <c r="P322" t="s">
        <v>192</v>
      </c>
      <c r="AJ322" s="26">
        <v>612.36870354251403</v>
      </c>
      <c r="AK322" s="26">
        <v>56.234132519034901</v>
      </c>
      <c r="AL322" s="11">
        <f t="shared" si="25"/>
        <v>193.64798709987647</v>
      </c>
      <c r="AP322" s="65" t="s">
        <v>161</v>
      </c>
      <c r="AQ322" s="76">
        <v>56.234132519034901</v>
      </c>
      <c r="AR322" s="76">
        <v>612.36870354251403</v>
      </c>
      <c r="AS322" s="11" t="s">
        <v>186</v>
      </c>
      <c r="AT322" s="31">
        <v>4.4154036691254999E-5</v>
      </c>
      <c r="AU322" s="31">
        <v>491.03097742895699</v>
      </c>
      <c r="BD322" s="21" t="s">
        <v>190</v>
      </c>
    </row>
    <row r="323" spans="2:56" x14ac:dyDescent="0.3">
      <c r="B323" s="11" t="s">
        <v>170</v>
      </c>
      <c r="C323" s="4" t="s">
        <v>193</v>
      </c>
      <c r="D323" s="4"/>
      <c r="E323" s="4"/>
      <c r="F323" s="42"/>
      <c r="G323" s="4"/>
      <c r="H323" s="4"/>
      <c r="I323" s="36" t="e">
        <f t="shared" si="24"/>
        <v>#DIV/0!</v>
      </c>
      <c r="J323" s="4"/>
      <c r="K323" s="4"/>
      <c r="L323" s="4"/>
      <c r="M323" s="4" t="e">
        <f t="shared" si="23"/>
        <v>#DIV/0!</v>
      </c>
      <c r="P323" t="s">
        <v>192</v>
      </c>
      <c r="AJ323" s="26">
        <v>1168.2410634298301</v>
      </c>
      <c r="AK323" s="26">
        <v>78.944418222720302</v>
      </c>
      <c r="AL323" s="11">
        <f t="shared" si="25"/>
        <v>728.07366854461111</v>
      </c>
      <c r="AP323" s="65" t="s">
        <v>161</v>
      </c>
      <c r="AQ323" s="76">
        <v>78.944418222720302</v>
      </c>
      <c r="AR323" s="76">
        <v>1168.2410634298301</v>
      </c>
      <c r="AS323" s="11" t="s">
        <v>186</v>
      </c>
      <c r="AT323" s="31">
        <v>4.4154036691254999E-5</v>
      </c>
      <c r="AU323" s="31">
        <v>608.99732444194501</v>
      </c>
      <c r="BD323" s="21" t="s">
        <v>190</v>
      </c>
    </row>
    <row r="324" spans="2:56" x14ac:dyDescent="0.3">
      <c r="B324" s="11" t="s">
        <v>170</v>
      </c>
      <c r="C324" s="4" t="s">
        <v>193</v>
      </c>
      <c r="D324" s="4"/>
      <c r="E324" s="4"/>
      <c r="F324" s="42"/>
      <c r="G324" s="4"/>
      <c r="H324" s="4"/>
      <c r="I324" s="36" t="e">
        <f t="shared" si="24"/>
        <v>#DIV/0!</v>
      </c>
      <c r="J324" s="4"/>
      <c r="K324" s="4"/>
      <c r="L324" s="4"/>
      <c r="M324" s="4" t="e">
        <f t="shared" si="23"/>
        <v>#DIV/0!</v>
      </c>
      <c r="P324" t="s">
        <v>192</v>
      </c>
      <c r="AJ324" s="26">
        <v>657.93322465756501</v>
      </c>
      <c r="AK324" s="26">
        <v>74.222523225623803</v>
      </c>
      <c r="AL324" s="11">
        <f t="shared" si="25"/>
        <v>362.45429194944779</v>
      </c>
      <c r="AP324" s="65" t="s">
        <v>161</v>
      </c>
      <c r="AQ324" s="76">
        <v>74.222523225623803</v>
      </c>
      <c r="AR324" s="76">
        <v>657.93322465756501</v>
      </c>
      <c r="AS324" s="11" t="s">
        <v>186</v>
      </c>
      <c r="AT324" s="31">
        <v>6.6448503889293502E-5</v>
      </c>
      <c r="AU324" s="31">
        <v>526.44810593146599</v>
      </c>
      <c r="BD324" s="21" t="s">
        <v>190</v>
      </c>
    </row>
    <row r="325" spans="2:56" x14ac:dyDescent="0.3">
      <c r="B325" s="11" t="s">
        <v>170</v>
      </c>
      <c r="C325" s="4" t="s">
        <v>193</v>
      </c>
      <c r="D325" s="4"/>
      <c r="E325" s="4"/>
      <c r="F325" s="42"/>
      <c r="G325" s="4"/>
      <c r="H325" s="4"/>
      <c r="I325" s="36" t="e">
        <f t="shared" si="24"/>
        <v>#DIV/0!</v>
      </c>
      <c r="J325" s="4"/>
      <c r="K325" s="4"/>
      <c r="L325" s="4"/>
      <c r="M325" s="4" t="e">
        <f t="shared" si="23"/>
        <v>#DIV/0!</v>
      </c>
      <c r="P325" t="s">
        <v>192</v>
      </c>
      <c r="AJ325" s="26">
        <v>569.95970871285499</v>
      </c>
      <c r="AK325" s="26">
        <v>69.783058485986501</v>
      </c>
      <c r="AL325" s="11">
        <f t="shared" si="25"/>
        <v>277.55186879615422</v>
      </c>
      <c r="AP325" s="65" t="s">
        <v>161</v>
      </c>
      <c r="AQ325" s="76">
        <v>69.783058485986501</v>
      </c>
      <c r="AR325" s="76">
        <v>569.95970871285499</v>
      </c>
      <c r="AS325" s="11" t="s">
        <v>186</v>
      </c>
      <c r="AT325" s="31">
        <v>1.6331186991000199E-4</v>
      </c>
      <c r="AU325" s="31">
        <v>562.98348899966595</v>
      </c>
      <c r="BD325" s="21" t="s">
        <v>190</v>
      </c>
    </row>
    <row r="326" spans="2:56" x14ac:dyDescent="0.3">
      <c r="B326" s="11" t="s">
        <v>170</v>
      </c>
      <c r="C326" s="4" t="s">
        <v>193</v>
      </c>
      <c r="D326" s="4"/>
      <c r="E326" s="4"/>
      <c r="F326" s="42"/>
      <c r="G326" s="4"/>
      <c r="H326" s="4"/>
      <c r="I326" s="36" t="e">
        <f t="shared" si="24"/>
        <v>#DIV/0!</v>
      </c>
      <c r="J326" s="4"/>
      <c r="K326" s="4"/>
      <c r="L326" s="4"/>
      <c r="M326" s="4" t="e">
        <f t="shared" si="23"/>
        <v>#DIV/0!</v>
      </c>
      <c r="P326" t="s">
        <v>192</v>
      </c>
      <c r="AJ326" s="26">
        <v>1796.98914853258</v>
      </c>
      <c r="AK326" s="26">
        <v>54.526439884794698</v>
      </c>
      <c r="AL326" s="11">
        <f t="shared" si="25"/>
        <v>534.26871029266545</v>
      </c>
      <c r="AP326" s="65" t="s">
        <v>161</v>
      </c>
      <c r="AQ326" s="76">
        <v>54.526439884794698</v>
      </c>
      <c r="AR326" s="76">
        <v>1796.98914853258</v>
      </c>
      <c r="AS326" s="11" t="s">
        <v>186</v>
      </c>
      <c r="AT326" s="31">
        <v>2.6670766853501698E-4</v>
      </c>
      <c r="AU326" s="31">
        <v>1533.7434068698401</v>
      </c>
      <c r="BD326" s="21" t="s">
        <v>190</v>
      </c>
    </row>
    <row r="327" spans="2:56" x14ac:dyDescent="0.3">
      <c r="B327" s="11" t="s">
        <v>170</v>
      </c>
      <c r="C327" s="4" t="s">
        <v>193</v>
      </c>
      <c r="D327" s="4"/>
      <c r="E327" s="4"/>
      <c r="F327" s="42"/>
      <c r="G327" s="4"/>
      <c r="H327" s="4"/>
      <c r="I327" s="36" t="e">
        <f t="shared" si="24"/>
        <v>#DIV/0!</v>
      </c>
      <c r="J327" s="4"/>
      <c r="K327" s="4"/>
      <c r="L327" s="4"/>
      <c r="M327" s="4" t="e">
        <f t="shared" si="23"/>
        <v>#DIV/0!</v>
      </c>
      <c r="P327" t="s">
        <v>192</v>
      </c>
      <c r="AJ327" s="26">
        <v>1796.98914853259</v>
      </c>
      <c r="AK327" s="26">
        <v>41.311544164995098</v>
      </c>
      <c r="AL327" s="11">
        <f t="shared" si="25"/>
        <v>306.68201757012361</v>
      </c>
      <c r="AP327" s="65" t="s">
        <v>161</v>
      </c>
      <c r="AQ327" s="76">
        <v>41.311544164995098</v>
      </c>
      <c r="AR327" s="76">
        <v>1796.98914853259</v>
      </c>
      <c r="AS327" s="11" t="s">
        <v>186</v>
      </c>
      <c r="AT327" s="31">
        <v>3.4083515150935698E-4</v>
      </c>
      <c r="AU327" s="31">
        <v>485.84542471909498</v>
      </c>
      <c r="BD327" s="21" t="s">
        <v>190</v>
      </c>
    </row>
    <row r="328" spans="2:56" x14ac:dyDescent="0.3">
      <c r="B328" s="11" t="s">
        <v>170</v>
      </c>
      <c r="C328" s="4" t="s">
        <v>193</v>
      </c>
      <c r="D328" s="4"/>
      <c r="E328" s="4"/>
      <c r="F328" s="42"/>
      <c r="G328" s="4"/>
      <c r="H328" s="4"/>
      <c r="I328" s="36" t="e">
        <f t="shared" si="24"/>
        <v>#DIV/0!</v>
      </c>
      <c r="J328" s="4"/>
      <c r="K328" s="4"/>
      <c r="L328" s="4"/>
      <c r="M328" s="4" t="e">
        <f t="shared" si="23"/>
        <v>#DIV/0!</v>
      </c>
      <c r="P328" t="s">
        <v>192</v>
      </c>
      <c r="AJ328" s="26">
        <v>298.76153032256599</v>
      </c>
      <c r="AK328" s="26">
        <v>40.057013926518103</v>
      </c>
      <c r="AL328" s="11">
        <f t="shared" si="25"/>
        <v>47.9382105101596</v>
      </c>
      <c r="AP328" s="65" t="s">
        <v>161</v>
      </c>
      <c r="AQ328" s="76">
        <v>40.057013926518103</v>
      </c>
      <c r="AR328" s="76">
        <v>298.76153032256599</v>
      </c>
      <c r="AS328" s="11" t="s">
        <v>186</v>
      </c>
      <c r="AT328" s="31">
        <v>5.1293126490432601E-4</v>
      </c>
      <c r="AU328" s="31">
        <v>993.72055715292902</v>
      </c>
      <c r="BD328" s="21" t="s">
        <v>190</v>
      </c>
    </row>
    <row r="329" spans="2:56" x14ac:dyDescent="0.3">
      <c r="B329" s="11" t="s">
        <v>170</v>
      </c>
      <c r="C329" s="4" t="s">
        <v>193</v>
      </c>
      <c r="D329" s="4"/>
      <c r="E329" s="4"/>
      <c r="F329" s="42"/>
      <c r="G329" s="4"/>
      <c r="H329" s="4"/>
      <c r="I329" s="36" t="e">
        <f t="shared" si="24"/>
        <v>#DIV/0!</v>
      </c>
      <c r="J329" s="4"/>
      <c r="K329" s="4"/>
      <c r="L329" s="4"/>
      <c r="M329" s="4" t="e">
        <f t="shared" si="23"/>
        <v>#DIV/0!</v>
      </c>
      <c r="P329" t="s">
        <v>192</v>
      </c>
      <c r="AJ329" s="26">
        <v>657.93322465757001</v>
      </c>
      <c r="AK329" s="26">
        <v>35.408468496430203</v>
      </c>
      <c r="AL329" s="11">
        <f t="shared" si="25"/>
        <v>82.489012372147997</v>
      </c>
      <c r="AP329" s="65" t="s">
        <v>161</v>
      </c>
      <c r="AQ329" s="76">
        <v>35.408468496430203</v>
      </c>
      <c r="AR329" s="76">
        <v>657.93322465757001</v>
      </c>
      <c r="AS329" s="11" t="s">
        <v>186</v>
      </c>
      <c r="AT329" s="31">
        <v>4.7266801284467198E-4</v>
      </c>
      <c r="AU329" s="31">
        <v>1765.2220937341399</v>
      </c>
      <c r="BD329" s="21" t="s">
        <v>190</v>
      </c>
    </row>
    <row r="330" spans="2:56" x14ac:dyDescent="0.3">
      <c r="B330" s="11" t="s">
        <v>170</v>
      </c>
      <c r="C330" s="4" t="s">
        <v>193</v>
      </c>
      <c r="D330" s="4"/>
      <c r="E330" s="4"/>
      <c r="F330" s="42"/>
      <c r="G330" s="4"/>
      <c r="H330" s="4"/>
      <c r="I330" s="36" t="e">
        <f t="shared" si="24"/>
        <v>#DIV/0!</v>
      </c>
      <c r="J330" s="4"/>
      <c r="K330" s="4"/>
      <c r="L330" s="4"/>
      <c r="M330" s="4" t="e">
        <f t="shared" si="23"/>
        <v>#DIV/0!</v>
      </c>
      <c r="P330" t="s">
        <v>192</v>
      </c>
      <c r="AJ330" s="26">
        <v>530.48770728612305</v>
      </c>
      <c r="AK330" s="26">
        <v>29.427271762092801</v>
      </c>
      <c r="AL330" s="11">
        <f t="shared" si="25"/>
        <v>45.938342849085942</v>
      </c>
      <c r="AP330" s="65" t="s">
        <v>161</v>
      </c>
      <c r="AQ330" s="76">
        <v>29.427271762092801</v>
      </c>
      <c r="AR330" s="76">
        <v>530.48770728612305</v>
      </c>
      <c r="AS330" s="11" t="s">
        <v>186</v>
      </c>
      <c r="AT330" s="31">
        <v>8.4916890523168198E-5</v>
      </c>
      <c r="AU330" s="31">
        <v>206.82711279297001</v>
      </c>
      <c r="BD330" s="21" t="s">
        <v>190</v>
      </c>
    </row>
    <row r="331" spans="2:56" x14ac:dyDescent="0.3">
      <c r="B331" s="11" t="s">
        <v>170</v>
      </c>
      <c r="C331" s="4" t="s">
        <v>193</v>
      </c>
      <c r="D331" s="4"/>
      <c r="E331" s="4"/>
      <c r="F331" s="42"/>
      <c r="G331" s="4"/>
      <c r="H331" s="4"/>
      <c r="I331" s="36" t="e">
        <f t="shared" si="24"/>
        <v>#DIV/0!</v>
      </c>
      <c r="J331" s="4"/>
      <c r="K331" s="4"/>
      <c r="L331" s="4"/>
      <c r="M331" s="4" t="e">
        <f t="shared" si="23"/>
        <v>#DIV/0!</v>
      </c>
      <c r="P331" t="s">
        <v>192</v>
      </c>
      <c r="AJ331" s="26">
        <v>10.2421141165779</v>
      </c>
      <c r="AK331" s="26">
        <v>9.4018709487762795</v>
      </c>
      <c r="AL331" s="11">
        <f t="shared" si="25"/>
        <v>9.0535349364523565E-2</v>
      </c>
      <c r="AP331" s="65" t="s">
        <v>161</v>
      </c>
      <c r="AQ331" s="76">
        <v>9.4018709487762795</v>
      </c>
      <c r="AR331" s="76">
        <v>10.2421141165779</v>
      </c>
      <c r="AS331" s="11" t="s">
        <v>186</v>
      </c>
      <c r="AT331" s="31">
        <v>6.1232536284783101E-5</v>
      </c>
      <c r="AU331" s="31">
        <v>565.85978422611902</v>
      </c>
      <c r="BD331" s="21" t="s">
        <v>190</v>
      </c>
    </row>
    <row r="332" spans="2:56" x14ac:dyDescent="0.3">
      <c r="B332" s="11" t="s">
        <v>170</v>
      </c>
      <c r="C332" s="4" t="s">
        <v>193</v>
      </c>
      <c r="D332" s="4"/>
      <c r="E332" s="4"/>
      <c r="F332" s="42"/>
      <c r="G332" s="4"/>
      <c r="H332" s="4"/>
      <c r="I332" s="36" t="e">
        <f t="shared" si="24"/>
        <v>#DIV/0!</v>
      </c>
      <c r="J332" s="4"/>
      <c r="K332" s="4"/>
      <c r="L332" s="4"/>
      <c r="M332" s="4" t="e">
        <f t="shared" si="23"/>
        <v>#DIV/0!</v>
      </c>
      <c r="P332" t="s">
        <v>192</v>
      </c>
      <c r="AJ332" s="26">
        <v>1.10702096101685</v>
      </c>
      <c r="AK332" s="26">
        <v>11.3128343663202</v>
      </c>
      <c r="AL332" s="11">
        <f t="shared" si="25"/>
        <v>1.4167678768515069E-2</v>
      </c>
      <c r="AP332" s="65" t="s">
        <v>161</v>
      </c>
      <c r="AQ332" s="76">
        <v>11.3128343663202</v>
      </c>
      <c r="AR332" s="76">
        <v>1.10702096101685</v>
      </c>
      <c r="AS332" s="11" t="s">
        <v>186</v>
      </c>
      <c r="AT332" s="31">
        <v>1.3867936178281701E-4</v>
      </c>
      <c r="AU332" s="31">
        <v>698.829152170886</v>
      </c>
      <c r="BD332" s="21" t="s">
        <v>190</v>
      </c>
    </row>
    <row r="333" spans="2:56" x14ac:dyDescent="0.3">
      <c r="B333" s="11" t="s">
        <v>170</v>
      </c>
      <c r="C333" s="4" t="s">
        <v>193</v>
      </c>
      <c r="D333" s="4"/>
      <c r="E333" s="4"/>
      <c r="F333" s="42"/>
      <c r="G333" s="4"/>
      <c r="H333" s="4"/>
      <c r="I333" s="36" t="e">
        <f t="shared" si="24"/>
        <v>#DIV/0!</v>
      </c>
      <c r="J333" s="4"/>
      <c r="K333" s="4"/>
      <c r="L333" s="4"/>
      <c r="M333" s="4" t="e">
        <f t="shared" si="23"/>
        <v>#DIV/0!</v>
      </c>
      <c r="P333" t="s">
        <v>192</v>
      </c>
      <c r="AJ333" s="26">
        <v>1.7233109056134999E-2</v>
      </c>
      <c r="AK333" s="26">
        <v>12.7980221399795</v>
      </c>
      <c r="AL333" s="11">
        <f t="shared" si="25"/>
        <v>2.8226000874296441E-4</v>
      </c>
      <c r="AP333" s="65" t="s">
        <v>161</v>
      </c>
      <c r="AQ333" s="76">
        <v>12.7980221399795</v>
      </c>
      <c r="AR333" s="76">
        <v>1.7233109056134999E-2</v>
      </c>
      <c r="AS333" s="11" t="s">
        <v>186</v>
      </c>
      <c r="AT333" s="31">
        <v>2.26479858906776E-4</v>
      </c>
      <c r="AU333" s="31">
        <v>562.02797657098199</v>
      </c>
      <c r="BD333" s="21" t="s">
        <v>190</v>
      </c>
    </row>
    <row r="334" spans="2:56" x14ac:dyDescent="0.3">
      <c r="B334" s="11" t="s">
        <v>170</v>
      </c>
      <c r="C334" s="4" t="s">
        <v>193</v>
      </c>
      <c r="D334" s="4"/>
      <c r="E334" s="4"/>
      <c r="F334" s="42"/>
      <c r="G334" s="4"/>
      <c r="H334" s="4"/>
      <c r="I334" s="36" t="e">
        <f t="shared" si="24"/>
        <v>#DIV/0!</v>
      </c>
      <c r="J334" s="4"/>
      <c r="K334" s="4"/>
      <c r="L334" s="4"/>
      <c r="M334" s="4" t="e">
        <f t="shared" si="23"/>
        <v>#DIV/0!</v>
      </c>
      <c r="P334" t="s">
        <v>192</v>
      </c>
      <c r="AJ334" s="26">
        <v>5.4659082531868797E-3</v>
      </c>
      <c r="AK334" s="26">
        <v>13.198838481326201</v>
      </c>
      <c r="AL334" s="11">
        <f t="shared" si="25"/>
        <v>9.5221225429053763E-5</v>
      </c>
      <c r="AP334" s="65" t="s">
        <v>161</v>
      </c>
      <c r="AQ334" s="76">
        <v>13.198838481326201</v>
      </c>
      <c r="AR334" s="76">
        <v>5.4659082531868797E-3</v>
      </c>
      <c r="AS334" s="11" t="s">
        <v>186</v>
      </c>
      <c r="AT334" s="31">
        <v>2.26469858906776E-4</v>
      </c>
      <c r="AU334" s="31">
        <v>562.02767657098195</v>
      </c>
      <c r="BD334" s="21" t="s">
        <v>190</v>
      </c>
    </row>
    <row r="335" spans="2:56" x14ac:dyDescent="0.3">
      <c r="B335" s="11" t="s">
        <v>171</v>
      </c>
      <c r="C335" s="4" t="s">
        <v>194</v>
      </c>
      <c r="D335" s="4"/>
      <c r="E335" s="4"/>
      <c r="F335" s="42"/>
      <c r="G335" s="4"/>
      <c r="H335" s="4"/>
      <c r="I335" s="36" t="e">
        <f t="shared" si="24"/>
        <v>#DIV/0!</v>
      </c>
      <c r="J335" s="4"/>
      <c r="K335" s="4"/>
      <c r="L335" s="4"/>
      <c r="M335" s="4" t="e">
        <f t="shared" si="23"/>
        <v>#DIV/0!</v>
      </c>
      <c r="P335" t="s">
        <v>192</v>
      </c>
      <c r="AJ335" s="26">
        <v>7.9670712535580094E-6</v>
      </c>
      <c r="AK335" s="26">
        <v>336.34557179068298</v>
      </c>
      <c r="AL335" s="11">
        <f t="shared" si="25"/>
        <v>9.0130157476172394E-5</v>
      </c>
      <c r="AP335" s="65" t="s">
        <v>161</v>
      </c>
      <c r="AQ335" s="76">
        <v>336.34557179068298</v>
      </c>
      <c r="AR335" s="76">
        <v>7.9670712535580094E-6</v>
      </c>
      <c r="AS335" s="11" t="s">
        <v>186</v>
      </c>
      <c r="AT335" s="29">
        <v>9.2150361107902798E-11</v>
      </c>
      <c r="AU335" s="29">
        <v>7.3463630873108299E-6</v>
      </c>
      <c r="BD335" s="21" t="s">
        <v>190</v>
      </c>
    </row>
    <row r="336" spans="2:56" x14ac:dyDescent="0.3">
      <c r="B336" s="11" t="s">
        <v>171</v>
      </c>
      <c r="C336" s="4" t="s">
        <v>194</v>
      </c>
      <c r="D336" s="4"/>
      <c r="E336" s="4"/>
      <c r="F336" s="42"/>
      <c r="G336" s="4"/>
      <c r="H336" s="4"/>
      <c r="I336" s="36" t="e">
        <f t="shared" si="24"/>
        <v>#DIV/0!</v>
      </c>
      <c r="J336" s="4"/>
      <c r="K336" s="4"/>
      <c r="L336" s="4"/>
      <c r="M336" s="4" t="e">
        <f t="shared" si="23"/>
        <v>#DIV/0!</v>
      </c>
      <c r="P336" t="s">
        <v>192</v>
      </c>
      <c r="AJ336" s="26">
        <v>2.0253193243252899E-5</v>
      </c>
      <c r="AK336" s="26">
        <v>430.45580744612403</v>
      </c>
      <c r="AL336" s="11">
        <f t="shared" si="25"/>
        <v>3.7527587768972911E-4</v>
      </c>
      <c r="AP336" s="65" t="s">
        <v>161</v>
      </c>
      <c r="AQ336" s="76">
        <v>430.45580744612403</v>
      </c>
      <c r="AR336" s="76">
        <v>2.0253193243252899E-5</v>
      </c>
      <c r="AS336" s="11" t="s">
        <v>186</v>
      </c>
      <c r="AT336" s="29">
        <v>3.6986849255019202E-10</v>
      </c>
      <c r="AU336" s="29">
        <v>1.85409451075115E-5</v>
      </c>
      <c r="BD336" s="21" t="s">
        <v>190</v>
      </c>
    </row>
    <row r="337" spans="2:56" x14ac:dyDescent="0.3">
      <c r="B337" s="11" t="s">
        <v>171</v>
      </c>
      <c r="C337" s="4" t="s">
        <v>194</v>
      </c>
      <c r="D337" s="4"/>
      <c r="E337" s="4"/>
      <c r="F337" s="42"/>
      <c r="G337" s="4"/>
      <c r="H337" s="4"/>
      <c r="I337" s="36" t="e">
        <f t="shared" si="24"/>
        <v>#DIV/0!</v>
      </c>
      <c r="J337" s="4"/>
      <c r="K337" s="4"/>
      <c r="L337" s="4"/>
      <c r="M337" s="4" t="e">
        <f t="shared" si="23"/>
        <v>#DIV/0!</v>
      </c>
      <c r="P337" t="s">
        <v>192</v>
      </c>
      <c r="AJ337" s="26">
        <v>2.17601726918124E-5</v>
      </c>
      <c r="AK337" s="26">
        <v>517.94746792312105</v>
      </c>
      <c r="AL337" s="11">
        <f t="shared" si="25"/>
        <v>5.8375923784885822E-4</v>
      </c>
      <c r="AP337" s="65" t="s">
        <v>161</v>
      </c>
      <c r="AQ337" s="76">
        <v>517.94746792312105</v>
      </c>
      <c r="AR337" s="76">
        <v>2.17601726918124E-5</v>
      </c>
      <c r="AS337" s="11" t="s">
        <v>186</v>
      </c>
      <c r="AT337" s="29">
        <v>6.0403915139165999E-10</v>
      </c>
      <c r="AU337" s="29">
        <v>2.1348282676774501E-5</v>
      </c>
      <c r="BD337" s="21" t="s">
        <v>190</v>
      </c>
    </row>
    <row r="338" spans="2:56" x14ac:dyDescent="0.3">
      <c r="B338" s="11" t="s">
        <v>171</v>
      </c>
      <c r="C338" s="4" t="s">
        <v>194</v>
      </c>
      <c r="D338" s="4"/>
      <c r="E338" s="4"/>
      <c r="F338" s="42"/>
      <c r="G338" s="4"/>
      <c r="H338" s="4"/>
      <c r="I338" s="36" t="e">
        <f t="shared" si="24"/>
        <v>#DIV/0!</v>
      </c>
      <c r="J338" s="4"/>
      <c r="K338" s="4"/>
      <c r="L338" s="4"/>
      <c r="M338" s="4" t="e">
        <f t="shared" si="23"/>
        <v>#DIV/0!</v>
      </c>
      <c r="P338" t="s">
        <v>192</v>
      </c>
      <c r="AJ338" s="26">
        <v>2.89959713746939E-5</v>
      </c>
      <c r="AK338" s="26">
        <v>550.89829539782704</v>
      </c>
      <c r="AL338" s="11">
        <f t="shared" si="25"/>
        <v>8.7999563811036517E-4</v>
      </c>
      <c r="AP338" s="65" t="s">
        <v>161</v>
      </c>
      <c r="AQ338" s="76">
        <v>550.89829539782704</v>
      </c>
      <c r="AR338" s="76">
        <v>2.89959713746939E-5</v>
      </c>
      <c r="AS338" s="11" t="s">
        <v>186</v>
      </c>
      <c r="AT338" s="29">
        <v>9.0903348613840197E-10</v>
      </c>
      <c r="AU338" s="29">
        <v>3.0498954062984599E-5</v>
      </c>
      <c r="BD338" s="21" t="s">
        <v>190</v>
      </c>
    </row>
    <row r="339" spans="2:56" x14ac:dyDescent="0.3">
      <c r="B339" s="11" t="s">
        <v>171</v>
      </c>
      <c r="C339" s="4" t="s">
        <v>194</v>
      </c>
      <c r="D339" s="4"/>
      <c r="E339" s="4"/>
      <c r="F339" s="42"/>
      <c r="G339" s="4"/>
      <c r="H339" s="4"/>
      <c r="I339" s="36" t="e">
        <f t="shared" si="24"/>
        <v>#DIV/0!</v>
      </c>
      <c r="J339" s="4"/>
      <c r="K339" s="4"/>
      <c r="L339" s="4"/>
      <c r="M339" s="4" t="e">
        <f t="shared" si="23"/>
        <v>#DIV/0!</v>
      </c>
      <c r="P339" t="s">
        <v>192</v>
      </c>
      <c r="AJ339" s="26">
        <v>3.3471511506863597E-5</v>
      </c>
      <c r="AK339" s="26">
        <v>502.21867410566</v>
      </c>
      <c r="AL339" s="11">
        <f t="shared" si="25"/>
        <v>8.4423050165838179E-4</v>
      </c>
      <c r="AP339" s="65" t="s">
        <v>161</v>
      </c>
      <c r="AQ339" s="76">
        <v>502.21867410566</v>
      </c>
      <c r="AR339" s="76">
        <v>3.3471511506863597E-5</v>
      </c>
      <c r="AS339" s="11" t="s">
        <v>186</v>
      </c>
      <c r="AT339" s="29">
        <v>8.3767764006829501E-10</v>
      </c>
      <c r="AU339" s="29">
        <v>2.8398836384688299E-5</v>
      </c>
      <c r="BD339" s="21" t="s">
        <v>190</v>
      </c>
    </row>
    <row r="340" spans="2:56" x14ac:dyDescent="0.3">
      <c r="B340" s="11" t="s">
        <v>171</v>
      </c>
      <c r="C340" s="4" t="s">
        <v>194</v>
      </c>
      <c r="D340" s="4"/>
      <c r="E340" s="4"/>
      <c r="F340" s="42"/>
      <c r="G340" s="4"/>
      <c r="H340" s="4"/>
      <c r="I340" s="36" t="e">
        <f t="shared" si="24"/>
        <v>#DIV/0!</v>
      </c>
      <c r="J340" s="4"/>
      <c r="K340" s="4"/>
      <c r="L340" s="4"/>
      <c r="M340" s="4" t="e">
        <f t="shared" si="23"/>
        <v>#DIV/0!</v>
      </c>
      <c r="P340" t="s">
        <v>192</v>
      </c>
      <c r="AJ340" s="26">
        <v>3.59620264270166E-5</v>
      </c>
      <c r="AK340" s="26">
        <v>902.31285120382199</v>
      </c>
      <c r="AL340" s="11">
        <f t="shared" si="25"/>
        <v>2.9279148445861508E-3</v>
      </c>
      <c r="AP340" s="65" t="s">
        <v>161</v>
      </c>
      <c r="AQ340" s="76">
        <v>902.31285120382199</v>
      </c>
      <c r="AR340" s="76">
        <v>3.59620264270166E-5</v>
      </c>
      <c r="AS340" s="11" t="s">
        <v>186</v>
      </c>
      <c r="AT340" s="29">
        <v>1.07049784858807E-9</v>
      </c>
      <c r="AU340" s="29">
        <v>3.7793975519232602E-5</v>
      </c>
      <c r="BD340" s="21" t="s">
        <v>190</v>
      </c>
    </row>
    <row r="341" spans="2:56" x14ac:dyDescent="0.3">
      <c r="B341" s="11" t="s">
        <v>171</v>
      </c>
      <c r="C341" s="4" t="s">
        <v>194</v>
      </c>
      <c r="D341" s="4"/>
      <c r="E341" s="4"/>
      <c r="F341" s="42"/>
      <c r="G341" s="4"/>
      <c r="H341" s="4"/>
      <c r="I341" s="36" t="e">
        <f t="shared" si="24"/>
        <v>#DIV/0!</v>
      </c>
      <c r="J341" s="4"/>
      <c r="K341" s="4"/>
      <c r="L341" s="4"/>
      <c r="M341" s="4" t="e">
        <f t="shared" si="23"/>
        <v>#DIV/0!</v>
      </c>
      <c r="P341" t="s">
        <v>192</v>
      </c>
      <c r="AJ341" s="26">
        <v>5.5316811976172101E-5</v>
      </c>
      <c r="AK341" s="26">
        <v>930.57204092969801</v>
      </c>
      <c r="AL341" s="11">
        <f t="shared" si="25"/>
        <v>4.7902385653381726E-3</v>
      </c>
      <c r="AP341" s="65" t="s">
        <v>161</v>
      </c>
      <c r="AQ341" s="76">
        <v>930.57204092969801</v>
      </c>
      <c r="AR341" s="76">
        <v>5.5316811976172101E-5</v>
      </c>
      <c r="AS341" s="11" t="s">
        <v>186</v>
      </c>
      <c r="AT341" s="29">
        <v>1.6110187377154E-9</v>
      </c>
      <c r="AU341" s="29">
        <v>4.6774259005139903E-5</v>
      </c>
      <c r="BD341" s="21" t="s">
        <v>190</v>
      </c>
    </row>
    <row r="342" spans="2:56" x14ac:dyDescent="0.3">
      <c r="B342" s="11" t="s">
        <v>171</v>
      </c>
      <c r="C342" s="4" t="s">
        <v>194</v>
      </c>
      <c r="D342" s="4"/>
      <c r="E342" s="4"/>
      <c r="F342" s="42"/>
      <c r="G342" s="4"/>
      <c r="H342" s="4"/>
      <c r="I342" s="36" t="e">
        <f t="shared" si="24"/>
        <v>#DIV/0!</v>
      </c>
      <c r="J342" s="4"/>
      <c r="K342" s="4"/>
      <c r="L342" s="4"/>
      <c r="M342" s="4" t="e">
        <f t="shared" si="23"/>
        <v>#DIV/0!</v>
      </c>
      <c r="P342" t="s">
        <v>192</v>
      </c>
      <c r="AJ342" s="26">
        <v>5.14859003382658E-5</v>
      </c>
      <c r="AK342" s="26">
        <v>472.17951620069499</v>
      </c>
      <c r="AL342" s="11">
        <f t="shared" si="25"/>
        <v>1.147896145038612E-3</v>
      </c>
      <c r="AP342" s="65" t="s">
        <v>161</v>
      </c>
      <c r="AQ342" s="76">
        <v>472.17951620069499</v>
      </c>
      <c r="AR342" s="76">
        <v>5.14859003382658E-5</v>
      </c>
      <c r="AS342" s="11" t="s">
        <v>186</v>
      </c>
      <c r="AT342" s="29">
        <v>1.3680270178135199E-9</v>
      </c>
      <c r="AU342" s="29">
        <v>6.7022393598087197E-5</v>
      </c>
      <c r="BD342" s="21" t="s">
        <v>190</v>
      </c>
    </row>
    <row r="343" spans="2:56" x14ac:dyDescent="0.3">
      <c r="B343" s="11" t="s">
        <v>171</v>
      </c>
      <c r="C343" s="4" t="s">
        <v>194</v>
      </c>
      <c r="D343" s="4"/>
      <c r="E343" s="4"/>
      <c r="F343" s="42"/>
      <c r="G343" s="4"/>
      <c r="H343" s="4"/>
      <c r="I343" s="36" t="e">
        <f t="shared" si="24"/>
        <v>#DIV/0!</v>
      </c>
      <c r="J343" s="4"/>
      <c r="K343" s="4"/>
      <c r="L343" s="4"/>
      <c r="M343" s="4" t="e">
        <f t="shared" si="23"/>
        <v>#DIV/0!</v>
      </c>
      <c r="P343" t="s">
        <v>192</v>
      </c>
      <c r="AJ343" s="26">
        <v>5.5316811976172101E-5</v>
      </c>
      <c r="AK343" s="26">
        <v>443.93708759745601</v>
      </c>
      <c r="AL343" s="11">
        <f t="shared" si="25"/>
        <v>1.0901844923851232E-3</v>
      </c>
      <c r="AP343" s="65" t="s">
        <v>161</v>
      </c>
      <c r="AQ343" s="76">
        <v>443.93708759745601</v>
      </c>
      <c r="AR343" s="76">
        <v>5.5316811976172101E-5</v>
      </c>
      <c r="AS343" s="11" t="s">
        <v>186</v>
      </c>
      <c r="AT343" s="29">
        <v>9.8646763312623193E-10</v>
      </c>
      <c r="AU343" s="29">
        <v>7.2131753336653398E-5</v>
      </c>
      <c r="BD343" s="21" t="s">
        <v>190</v>
      </c>
    </row>
    <row r="344" spans="2:56" x14ac:dyDescent="0.3">
      <c r="B344" s="11" t="s">
        <v>171</v>
      </c>
      <c r="C344" s="4" t="s">
        <v>194</v>
      </c>
      <c r="D344" s="4"/>
      <c r="E344" s="4"/>
      <c r="F344" s="42"/>
      <c r="G344" s="4"/>
      <c r="H344" s="4"/>
      <c r="I344" s="36" t="e">
        <f t="shared" si="24"/>
        <v>#DIV/0!</v>
      </c>
      <c r="J344" s="4"/>
      <c r="K344" s="4"/>
      <c r="L344" s="4"/>
      <c r="M344" s="4" t="e">
        <f t="shared" si="23"/>
        <v>#DIV/0!</v>
      </c>
      <c r="P344" t="s">
        <v>192</v>
      </c>
      <c r="AJ344" s="26">
        <v>6.8606242861777794E-5</v>
      </c>
      <c r="AK344" s="26">
        <v>430.45580744612403</v>
      </c>
      <c r="AL344" s="11">
        <f t="shared" si="25"/>
        <v>1.2712201822063505E-3</v>
      </c>
      <c r="AP344" s="65" t="s">
        <v>161</v>
      </c>
      <c r="AQ344" s="76">
        <v>430.45580744612403</v>
      </c>
      <c r="AR344" s="76">
        <v>6.8606242861777794E-5</v>
      </c>
      <c r="AS344" s="11" t="s">
        <v>186</v>
      </c>
      <c r="AT344" s="29">
        <v>2.6309848251635698E-9</v>
      </c>
      <c r="AU344" s="29">
        <v>7.1765103817494994E-5</v>
      </c>
      <c r="BD344" s="21" t="s">
        <v>190</v>
      </c>
    </row>
    <row r="345" spans="2:56" x14ac:dyDescent="0.3">
      <c r="B345" s="11" t="s">
        <v>171</v>
      </c>
      <c r="C345" s="4" t="s">
        <v>194</v>
      </c>
      <c r="D345" s="4"/>
      <c r="E345" s="4"/>
      <c r="F345" s="42"/>
      <c r="G345" s="4"/>
      <c r="H345" s="4"/>
      <c r="I345" s="36" t="e">
        <f t="shared" si="24"/>
        <v>#DIV/0!</v>
      </c>
      <c r="J345" s="4"/>
      <c r="K345" s="4"/>
      <c r="L345" s="4"/>
      <c r="M345" s="4" t="e">
        <f t="shared" si="23"/>
        <v>#DIV/0!</v>
      </c>
      <c r="P345" t="s">
        <v>192</v>
      </c>
      <c r="AJ345" s="26">
        <v>7.9195644723073705E-5</v>
      </c>
      <c r="AK345" s="26">
        <v>404.708995075975</v>
      </c>
      <c r="AL345" s="11">
        <f t="shared" si="25"/>
        <v>1.2971404811009158E-3</v>
      </c>
      <c r="AP345" s="65" t="s">
        <v>161</v>
      </c>
      <c r="AQ345" s="76">
        <v>404.708995075975</v>
      </c>
      <c r="AR345" s="76">
        <v>7.9195644723073705E-5</v>
      </c>
      <c r="AS345" s="11" t="s">
        <v>186</v>
      </c>
      <c r="AT345" s="29">
        <v>5.4909181555364097E-9</v>
      </c>
      <c r="AU345" s="29">
        <v>4.9935486229459597E-5</v>
      </c>
      <c r="BD345" s="21" t="s">
        <v>190</v>
      </c>
    </row>
    <row r="346" spans="2:56" x14ac:dyDescent="0.3">
      <c r="B346" s="11" t="s">
        <v>171</v>
      </c>
      <c r="C346" s="4" t="s">
        <v>194</v>
      </c>
      <c r="D346" s="4"/>
      <c r="E346" s="4"/>
      <c r="F346" s="42"/>
      <c r="G346" s="4"/>
      <c r="H346" s="4"/>
      <c r="I346" s="36" t="e">
        <f t="shared" si="24"/>
        <v>#DIV/0!</v>
      </c>
      <c r="J346" s="4"/>
      <c r="K346" s="4"/>
      <c r="L346" s="4"/>
      <c r="M346" s="4" t="e">
        <f t="shared" si="23"/>
        <v>#DIV/0!</v>
      </c>
      <c r="P346" t="s">
        <v>192</v>
      </c>
      <c r="AJ346" s="26">
        <v>8.5088355446743906E-5</v>
      </c>
      <c r="AK346" s="26">
        <v>357.743233897994</v>
      </c>
      <c r="AL346" s="11">
        <f t="shared" si="25"/>
        <v>1.0889626568618726E-3</v>
      </c>
      <c r="AP346" s="65" t="s">
        <v>161</v>
      </c>
      <c r="AQ346" s="76">
        <v>357.743233897994</v>
      </c>
      <c r="AR346" s="76">
        <v>8.5088355446743906E-5</v>
      </c>
      <c r="AS346" s="11" t="s">
        <v>186</v>
      </c>
      <c r="AT346" s="29">
        <v>3.9594342553549501E-9</v>
      </c>
      <c r="AU346" s="29">
        <v>8.8817318299369406E-5</v>
      </c>
      <c r="BD346" s="21" t="s">
        <v>190</v>
      </c>
    </row>
    <row r="347" spans="2:56" x14ac:dyDescent="0.3">
      <c r="B347" s="11" t="s">
        <v>171</v>
      </c>
      <c r="C347" s="4" t="s">
        <v>194</v>
      </c>
      <c r="D347" s="4"/>
      <c r="E347" s="4"/>
      <c r="F347" s="42"/>
      <c r="G347" s="4"/>
      <c r="H347" s="4"/>
      <c r="I347" s="36" t="e">
        <f t="shared" si="24"/>
        <v>#DIV/0!</v>
      </c>
      <c r="J347" s="4"/>
      <c r="K347" s="4"/>
      <c r="L347" s="4"/>
      <c r="M347" s="4" t="e">
        <f t="shared" si="23"/>
        <v>#DIV/0!</v>
      </c>
      <c r="P347" t="s">
        <v>192</v>
      </c>
      <c r="AJ347" s="26">
        <v>6.8606242861777794E-5</v>
      </c>
      <c r="AK347" s="26">
        <v>568.15166758302803</v>
      </c>
      <c r="AL347" s="11">
        <f t="shared" si="25"/>
        <v>2.2145842544879731E-3</v>
      </c>
      <c r="AP347" s="65" t="s">
        <v>161</v>
      </c>
      <c r="AQ347" s="76">
        <v>568.15166758302803</v>
      </c>
      <c r="AR347" s="76">
        <v>6.8606242861777794E-5</v>
      </c>
      <c r="AS347" s="11" t="s">
        <v>186</v>
      </c>
      <c r="AT347" s="29">
        <v>7.0170382867038598E-9</v>
      </c>
      <c r="AU347" s="29">
        <v>1.2678001398962901E-4</v>
      </c>
      <c r="BD347" s="21" t="s">
        <v>190</v>
      </c>
    </row>
    <row r="348" spans="2:56" x14ac:dyDescent="0.3">
      <c r="B348" s="11" t="s">
        <v>171</v>
      </c>
      <c r="C348" s="4" t="s">
        <v>194</v>
      </c>
      <c r="D348" s="4"/>
      <c r="E348" s="4"/>
      <c r="F348" s="42"/>
      <c r="G348" s="4"/>
      <c r="H348" s="4"/>
      <c r="I348" s="36" t="e">
        <f t="shared" si="24"/>
        <v>#DIV/0!</v>
      </c>
      <c r="J348" s="4"/>
      <c r="K348" s="4"/>
      <c r="L348" s="4"/>
      <c r="M348" s="4" t="e">
        <f t="shared" si="23"/>
        <v>#DIV/0!</v>
      </c>
      <c r="P348" t="s">
        <v>192</v>
      </c>
      <c r="AJ348" s="26">
        <v>1.13382350121784E-4</v>
      </c>
      <c r="AK348" s="26">
        <v>550.89829539782704</v>
      </c>
      <c r="AL348" s="11">
        <f t="shared" si="25"/>
        <v>3.4410288331623603E-3</v>
      </c>
      <c r="AP348" s="65" t="s">
        <v>161</v>
      </c>
      <c r="AQ348" s="76">
        <v>550.89829539782704</v>
      </c>
      <c r="AR348" s="76">
        <v>1.13382350121784E-4</v>
      </c>
      <c r="AS348" s="11" t="s">
        <v>186</v>
      </c>
      <c r="AT348" s="29">
        <v>2.0587777568216E-9</v>
      </c>
      <c r="AU348" s="29">
        <v>1.8266755487957999E-4</v>
      </c>
      <c r="BD348" s="21" t="s">
        <v>190</v>
      </c>
    </row>
    <row r="349" spans="2:56" x14ac:dyDescent="0.3">
      <c r="B349" s="11" t="s">
        <v>171</v>
      </c>
      <c r="C349" s="4" t="s">
        <v>194</v>
      </c>
      <c r="D349" s="4"/>
      <c r="E349" s="4"/>
      <c r="F349" s="42"/>
      <c r="G349" s="4"/>
      <c r="H349" s="4"/>
      <c r="I349" s="36" t="e">
        <f t="shared" si="24"/>
        <v>#DIV/0!</v>
      </c>
      <c r="J349" s="4"/>
      <c r="K349" s="4"/>
      <c r="L349" s="4"/>
      <c r="M349" s="4" t="e">
        <f t="shared" si="23"/>
        <v>#DIV/0!</v>
      </c>
      <c r="P349" t="s">
        <v>192</v>
      </c>
      <c r="AJ349" s="26">
        <v>1.21818791201011E-4</v>
      </c>
      <c r="AK349" s="26">
        <v>705.04085813783797</v>
      </c>
      <c r="AL349" s="11">
        <f t="shared" si="25"/>
        <v>6.055400287748188E-3</v>
      </c>
      <c r="AP349" s="65" t="s">
        <v>161</v>
      </c>
      <c r="AQ349" s="76">
        <v>705.04085813783797</v>
      </c>
      <c r="AR349" s="76">
        <v>1.21818791201011E-4</v>
      </c>
      <c r="AS349" s="11" t="s">
        <v>186</v>
      </c>
      <c r="AT349" s="29">
        <v>3.64863296413956E-9</v>
      </c>
      <c r="AU349" s="29">
        <v>1.6951243703729901E-4</v>
      </c>
      <c r="BD349" s="21" t="s">
        <v>190</v>
      </c>
    </row>
    <row r="350" spans="2:56" x14ac:dyDescent="0.3">
      <c r="B350" s="11" t="s">
        <v>171</v>
      </c>
      <c r="C350" s="4" t="s">
        <v>194</v>
      </c>
      <c r="D350" s="4"/>
      <c r="E350" s="4"/>
      <c r="F350" s="42"/>
      <c r="G350" s="4"/>
      <c r="H350" s="4"/>
      <c r="I350" s="36" t="e">
        <f t="shared" si="24"/>
        <v>#DIV/0!</v>
      </c>
      <c r="J350" s="4"/>
      <c r="K350" s="4"/>
      <c r="L350" s="4"/>
      <c r="M350" s="4" t="e">
        <f t="shared" si="23"/>
        <v>#DIV/0!</v>
      </c>
      <c r="P350" t="s">
        <v>192</v>
      </c>
      <c r="AJ350" s="26">
        <v>2.1630419143595401E-4</v>
      </c>
      <c r="AK350" s="26">
        <v>642.74057103154098</v>
      </c>
      <c r="AL350" s="11">
        <f t="shared" si="25"/>
        <v>8.9358601575799789E-3</v>
      </c>
      <c r="AP350" s="65" t="s">
        <v>161</v>
      </c>
      <c r="AQ350" s="76">
        <v>642.74057103154098</v>
      </c>
      <c r="AR350" s="76">
        <v>2.1630419143595401E-4</v>
      </c>
      <c r="AS350" s="11" t="s">
        <v>186</v>
      </c>
      <c r="AT350" s="29">
        <v>6.4662261202773599E-9</v>
      </c>
      <c r="AU350" s="29">
        <v>2.5997018186921998E-4</v>
      </c>
      <c r="BD350" s="21" t="s">
        <v>190</v>
      </c>
    </row>
    <row r="351" spans="2:56" x14ac:dyDescent="0.3">
      <c r="B351" s="11" t="s">
        <v>171</v>
      </c>
      <c r="C351" s="4" t="s">
        <v>194</v>
      </c>
      <c r="D351" s="4"/>
      <c r="E351" s="4"/>
      <c r="F351" s="42"/>
      <c r="G351" s="4"/>
      <c r="H351" s="4"/>
      <c r="I351" s="36" t="e">
        <f t="shared" si="24"/>
        <v>#DIV/0!</v>
      </c>
      <c r="J351" s="4"/>
      <c r="K351" s="4"/>
      <c r="L351" s="4"/>
      <c r="M351" s="4" t="e">
        <f t="shared" si="23"/>
        <v>#DIV/0!</v>
      </c>
      <c r="P351" t="s">
        <v>192</v>
      </c>
      <c r="AJ351" s="26">
        <v>1.87381742286038E-4</v>
      </c>
      <c r="AK351" s="26">
        <v>585.94539150692106</v>
      </c>
      <c r="AL351" s="11">
        <f t="shared" si="25"/>
        <v>6.4334148685121122E-3</v>
      </c>
      <c r="AP351" s="65" t="s">
        <v>161</v>
      </c>
      <c r="AQ351" s="76">
        <v>585.94539150692106</v>
      </c>
      <c r="AR351" s="76">
        <v>1.87381742286038E-4</v>
      </c>
      <c r="AS351" s="11" t="s">
        <v>186</v>
      </c>
      <c r="AT351" s="29">
        <v>8.2634187892093599E-9</v>
      </c>
      <c r="AU351" s="29">
        <v>2.5963918973265899E-4</v>
      </c>
      <c r="BD351" s="21" t="s">
        <v>190</v>
      </c>
    </row>
    <row r="352" spans="2:56" x14ac:dyDescent="0.3">
      <c r="B352" s="11" t="s">
        <v>171</v>
      </c>
      <c r="C352" s="4" t="s">
        <v>194</v>
      </c>
      <c r="D352" s="4"/>
      <c r="E352" s="4"/>
      <c r="F352" s="42"/>
      <c r="G352" s="4"/>
      <c r="H352" s="4"/>
      <c r="I352" s="36" t="e">
        <f t="shared" si="24"/>
        <v>#DIV/0!</v>
      </c>
      <c r="J352" s="4"/>
      <c r="K352" s="4"/>
      <c r="L352" s="4"/>
      <c r="M352" s="4" t="e">
        <f t="shared" ref="M352:M415" si="26">K352/L352</f>
        <v>#DIV/0!</v>
      </c>
      <c r="P352" t="s">
        <v>192</v>
      </c>
      <c r="AJ352" s="26">
        <v>1.74404803239659E-4</v>
      </c>
      <c r="AK352" s="26">
        <v>568.15166758302803</v>
      </c>
      <c r="AL352" s="11">
        <f t="shared" si="25"/>
        <v>5.6297228218687703E-3</v>
      </c>
      <c r="AP352" s="65" t="s">
        <v>161</v>
      </c>
      <c r="AQ352" s="76">
        <v>568.15166758302803</v>
      </c>
      <c r="AR352" s="76">
        <v>1.74404803239659E-4</v>
      </c>
      <c r="AS352" s="11" t="s">
        <v>186</v>
      </c>
      <c r="AT352" s="29">
        <v>4.2967105150230399E-9</v>
      </c>
      <c r="AU352" s="29">
        <v>2.6052277337131399E-4</v>
      </c>
      <c r="BD352" s="21" t="s">
        <v>190</v>
      </c>
    </row>
    <row r="353" spans="2:56" x14ac:dyDescent="0.3">
      <c r="B353" s="11" t="s">
        <v>171</v>
      </c>
      <c r="C353" s="4" t="s">
        <v>194</v>
      </c>
      <c r="D353" s="4"/>
      <c r="E353" s="4"/>
      <c r="F353" s="42"/>
      <c r="G353" s="4"/>
      <c r="H353" s="4"/>
      <c r="I353" s="36" t="e">
        <f t="shared" si="24"/>
        <v>#DIV/0!</v>
      </c>
      <c r="J353" s="4"/>
      <c r="K353" s="4"/>
      <c r="L353" s="4"/>
      <c r="M353" s="4" t="e">
        <f t="shared" si="26"/>
        <v>#DIV/0!</v>
      </c>
      <c r="P353" t="s">
        <v>192</v>
      </c>
      <c r="AJ353" s="26">
        <v>1.74404803239659E-4</v>
      </c>
      <c r="AK353" s="26">
        <v>517.94746792312105</v>
      </c>
      <c r="AL353" s="11">
        <f t="shared" si="25"/>
        <v>4.6787503232762094E-3</v>
      </c>
      <c r="AP353" s="65" t="s">
        <v>161</v>
      </c>
      <c r="AQ353" s="76">
        <v>517.94746792312105</v>
      </c>
      <c r="AR353" s="76">
        <v>1.74404803239659E-4</v>
      </c>
      <c r="AS353" s="11" t="s">
        <v>186</v>
      </c>
      <c r="AT353" s="29">
        <v>3.3622284519565698E-9</v>
      </c>
      <c r="AU353" s="29">
        <v>4.9764364927184796E-4</v>
      </c>
      <c r="BD353" s="21" t="s">
        <v>190</v>
      </c>
    </row>
    <row r="354" spans="2:56" x14ac:dyDescent="0.3">
      <c r="B354" s="11" t="s">
        <v>171</v>
      </c>
      <c r="C354" s="4" t="s">
        <v>194</v>
      </c>
      <c r="D354" s="4"/>
      <c r="E354" s="4"/>
      <c r="F354" s="42"/>
      <c r="G354" s="4"/>
      <c r="H354" s="4"/>
      <c r="I354" s="36" t="e">
        <f t="shared" si="24"/>
        <v>#DIV/0!</v>
      </c>
      <c r="J354" s="4"/>
      <c r="K354" s="4"/>
      <c r="L354" s="4"/>
      <c r="M354" s="4" t="e">
        <f t="shared" si="26"/>
        <v>#DIV/0!</v>
      </c>
      <c r="P354" t="s">
        <v>192</v>
      </c>
      <c r="AJ354" s="26">
        <v>1.87381742286037E-4</v>
      </c>
      <c r="AK354" s="26">
        <v>472.17951620069499</v>
      </c>
      <c r="AL354" s="11">
        <f t="shared" si="25"/>
        <v>4.1777414439210245E-3</v>
      </c>
      <c r="AP354" s="65" t="s">
        <v>161</v>
      </c>
      <c r="AQ354" s="76">
        <v>472.17951620069499</v>
      </c>
      <c r="AR354" s="76">
        <v>1.87381742286037E-4</v>
      </c>
      <c r="AS354" s="11" t="s">
        <v>186</v>
      </c>
      <c r="AT354" s="29">
        <v>1.26064183696882E-9</v>
      </c>
      <c r="AU354" s="29">
        <v>2.6218760538642799E-4</v>
      </c>
      <c r="BD354" s="21" t="s">
        <v>190</v>
      </c>
    </row>
    <row r="355" spans="2:56" x14ac:dyDescent="0.3">
      <c r="B355" s="11" t="s">
        <v>171</v>
      </c>
      <c r="C355" s="4" t="s">
        <v>194</v>
      </c>
      <c r="D355" s="4"/>
      <c r="E355" s="4"/>
      <c r="F355" s="42"/>
      <c r="G355" s="4"/>
      <c r="H355" s="4"/>
      <c r="I355" s="36" t="e">
        <f t="shared" si="24"/>
        <v>#DIV/0!</v>
      </c>
      <c r="J355" s="4"/>
      <c r="K355" s="4"/>
      <c r="L355" s="4"/>
      <c r="M355" s="4" t="e">
        <f t="shared" si="26"/>
        <v>#DIV/0!</v>
      </c>
      <c r="P355" t="s">
        <v>192</v>
      </c>
      <c r="AJ355" s="26">
        <v>2.3239873846447401E-4</v>
      </c>
      <c r="AK355" s="26">
        <v>486.96752516586298</v>
      </c>
      <c r="AL355" s="11">
        <f t="shared" si="25"/>
        <v>5.511042576235933E-3</v>
      </c>
      <c r="AP355" s="65" t="s">
        <v>161</v>
      </c>
      <c r="AQ355" s="76">
        <v>486.96752516586298</v>
      </c>
      <c r="AR355" s="76">
        <v>2.3239873846447401E-4</v>
      </c>
      <c r="AS355" s="11" t="s">
        <v>186</v>
      </c>
      <c r="AT355" s="29">
        <v>5.4909181555364304E-9</v>
      </c>
      <c r="AU355" s="29">
        <v>4.0022608156058099E-4</v>
      </c>
      <c r="BD355" s="21" t="s">
        <v>190</v>
      </c>
    </row>
    <row r="356" spans="2:56" x14ac:dyDescent="0.3">
      <c r="B356" s="11" t="s">
        <v>171</v>
      </c>
      <c r="C356" s="4" t="s">
        <v>194</v>
      </c>
      <c r="D356" s="4"/>
      <c r="E356" s="4"/>
      <c r="F356" s="42"/>
      <c r="G356" s="4"/>
      <c r="H356" s="4"/>
      <c r="I356" s="36" t="e">
        <f t="shared" si="24"/>
        <v>#DIV/0!</v>
      </c>
      <c r="J356" s="4"/>
      <c r="K356" s="4"/>
      <c r="L356" s="4"/>
      <c r="M356" s="4" t="e">
        <f t="shared" si="26"/>
        <v>#DIV/0!</v>
      </c>
      <c r="P356" t="s">
        <v>192</v>
      </c>
      <c r="AJ356" s="26">
        <v>2.4969083253234499E-4</v>
      </c>
      <c r="AK356" s="26">
        <v>430.45580744612403</v>
      </c>
      <c r="AL356" s="11">
        <f t="shared" si="25"/>
        <v>4.6265764220104356E-3</v>
      </c>
      <c r="AP356" s="65" t="s">
        <v>161</v>
      </c>
      <c r="AQ356" s="76">
        <v>430.45580744612403</v>
      </c>
      <c r="AR356" s="76">
        <v>2.4969083253234499E-4</v>
      </c>
      <c r="AS356" s="11" t="s">
        <v>186</v>
      </c>
      <c r="AT356" s="29">
        <v>8.2634187892093599E-9</v>
      </c>
      <c r="AU356" s="29">
        <v>4.9532440401779101E-4</v>
      </c>
      <c r="BD356" s="21" t="s">
        <v>190</v>
      </c>
    </row>
    <row r="357" spans="2:56" x14ac:dyDescent="0.3">
      <c r="B357" s="11" t="s">
        <v>171</v>
      </c>
      <c r="C357" s="4" t="s">
        <v>194</v>
      </c>
      <c r="D357" s="4"/>
      <c r="E357" s="4"/>
      <c r="F357" s="42"/>
      <c r="G357" s="4"/>
      <c r="H357" s="4"/>
      <c r="I357" s="36" t="e">
        <f t="shared" si="24"/>
        <v>#DIV/0!</v>
      </c>
      <c r="J357" s="4"/>
      <c r="K357" s="4"/>
      <c r="L357" s="4"/>
      <c r="M357" s="4" t="e">
        <f t="shared" si="26"/>
        <v>#DIV/0!</v>
      </c>
      <c r="P357" t="s">
        <v>192</v>
      </c>
      <c r="AJ357" s="26">
        <v>2.8823071544203401E-4</v>
      </c>
      <c r="AK357" s="26">
        <v>417.38392069668799</v>
      </c>
      <c r="AL357" s="11">
        <f t="shared" si="25"/>
        <v>5.0212481914019575E-3</v>
      </c>
      <c r="AP357" s="65" t="s">
        <v>161</v>
      </c>
      <c r="AQ357" s="76">
        <v>417.38392069668799</v>
      </c>
      <c r="AR357" s="76">
        <v>2.8823071544203401E-4</v>
      </c>
      <c r="AS357" s="11" t="s">
        <v>186</v>
      </c>
      <c r="AT357" s="29">
        <v>5.0599009084661797E-9</v>
      </c>
      <c r="AU357" s="29">
        <v>9.4736163202584699E-4</v>
      </c>
      <c r="BD357" s="21" t="s">
        <v>190</v>
      </c>
    </row>
    <row r="358" spans="2:56" x14ac:dyDescent="0.3">
      <c r="B358" s="11" t="s">
        <v>171</v>
      </c>
      <c r="C358" s="4" t="s">
        <v>194</v>
      </c>
      <c r="D358" s="4"/>
      <c r="E358" s="4"/>
      <c r="F358" s="42"/>
      <c r="G358" s="4"/>
      <c r="H358" s="4"/>
      <c r="I358" s="36" t="e">
        <f t="shared" si="24"/>
        <v>#DIV/0!</v>
      </c>
      <c r="J358" s="4"/>
      <c r="K358" s="4"/>
      <c r="L358" s="4"/>
      <c r="M358" s="4" t="e">
        <f t="shared" si="26"/>
        <v>#DIV/0!</v>
      </c>
      <c r="P358" t="s">
        <v>192</v>
      </c>
      <c r="AJ358" s="26">
        <v>3.84074597781543E-4</v>
      </c>
      <c r="AK358" s="26">
        <v>392.41897584845299</v>
      </c>
      <c r="AL358" s="11">
        <f t="shared" si="25"/>
        <v>5.9144666110942639E-3</v>
      </c>
      <c r="AP358" s="65" t="s">
        <v>161</v>
      </c>
      <c r="AQ358" s="76">
        <v>392.41897584845299</v>
      </c>
      <c r="AR358" s="76">
        <v>3.84074597781543E-4</v>
      </c>
      <c r="AS358" s="11" t="s">
        <v>186</v>
      </c>
      <c r="AT358" s="29">
        <v>8.2634187892093599E-9</v>
      </c>
      <c r="AU358" s="29">
        <v>3.4391266316371101E-3</v>
      </c>
      <c r="BD358" s="21" t="s">
        <v>190</v>
      </c>
    </row>
    <row r="359" spans="2:56" x14ac:dyDescent="0.3">
      <c r="B359" s="11" t="s">
        <v>171</v>
      </c>
      <c r="C359" s="4" t="s">
        <v>194</v>
      </c>
      <c r="D359" s="4"/>
      <c r="E359" s="4"/>
      <c r="F359" s="42"/>
      <c r="G359" s="4"/>
      <c r="H359" s="4"/>
      <c r="I359" s="36" t="e">
        <f t="shared" si="24"/>
        <v>#DIV/0!</v>
      </c>
      <c r="J359" s="4"/>
      <c r="K359" s="4"/>
      <c r="L359" s="4"/>
      <c r="M359" s="4" t="e">
        <f t="shared" si="26"/>
        <v>#DIV/0!</v>
      </c>
      <c r="P359" t="s">
        <v>192</v>
      </c>
      <c r="AJ359" s="26">
        <v>2.4969083253234499E-4</v>
      </c>
      <c r="AK359" s="26">
        <v>392.41897584845299</v>
      </c>
      <c r="AL359" s="11">
        <f t="shared" si="25"/>
        <v>3.8450553633043527E-3</v>
      </c>
      <c r="AP359" s="65" t="s">
        <v>161</v>
      </c>
      <c r="AQ359" s="76">
        <v>392.41897584845299</v>
      </c>
      <c r="AR359" s="76">
        <v>2.4969083253234499E-4</v>
      </c>
      <c r="AS359" s="11" t="s">
        <v>186</v>
      </c>
      <c r="AT359" s="29">
        <v>1.3680270178135199E-9</v>
      </c>
      <c r="AU359" s="29">
        <v>4.9699246463663698E-3</v>
      </c>
      <c r="BD359" s="21" t="s">
        <v>190</v>
      </c>
    </row>
    <row r="360" spans="2:56" x14ac:dyDescent="0.3">
      <c r="B360" s="11" t="s">
        <v>171</v>
      </c>
      <c r="C360" s="4" t="s">
        <v>194</v>
      </c>
      <c r="D360" s="4"/>
      <c r="E360" s="4"/>
      <c r="F360" s="42"/>
      <c r="G360" s="4"/>
      <c r="H360" s="4"/>
      <c r="I360" s="36" t="e">
        <f t="shared" si="24"/>
        <v>#DIV/0!</v>
      </c>
      <c r="J360" s="4"/>
      <c r="K360" s="4"/>
      <c r="L360" s="4"/>
      <c r="M360" s="4" t="e">
        <f t="shared" si="26"/>
        <v>#DIV/0!</v>
      </c>
      <c r="P360" t="s">
        <v>192</v>
      </c>
      <c r="AJ360" s="26">
        <v>2.1630419143595499E-4</v>
      </c>
      <c r="AK360" s="26">
        <v>316.22776601683699</v>
      </c>
      <c r="AL360" s="11">
        <f t="shared" si="25"/>
        <v>2.163041914359537E-3</v>
      </c>
      <c r="AP360" s="65" t="s">
        <v>161</v>
      </c>
      <c r="AQ360" s="76">
        <v>316.22776601683699</v>
      </c>
      <c r="AR360" s="76">
        <v>2.1630419143595499E-4</v>
      </c>
      <c r="AS360" s="11" t="s">
        <v>186</v>
      </c>
      <c r="AT360" s="29">
        <v>2.8164635950054399E-8</v>
      </c>
      <c r="AU360" s="29">
        <v>3.4172889550927099E-3</v>
      </c>
      <c r="BD360" s="21" t="s">
        <v>190</v>
      </c>
    </row>
    <row r="361" spans="2:56" x14ac:dyDescent="0.3">
      <c r="B361" s="11" t="s">
        <v>171</v>
      </c>
      <c r="C361" s="4" t="s">
        <v>194</v>
      </c>
      <c r="D361" s="4"/>
      <c r="E361" s="4"/>
      <c r="F361" s="42"/>
      <c r="G361" s="4"/>
      <c r="H361" s="4"/>
      <c r="I361" s="36" t="e">
        <f t="shared" si="24"/>
        <v>#DIV/0!</v>
      </c>
      <c r="J361" s="4"/>
      <c r="K361" s="4"/>
      <c r="L361" s="4"/>
      <c r="M361" s="4" t="e">
        <f t="shared" si="26"/>
        <v>#DIV/0!</v>
      </c>
      <c r="P361" t="s">
        <v>192</v>
      </c>
      <c r="AJ361" s="26">
        <v>5.4986963829670296E-4</v>
      </c>
      <c r="AK361" s="26">
        <v>662.87031618264405</v>
      </c>
      <c r="AL361" s="11">
        <f t="shared" si="25"/>
        <v>2.4161110029318939E-2</v>
      </c>
      <c r="AP361" s="65" t="s">
        <v>161</v>
      </c>
      <c r="AQ361" s="76">
        <v>662.87031618264405</v>
      </c>
      <c r="AR361" s="76">
        <v>5.4986963829670296E-4</v>
      </c>
      <c r="AS361" s="11" t="s">
        <v>186</v>
      </c>
      <c r="AT361" s="29">
        <v>2.59538137327012E-8</v>
      </c>
      <c r="AU361" s="29">
        <v>4.9238826317067402E-4</v>
      </c>
      <c r="BD361" s="21" t="s">
        <v>190</v>
      </c>
    </row>
    <row r="362" spans="2:56" x14ac:dyDescent="0.3">
      <c r="B362" s="11" t="s">
        <v>171</v>
      </c>
      <c r="C362" s="4" t="s">
        <v>194</v>
      </c>
      <c r="D362" s="4"/>
      <c r="E362" s="4"/>
      <c r="F362" s="42"/>
      <c r="G362" s="4"/>
      <c r="H362" s="4"/>
      <c r="I362" s="36" t="e">
        <f t="shared" si="24"/>
        <v>#DIV/0!</v>
      </c>
      <c r="J362" s="4"/>
      <c r="K362" s="4"/>
      <c r="L362" s="4"/>
      <c r="M362" s="4" t="e">
        <f t="shared" si="26"/>
        <v>#DIV/0!</v>
      </c>
      <c r="P362" t="s">
        <v>192</v>
      </c>
      <c r="AJ362" s="26">
        <v>9.0874400419076195E-4</v>
      </c>
      <c r="AK362" s="26">
        <v>662.87031618264405</v>
      </c>
      <c r="AL362" s="11">
        <f t="shared" si="25"/>
        <v>3.9929944016820831E-2</v>
      </c>
      <c r="AP362" s="65" t="s">
        <v>161</v>
      </c>
      <c r="AQ362" s="76">
        <v>662.87031618264405</v>
      </c>
      <c r="AR362" s="76">
        <v>9.0874400419076195E-4</v>
      </c>
      <c r="AS362" s="11" t="s">
        <v>186</v>
      </c>
      <c r="AT362" s="29">
        <v>4.23856585198335E-8</v>
      </c>
      <c r="AU362" s="29">
        <v>8.7207082190900599E-4</v>
      </c>
      <c r="BD362" s="21" t="s">
        <v>190</v>
      </c>
    </row>
    <row r="363" spans="2:56" x14ac:dyDescent="0.3">
      <c r="B363" s="11" t="s">
        <v>171</v>
      </c>
      <c r="C363" s="4" t="s">
        <v>194</v>
      </c>
      <c r="D363" s="4"/>
      <c r="E363" s="4"/>
      <c r="F363" s="42"/>
      <c r="G363" s="4"/>
      <c r="H363" s="4"/>
      <c r="I363" s="36" t="e">
        <f t="shared" si="24"/>
        <v>#DIV/0!</v>
      </c>
      <c r="J363" s="4"/>
      <c r="K363" s="4"/>
      <c r="L363" s="4"/>
      <c r="M363" s="4" t="e">
        <f t="shared" si="26"/>
        <v>#DIV/0!</v>
      </c>
      <c r="P363" t="s">
        <v>192</v>
      </c>
      <c r="AJ363" s="26">
        <v>6.3474224359270199E-4</v>
      </c>
      <c r="AK363" s="26">
        <v>392.41897584845299</v>
      </c>
      <c r="AL363" s="11">
        <f t="shared" si="25"/>
        <v>9.7745641811891448E-3</v>
      </c>
      <c r="AP363" s="65" t="s">
        <v>161</v>
      </c>
      <c r="AQ363" s="76">
        <v>392.41897584845299</v>
      </c>
      <c r="AR363" s="76">
        <v>6.3474224359270199E-4</v>
      </c>
      <c r="AS363" s="11" t="s">
        <v>186</v>
      </c>
      <c r="AT363" s="29">
        <v>5.4166130365818798E-8</v>
      </c>
      <c r="AU363" s="29">
        <v>2.7459951242650802E-3</v>
      </c>
      <c r="BD363" s="21" t="s">
        <v>190</v>
      </c>
    </row>
    <row r="364" spans="2:56" x14ac:dyDescent="0.3">
      <c r="B364" s="11" t="s">
        <v>171</v>
      </c>
      <c r="C364" s="4" t="s">
        <v>194</v>
      </c>
      <c r="D364" s="4"/>
      <c r="E364" s="4"/>
      <c r="F364" s="42"/>
      <c r="G364" s="4"/>
      <c r="H364" s="4"/>
      <c r="I364" s="36" t="e">
        <f t="shared" si="24"/>
        <v>#DIV/0!</v>
      </c>
      <c r="J364" s="4"/>
      <c r="K364" s="4"/>
      <c r="L364" s="4"/>
      <c r="M364" s="4" t="e">
        <f t="shared" si="26"/>
        <v>#DIV/0!</v>
      </c>
      <c r="P364" t="s">
        <v>192</v>
      </c>
      <c r="AJ364" s="26">
        <v>5.4986963829670296E-4</v>
      </c>
      <c r="AK364" s="26">
        <v>254.82967479793399</v>
      </c>
      <c r="AL364" s="11">
        <f t="shared" si="25"/>
        <v>3.5707524287133226E-3</v>
      </c>
      <c r="AP364" s="65" t="s">
        <v>161</v>
      </c>
      <c r="AQ364" s="76">
        <v>254.82967479793399</v>
      </c>
      <c r="AR364" s="76">
        <v>5.4986963829670296E-4</v>
      </c>
      <c r="AS364" s="11" t="s">
        <v>186</v>
      </c>
      <c r="AT364" s="29">
        <v>4.23856585198335E-8</v>
      </c>
      <c r="AU364" s="29">
        <v>2.55908212594276E-3</v>
      </c>
      <c r="BD364" s="21" t="s">
        <v>190</v>
      </c>
    </row>
    <row r="365" spans="2:56" x14ac:dyDescent="0.3">
      <c r="B365" s="11" t="s">
        <v>171</v>
      </c>
      <c r="C365" s="4" t="s">
        <v>194</v>
      </c>
      <c r="D365" s="4"/>
      <c r="E365" s="4"/>
      <c r="F365" s="42"/>
      <c r="G365" s="4"/>
      <c r="H365" s="4"/>
      <c r="I365" s="36" t="e">
        <f t="shared" si="24"/>
        <v>#DIV/0!</v>
      </c>
      <c r="J365" s="4"/>
      <c r="K365" s="4"/>
      <c r="L365" s="4"/>
      <c r="M365" s="4" t="e">
        <f t="shared" si="26"/>
        <v>#DIV/0!</v>
      </c>
      <c r="P365" t="s">
        <v>192</v>
      </c>
      <c r="AJ365" s="26">
        <v>2.6826957952797098E-4</v>
      </c>
      <c r="AK365" s="26">
        <v>225.25714294606399</v>
      </c>
      <c r="AL365" s="11">
        <f t="shared" si="25"/>
        <v>1.3612207835766012E-3</v>
      </c>
      <c r="AP365" s="65" t="s">
        <v>161</v>
      </c>
      <c r="AQ365" s="76">
        <v>225.25714294606399</v>
      </c>
      <c r="AR365" s="76">
        <v>2.6826957952797098E-4</v>
      </c>
      <c r="AS365" s="11" t="s">
        <v>186</v>
      </c>
      <c r="AT365" s="29">
        <v>4.2385658519833401E-8</v>
      </c>
      <c r="AU365" s="29">
        <v>2.3818553995931802E-3</v>
      </c>
      <c r="BD365" s="21" t="s">
        <v>190</v>
      </c>
    </row>
    <row r="366" spans="2:56" x14ac:dyDescent="0.3">
      <c r="B366" s="11" t="s">
        <v>171</v>
      </c>
      <c r="C366" s="4" t="s">
        <v>194</v>
      </c>
      <c r="D366" s="4"/>
      <c r="E366" s="4"/>
      <c r="F366" s="42"/>
      <c r="G366" s="4"/>
      <c r="H366" s="4"/>
      <c r="I366" s="36" t="e">
        <f t="shared" si="24"/>
        <v>#DIV/0!</v>
      </c>
      <c r="J366" s="4"/>
      <c r="K366" s="4"/>
      <c r="L366" s="4"/>
      <c r="M366" s="4" t="e">
        <f t="shared" si="26"/>
        <v>#DIV/0!</v>
      </c>
      <c r="P366" t="s">
        <v>192</v>
      </c>
      <c r="AJ366" s="26">
        <v>1.1270626347294E-3</v>
      </c>
      <c r="AK366" s="26">
        <v>193.06977288832499</v>
      </c>
      <c r="AL366" s="11">
        <f t="shared" si="25"/>
        <v>4.2012315996189219E-3</v>
      </c>
      <c r="AP366" s="65" t="s">
        <v>161</v>
      </c>
      <c r="AQ366" s="76">
        <v>193.06977288832499</v>
      </c>
      <c r="AR366" s="76">
        <v>1.1270626347294E-3</v>
      </c>
      <c r="AS366" s="11" t="s">
        <v>186</v>
      </c>
      <c r="AT366" s="29">
        <v>2.59538137327012E-8</v>
      </c>
      <c r="AU366" s="29">
        <v>2.0563020718057799E-2</v>
      </c>
      <c r="BD366" s="21" t="s">
        <v>190</v>
      </c>
    </row>
    <row r="367" spans="2:56" x14ac:dyDescent="0.3">
      <c r="B367" s="11" t="s">
        <v>171</v>
      </c>
      <c r="C367" s="4" t="s">
        <v>194</v>
      </c>
      <c r="D367" s="4"/>
      <c r="E367" s="4"/>
      <c r="F367" s="42"/>
      <c r="G367" s="4"/>
      <c r="H367" s="4"/>
      <c r="I367" s="36" t="e">
        <f t="shared" si="24"/>
        <v>#DIV/0!</v>
      </c>
      <c r="J367" s="4"/>
      <c r="K367" s="4"/>
      <c r="L367" s="4"/>
      <c r="M367" s="4" t="e">
        <f t="shared" si="26"/>
        <v>#DIV/0!</v>
      </c>
      <c r="P367" t="s">
        <v>192</v>
      </c>
      <c r="AJ367" s="26">
        <v>4.1019183654854999E-3</v>
      </c>
      <c r="AK367" s="26">
        <v>150.859070860017</v>
      </c>
      <c r="AL367" s="11">
        <f t="shared" si="25"/>
        <v>9.3353342011814264E-3</v>
      </c>
      <c r="AP367" s="65" t="s">
        <v>161</v>
      </c>
      <c r="AQ367" s="76">
        <v>150.859070860017</v>
      </c>
      <c r="AR367" s="76">
        <v>4.1019183654854999E-3</v>
      </c>
      <c r="AS367" s="11" t="s">
        <v>186</v>
      </c>
      <c r="AT367" s="29">
        <v>2.59538137327012E-8</v>
      </c>
      <c r="AU367" s="29">
        <v>1.00322558978637E-2</v>
      </c>
      <c r="BD367" s="21" t="s">
        <v>190</v>
      </c>
    </row>
    <row r="368" spans="2:56" x14ac:dyDescent="0.3">
      <c r="B368" s="11" t="s">
        <v>171</v>
      </c>
      <c r="C368" s="4" t="s">
        <v>194</v>
      </c>
      <c r="D368" s="4"/>
      <c r="E368" s="4"/>
      <c r="F368" s="42"/>
      <c r="G368" s="4"/>
      <c r="H368" s="4"/>
      <c r="I368" s="36" t="e">
        <f t="shared" si="24"/>
        <v>#DIV/0!</v>
      </c>
      <c r="J368" s="4"/>
      <c r="K368" s="4"/>
      <c r="L368" s="4"/>
      <c r="M368" s="4" t="e">
        <f t="shared" si="26"/>
        <v>#DIV/0!</v>
      </c>
      <c r="P368" t="s">
        <v>192</v>
      </c>
      <c r="AJ368" s="26">
        <v>3.3073527641255501E-3</v>
      </c>
      <c r="AK368" s="26">
        <v>262.81058753600598</v>
      </c>
      <c r="AL368" s="11">
        <f t="shared" si="25"/>
        <v>2.2843688728204456E-2</v>
      </c>
      <c r="AP368" s="65" t="s">
        <v>161</v>
      </c>
      <c r="AQ368" s="76">
        <v>262.81058753600598</v>
      </c>
      <c r="AR368" s="76">
        <v>3.3073527641255501E-3</v>
      </c>
      <c r="AS368" s="11" t="s">
        <v>186</v>
      </c>
      <c r="AT368" s="29">
        <v>7.5117243893765494E-8</v>
      </c>
      <c r="AU368" s="29">
        <v>1.6488563350264E-2</v>
      </c>
      <c r="BD368" s="21" t="s">
        <v>190</v>
      </c>
    </row>
    <row r="369" spans="2:56" x14ac:dyDescent="0.3">
      <c r="B369" s="11" t="s">
        <v>171</v>
      </c>
      <c r="C369" s="4" t="s">
        <v>194</v>
      </c>
      <c r="D369" s="4"/>
      <c r="E369" s="4"/>
      <c r="F369" s="42"/>
      <c r="G369" s="4"/>
      <c r="H369" s="4"/>
      <c r="I369" s="36" t="e">
        <f t="shared" si="24"/>
        <v>#DIV/0!</v>
      </c>
      <c r="J369" s="4"/>
      <c r="K369" s="4"/>
      <c r="L369" s="4"/>
      <c r="M369" s="4" t="e">
        <f t="shared" si="26"/>
        <v>#DIV/0!</v>
      </c>
      <c r="P369" t="s">
        <v>192</v>
      </c>
      <c r="AJ369" s="26">
        <v>2.4820195319590001E-3</v>
      </c>
      <c r="AK369" s="26">
        <v>430.45580744612403</v>
      </c>
      <c r="AL369" s="11">
        <f t="shared" si="25"/>
        <v>4.5989886489097853E-2</v>
      </c>
      <c r="AP369" s="65" t="s">
        <v>161</v>
      </c>
      <c r="AQ369" s="76">
        <v>430.45580744612403</v>
      </c>
      <c r="AR369" s="76">
        <v>2.4820195319590001E-3</v>
      </c>
      <c r="AS369" s="11" t="s">
        <v>186</v>
      </c>
      <c r="AT369" s="29">
        <v>6.9220811502409398E-8</v>
      </c>
      <c r="AU369" s="29">
        <v>5.2319784853118497E-3</v>
      </c>
      <c r="BD369" s="21" t="s">
        <v>190</v>
      </c>
    </row>
    <row r="370" spans="2:56" x14ac:dyDescent="0.3">
      <c r="B370" s="11" t="s">
        <v>171</v>
      </c>
      <c r="C370" s="4" t="s">
        <v>194</v>
      </c>
      <c r="D370" s="4"/>
      <c r="E370" s="4"/>
      <c r="F370" s="42"/>
      <c r="G370" s="4"/>
      <c r="H370" s="4"/>
      <c r="I370" s="36" t="e">
        <f t="shared" si="24"/>
        <v>#DIV/0!</v>
      </c>
      <c r="J370" s="4"/>
      <c r="K370" s="4"/>
      <c r="L370" s="4"/>
      <c r="M370" s="4" t="e">
        <f t="shared" si="26"/>
        <v>#DIV/0!</v>
      </c>
      <c r="P370" t="s">
        <v>192</v>
      </c>
      <c r="AJ370" s="26">
        <v>4.7350511557749898E-3</v>
      </c>
      <c r="AK370" s="26">
        <v>517.94746792312105</v>
      </c>
      <c r="AL370" s="11">
        <f t="shared" si="25"/>
        <v>0.12702701826031967</v>
      </c>
      <c r="AP370" s="65" t="s">
        <v>161</v>
      </c>
      <c r="AQ370" s="76">
        <v>517.94746792312105</v>
      </c>
      <c r="AR370" s="76">
        <v>4.7350511557749898E-3</v>
      </c>
      <c r="AS370" s="11" t="s">
        <v>186</v>
      </c>
      <c r="AT370" s="29">
        <v>8.8459720358308902E-8</v>
      </c>
      <c r="AU370" s="29">
        <v>5.2253171685222302E-3</v>
      </c>
      <c r="BD370" s="21" t="s">
        <v>190</v>
      </c>
    </row>
    <row r="371" spans="2:56" x14ac:dyDescent="0.3">
      <c r="B371" s="11" t="s">
        <v>171</v>
      </c>
      <c r="C371" s="4" t="s">
        <v>194</v>
      </c>
      <c r="D371" s="4"/>
      <c r="E371" s="4"/>
      <c r="F371" s="42"/>
      <c r="G371" s="4"/>
      <c r="H371" s="4"/>
      <c r="I371" s="36" t="e">
        <f t="shared" si="24"/>
        <v>#DIV/0!</v>
      </c>
      <c r="J371" s="4"/>
      <c r="K371" s="4"/>
      <c r="L371" s="4"/>
      <c r="M371" s="4" t="e">
        <f t="shared" si="26"/>
        <v>#DIV/0!</v>
      </c>
      <c r="P371" t="s">
        <v>192</v>
      </c>
      <c r="AJ371" s="26">
        <v>1.1203420825541001E-2</v>
      </c>
      <c r="AK371" s="26">
        <v>392.41897584845299</v>
      </c>
      <c r="AL371" s="11">
        <f t="shared" si="25"/>
        <v>0.17252444911857867</v>
      </c>
      <c r="AP371" s="65" t="s">
        <v>161</v>
      </c>
      <c r="AQ371" s="76">
        <v>392.41897584845299</v>
      </c>
      <c r="AR371" s="76">
        <v>1.1203420825541001E-2</v>
      </c>
      <c r="AS371" s="11" t="s">
        <v>186</v>
      </c>
      <c r="AT371" s="29">
        <v>1.44465223434313E-7</v>
      </c>
      <c r="AU371" s="29">
        <v>4.8510666291952404E-3</v>
      </c>
      <c r="BD371" s="21" t="s">
        <v>190</v>
      </c>
    </row>
    <row r="372" spans="2:56" x14ac:dyDescent="0.3">
      <c r="B372" s="11" t="s">
        <v>171</v>
      </c>
      <c r="C372" s="4" t="s">
        <v>194</v>
      </c>
      <c r="D372" s="4"/>
      <c r="E372" s="4"/>
      <c r="F372" s="42"/>
      <c r="G372" s="4"/>
      <c r="H372" s="4"/>
      <c r="I372" s="36" t="e">
        <f t="shared" si="24"/>
        <v>#DIV/0!</v>
      </c>
      <c r="J372" s="4"/>
      <c r="K372" s="4"/>
      <c r="L372" s="4"/>
      <c r="M372" s="4" t="e">
        <f t="shared" si="26"/>
        <v>#DIV/0!</v>
      </c>
      <c r="P372" t="s">
        <v>192</v>
      </c>
      <c r="AJ372" s="26">
        <v>3.3073527641255302E-3</v>
      </c>
      <c r="AK372" s="26">
        <v>404.708995075975</v>
      </c>
      <c r="AL372" s="11">
        <f t="shared" si="25"/>
        <v>5.4170922790383068E-2</v>
      </c>
      <c r="AP372" s="65" t="s">
        <v>161</v>
      </c>
      <c r="AQ372" s="76">
        <v>404.708995075975</v>
      </c>
      <c r="AR372" s="76">
        <v>3.3073527641255302E-3</v>
      </c>
      <c r="AS372" s="11" t="s">
        <v>186</v>
      </c>
      <c r="AT372" s="29">
        <v>8.8459720358308505E-8</v>
      </c>
      <c r="AU372" s="29">
        <v>6.9628651016716099E-3</v>
      </c>
      <c r="BD372" s="21" t="s">
        <v>190</v>
      </c>
    </row>
    <row r="373" spans="2:56" x14ac:dyDescent="0.3">
      <c r="B373" s="11" t="s">
        <v>171</v>
      </c>
      <c r="C373" s="4" t="s">
        <v>194</v>
      </c>
      <c r="D373" s="4"/>
      <c r="E373" s="4"/>
      <c r="F373" s="42"/>
      <c r="G373" s="4"/>
      <c r="H373" s="4"/>
      <c r="I373" s="36" t="e">
        <f t="shared" si="24"/>
        <v>#DIV/0!</v>
      </c>
      <c r="J373" s="4"/>
      <c r="K373" s="4"/>
      <c r="L373" s="4"/>
      <c r="M373" s="4" t="e">
        <f t="shared" si="26"/>
        <v>#DIV/0!</v>
      </c>
      <c r="P373" t="s">
        <v>192</v>
      </c>
      <c r="AJ373" s="26">
        <v>3.81784402637047E-3</v>
      </c>
      <c r="AK373" s="26">
        <v>380.502174351326</v>
      </c>
      <c r="AL373" s="11">
        <f t="shared" si="25"/>
        <v>5.5275472993231566E-2</v>
      </c>
      <c r="AP373" s="65" t="s">
        <v>161</v>
      </c>
      <c r="AQ373" s="76">
        <v>380.502174351326</v>
      </c>
      <c r="AR373" s="76">
        <v>3.81784402637047E-3</v>
      </c>
      <c r="AS373" s="11" t="s">
        <v>186</v>
      </c>
      <c r="AT373" s="29">
        <v>9.5994979612426999E-8</v>
      </c>
      <c r="AU373" s="29">
        <v>8.63197241480884E-3</v>
      </c>
      <c r="BD373" s="21" t="s">
        <v>190</v>
      </c>
    </row>
    <row r="374" spans="2:56" x14ac:dyDescent="0.3">
      <c r="B374" s="11" t="s">
        <v>171</v>
      </c>
      <c r="C374" s="4" t="s">
        <v>194</v>
      </c>
      <c r="D374" s="4"/>
      <c r="E374" s="4"/>
      <c r="F374" s="42"/>
      <c r="G374" s="4"/>
      <c r="H374" s="4"/>
      <c r="I374" s="36" t="e">
        <f t="shared" si="24"/>
        <v>#DIV/0!</v>
      </c>
      <c r="J374" s="4"/>
      <c r="K374" s="4"/>
      <c r="L374" s="4"/>
      <c r="M374" s="4" t="e">
        <f t="shared" si="26"/>
        <v>#DIV/0!</v>
      </c>
      <c r="P374" t="s">
        <v>192</v>
      </c>
      <c r="AJ374" s="26">
        <v>4.7350511557749803E-3</v>
      </c>
      <c r="AK374" s="26">
        <v>380.502174351326</v>
      </c>
      <c r="AL374" s="11">
        <f t="shared" si="25"/>
        <v>6.8554972511915876E-2</v>
      </c>
      <c r="AP374" s="65" t="s">
        <v>161</v>
      </c>
      <c r="AQ374" s="76">
        <v>380.502174351326</v>
      </c>
      <c r="AR374" s="76">
        <v>4.7350511557749803E-3</v>
      </c>
      <c r="AS374" s="11" t="s">
        <v>186</v>
      </c>
      <c r="AT374" s="29">
        <v>1.04172114420715E-7</v>
      </c>
      <c r="AU374" s="29">
        <v>9.2703139870248408E-3</v>
      </c>
      <c r="BD374" s="21" t="s">
        <v>190</v>
      </c>
    </row>
    <row r="375" spans="2:56" x14ac:dyDescent="0.3">
      <c r="B375" s="11" t="s">
        <v>171</v>
      </c>
      <c r="C375" s="4" t="s">
        <v>194</v>
      </c>
      <c r="D375" s="4"/>
      <c r="E375" s="4"/>
      <c r="F375" s="42"/>
      <c r="G375" s="4"/>
      <c r="H375" s="4"/>
      <c r="I375" s="36" t="e">
        <f t="shared" si="24"/>
        <v>#DIV/0!</v>
      </c>
      <c r="J375" s="4"/>
      <c r="K375" s="4"/>
      <c r="L375" s="4"/>
      <c r="M375" s="4" t="e">
        <f t="shared" si="26"/>
        <v>#DIV/0!</v>
      </c>
      <c r="P375" t="s">
        <v>192</v>
      </c>
      <c r="AJ375" s="26">
        <v>5.4659082531868701E-3</v>
      </c>
      <c r="AK375" s="26">
        <v>380.502174351326</v>
      </c>
      <c r="AL375" s="11">
        <f t="shared" si="25"/>
        <v>7.913646077357972E-2</v>
      </c>
      <c r="AP375" s="65" t="s">
        <v>161</v>
      </c>
      <c r="AQ375" s="76">
        <v>380.502174351326</v>
      </c>
      <c r="AR375" s="76">
        <v>5.4659082531868701E-3</v>
      </c>
      <c r="AS375" s="11" t="s">
        <v>186</v>
      </c>
      <c r="AT375" s="29">
        <v>1.8461721249909399E-7</v>
      </c>
      <c r="AU375" s="29">
        <v>1.2316257266183701E-2</v>
      </c>
      <c r="BD375" s="21" t="s">
        <v>190</v>
      </c>
    </row>
    <row r="376" spans="2:56" x14ac:dyDescent="0.3">
      <c r="B376" s="11" t="s">
        <v>171</v>
      </c>
      <c r="C376" s="4" t="s">
        <v>194</v>
      </c>
      <c r="D376" s="4"/>
      <c r="E376" s="4"/>
      <c r="F376" s="42"/>
      <c r="G376" s="4"/>
      <c r="H376" s="4"/>
      <c r="I376" s="36" t="e">
        <f t="shared" si="24"/>
        <v>#DIV/0!</v>
      </c>
      <c r="J376" s="4"/>
      <c r="K376" s="4"/>
      <c r="L376" s="4"/>
      <c r="M376" s="4" t="e">
        <f t="shared" si="26"/>
        <v>#DIV/0!</v>
      </c>
      <c r="P376" t="s">
        <v>192</v>
      </c>
      <c r="AJ376" s="26">
        <v>7.28345870645345E-3</v>
      </c>
      <c r="AK376" s="26">
        <v>380.502174351326</v>
      </c>
      <c r="AL376" s="11">
        <f t="shared" si="25"/>
        <v>0.10545130242227931</v>
      </c>
      <c r="AP376" s="65" t="s">
        <v>161</v>
      </c>
      <c r="AQ376" s="76">
        <v>380.502174351326</v>
      </c>
      <c r="AR376" s="76">
        <v>7.28345870645345E-3</v>
      </c>
      <c r="AS376" s="11" t="s">
        <v>186</v>
      </c>
      <c r="AT376" s="29">
        <v>1.8461721249909399E-7</v>
      </c>
      <c r="AU376" s="29">
        <v>1.6411719161953199E-2</v>
      </c>
      <c r="BD376" s="21" t="s">
        <v>190</v>
      </c>
    </row>
    <row r="377" spans="2:56" x14ac:dyDescent="0.3">
      <c r="B377" s="11" t="s">
        <v>171</v>
      </c>
      <c r="C377" s="4" t="s">
        <v>194</v>
      </c>
      <c r="D377" s="4"/>
      <c r="E377" s="4"/>
      <c r="F377" s="42"/>
      <c r="G377" s="4"/>
      <c r="H377" s="4"/>
      <c r="I377" s="36" t="e">
        <f t="shared" si="24"/>
        <v>#DIV/0!</v>
      </c>
      <c r="J377" s="4"/>
      <c r="K377" s="4"/>
      <c r="L377" s="4"/>
      <c r="M377" s="4" t="e">
        <f t="shared" si="26"/>
        <v>#DIV/0!</v>
      </c>
      <c r="P377" t="s">
        <v>192</v>
      </c>
      <c r="AJ377" s="26">
        <v>8.4076635596207708E-3</v>
      </c>
      <c r="AK377" s="26">
        <v>368.94725687781101</v>
      </c>
      <c r="AL377" s="11">
        <f t="shared" si="25"/>
        <v>0.11444686378675535</v>
      </c>
      <c r="AP377" s="65" t="s">
        <v>161</v>
      </c>
      <c r="AQ377" s="76">
        <v>368.94725687781101</v>
      </c>
      <c r="AR377" s="76">
        <v>8.4076635596207708E-3</v>
      </c>
      <c r="AS377" s="11" t="s">
        <v>186</v>
      </c>
      <c r="AT377" s="29">
        <v>1.8461721249909499E-7</v>
      </c>
      <c r="AU377" s="29">
        <v>1.8944874778575298E-2</v>
      </c>
      <c r="BD377" s="21" t="s">
        <v>190</v>
      </c>
    </row>
    <row r="378" spans="2:56" x14ac:dyDescent="0.3">
      <c r="B378" s="11" t="s">
        <v>171</v>
      </c>
      <c r="C378" s="4" t="s">
        <v>194</v>
      </c>
      <c r="D378" s="4"/>
      <c r="E378" s="4"/>
      <c r="F378" s="42"/>
      <c r="G378" s="4"/>
      <c r="H378" s="4"/>
      <c r="I378" s="36" t="e">
        <f t="shared" ref="I378:I441" si="27">((K378)*1000)/H378</f>
        <v>#DIV/0!</v>
      </c>
      <c r="J378" s="4"/>
      <c r="K378" s="4"/>
      <c r="L378" s="4"/>
      <c r="M378" s="4" t="e">
        <f t="shared" si="26"/>
        <v>#DIV/0!</v>
      </c>
      <c r="P378" t="s">
        <v>192</v>
      </c>
      <c r="AJ378" s="26">
        <v>6.3095734448018999E-3</v>
      </c>
      <c r="AK378" s="26">
        <v>357.743233897994</v>
      </c>
      <c r="AL378" s="11">
        <f t="shared" ref="AL378:AL441" si="28">((AK378)^2*AJ378)/10000</f>
        <v>8.0750060640401342E-2</v>
      </c>
      <c r="AP378" s="65" t="s">
        <v>161</v>
      </c>
      <c r="AQ378" s="76">
        <v>357.743233897994</v>
      </c>
      <c r="AR378" s="76">
        <v>6.3095734448018999E-3</v>
      </c>
      <c r="AS378" s="11" t="s">
        <v>186</v>
      </c>
      <c r="AT378" s="29">
        <v>8.1515951745222003E-8</v>
      </c>
      <c r="AU378" s="29">
        <v>2.1962092223356398E-2</v>
      </c>
      <c r="BD378" s="21" t="s">
        <v>190</v>
      </c>
    </row>
    <row r="379" spans="2:56" x14ac:dyDescent="0.3">
      <c r="B379" s="11" t="s">
        <v>171</v>
      </c>
      <c r="C379" s="4" t="s">
        <v>194</v>
      </c>
      <c r="D379" s="4"/>
      <c r="E379" s="4"/>
      <c r="F379" s="42"/>
      <c r="G379" s="4"/>
      <c r="H379" s="4"/>
      <c r="I379" s="36" t="e">
        <f t="shared" si="27"/>
        <v>#DIV/0!</v>
      </c>
      <c r="J379" s="4"/>
      <c r="K379" s="4"/>
      <c r="L379" s="4"/>
      <c r="M379" s="4" t="e">
        <f t="shared" si="26"/>
        <v>#DIV/0!</v>
      </c>
      <c r="P379" t="s">
        <v>192</v>
      </c>
      <c r="AJ379" s="26">
        <v>5.8726101152750997E-3</v>
      </c>
      <c r="AK379" s="26">
        <v>368.94725687781101</v>
      </c>
      <c r="AL379" s="11">
        <f t="shared" si="28"/>
        <v>7.9939189427547241E-2</v>
      </c>
      <c r="AP379" s="65" t="s">
        <v>161</v>
      </c>
      <c r="AQ379" s="76">
        <v>368.94725687781101</v>
      </c>
      <c r="AR379" s="76">
        <v>5.8726101152750997E-3</v>
      </c>
      <c r="AS379" s="11" t="s">
        <v>186</v>
      </c>
      <c r="AT379" s="29">
        <v>8.1515951745222003E-8</v>
      </c>
      <c r="AU379" s="29">
        <v>2.7238312892604501E-2</v>
      </c>
      <c r="BD379" s="21" t="s">
        <v>190</v>
      </c>
    </row>
    <row r="380" spans="2:56" x14ac:dyDescent="0.3">
      <c r="B380" s="11" t="s">
        <v>171</v>
      </c>
      <c r="C380" s="4" t="s">
        <v>194</v>
      </c>
      <c r="D380" s="4"/>
      <c r="E380" s="4"/>
      <c r="F380" s="42"/>
      <c r="G380" s="4"/>
      <c r="H380" s="4"/>
      <c r="I380" s="36" t="e">
        <f t="shared" si="27"/>
        <v>#DIV/0!</v>
      </c>
      <c r="J380" s="4"/>
      <c r="K380" s="4"/>
      <c r="L380" s="4"/>
      <c r="M380" s="4" t="e">
        <f t="shared" si="26"/>
        <v>#DIV/0!</v>
      </c>
      <c r="P380" t="s">
        <v>192</v>
      </c>
      <c r="AJ380" s="26">
        <v>5.8726101152750997E-3</v>
      </c>
      <c r="AK380" s="26">
        <v>392.41897584845299</v>
      </c>
      <c r="AL380" s="11">
        <f t="shared" si="28"/>
        <v>9.0433880937173902E-2</v>
      </c>
      <c r="AP380" s="65" t="s">
        <v>161</v>
      </c>
      <c r="AQ380" s="76">
        <v>392.41897584845299</v>
      </c>
      <c r="AR380" s="76">
        <v>5.8726101152750997E-3</v>
      </c>
      <c r="AS380" s="11" t="s">
        <v>186</v>
      </c>
      <c r="AT380" s="29">
        <v>1.2267537562776599E-7</v>
      </c>
      <c r="AU380" s="29">
        <v>4.1809120968115399E-2</v>
      </c>
      <c r="BD380" s="21" t="s">
        <v>190</v>
      </c>
    </row>
    <row r="381" spans="2:56" x14ac:dyDescent="0.3">
      <c r="B381" s="11" t="s">
        <v>171</v>
      </c>
      <c r="C381" s="4" t="s">
        <v>194</v>
      </c>
      <c r="D381" s="4"/>
      <c r="E381" s="4"/>
      <c r="F381" s="42"/>
      <c r="G381" s="4"/>
      <c r="H381" s="4"/>
      <c r="I381" s="36" t="e">
        <f t="shared" si="27"/>
        <v>#DIV/0!</v>
      </c>
      <c r="J381" s="4"/>
      <c r="K381" s="4"/>
      <c r="L381" s="4"/>
      <c r="M381" s="4" t="e">
        <f t="shared" si="26"/>
        <v>#DIV/0!</v>
      </c>
      <c r="P381" t="s">
        <v>192</v>
      </c>
      <c r="AJ381" s="26">
        <v>8.4076635596207604E-3</v>
      </c>
      <c r="AK381" s="26">
        <v>346.87944960701998</v>
      </c>
      <c r="AL381" s="11">
        <f t="shared" si="28"/>
        <v>0.10116550820144506</v>
      </c>
      <c r="AP381" s="65" t="s">
        <v>161</v>
      </c>
      <c r="AQ381" s="76">
        <v>346.87944960701998</v>
      </c>
      <c r="AR381" s="76">
        <v>8.4076635596207604E-3</v>
      </c>
      <c r="AS381" s="11" t="s">
        <v>186</v>
      </c>
      <c r="AT381" s="29">
        <v>8.8459720358308902E-8</v>
      </c>
      <c r="AU381" s="29">
        <v>5.1941591693290802E-2</v>
      </c>
      <c r="BD381" s="21" t="s">
        <v>190</v>
      </c>
    </row>
    <row r="382" spans="2:56" x14ac:dyDescent="0.3">
      <c r="B382" s="11" t="s">
        <v>171</v>
      </c>
      <c r="C382" s="4" t="s">
        <v>194</v>
      </c>
      <c r="D382" s="4"/>
      <c r="E382" s="4"/>
      <c r="F382" s="42"/>
      <c r="G382" s="4"/>
      <c r="H382" s="4"/>
      <c r="I382" s="36" t="e">
        <f t="shared" si="27"/>
        <v>#DIV/0!</v>
      </c>
      <c r="J382" s="4"/>
      <c r="K382" s="4"/>
      <c r="L382" s="4"/>
      <c r="M382" s="4" t="e">
        <f t="shared" si="26"/>
        <v>#DIV/0!</v>
      </c>
      <c r="P382" t="s">
        <v>192</v>
      </c>
      <c r="AJ382" s="26">
        <v>1.1203420825541001E-2</v>
      </c>
      <c r="AK382" s="26">
        <v>165.48170999431801</v>
      </c>
      <c r="AL382" s="11">
        <f t="shared" si="28"/>
        <v>3.0679667559587665E-2</v>
      </c>
      <c r="AP382" s="65" t="s">
        <v>161</v>
      </c>
      <c r="AQ382" s="76">
        <v>165.48170999431801</v>
      </c>
      <c r="AR382" s="76">
        <v>1.1203420825541001E-2</v>
      </c>
      <c r="AS382" s="11" t="s">
        <v>186</v>
      </c>
      <c r="AT382" s="29">
        <v>6.3787227761290505E-8</v>
      </c>
      <c r="AU382" s="29">
        <v>6.4529674031894302E-2</v>
      </c>
      <c r="BD382" s="21" t="s">
        <v>190</v>
      </c>
    </row>
    <row r="383" spans="2:56" x14ac:dyDescent="0.3">
      <c r="B383" s="11" t="s">
        <v>171</v>
      </c>
      <c r="C383" s="4" t="s">
        <v>194</v>
      </c>
      <c r="D383" s="4"/>
      <c r="E383" s="4"/>
      <c r="F383" s="42"/>
      <c r="G383" s="4"/>
      <c r="H383" s="4"/>
      <c r="I383" s="36" t="e">
        <f t="shared" si="27"/>
        <v>#DIV/0!</v>
      </c>
      <c r="J383" s="4"/>
      <c r="K383" s="4"/>
      <c r="L383" s="4"/>
      <c r="M383" s="4" t="e">
        <f t="shared" si="26"/>
        <v>#DIV/0!</v>
      </c>
      <c r="P383" t="s">
        <v>192</v>
      </c>
      <c r="AJ383" s="26">
        <v>1.4928836924087099E-2</v>
      </c>
      <c r="AK383" s="26">
        <v>326.131581998775</v>
      </c>
      <c r="AL383" s="11">
        <f t="shared" si="28"/>
        <v>0.15878580981831228</v>
      </c>
      <c r="AP383" s="65" t="s">
        <v>161</v>
      </c>
      <c r="AQ383" s="76">
        <v>326.131581998775</v>
      </c>
      <c r="AR383" s="76">
        <v>1.4928836924087099E-2</v>
      </c>
      <c r="AS383" s="11" t="s">
        <v>186</v>
      </c>
      <c r="AT383" s="29">
        <v>3.55055184016348E-7</v>
      </c>
      <c r="AU383" s="29">
        <v>3.3524857517467699E-2</v>
      </c>
      <c r="BD383" s="21" t="s">
        <v>190</v>
      </c>
    </row>
    <row r="384" spans="2:56" x14ac:dyDescent="0.3">
      <c r="B384" s="11" t="s">
        <v>171</v>
      </c>
      <c r="C384" s="4" t="s">
        <v>194</v>
      </c>
      <c r="D384" s="4"/>
      <c r="E384" s="4"/>
      <c r="F384" s="42"/>
      <c r="G384" s="4"/>
      <c r="H384" s="4"/>
      <c r="I384" s="36" t="e">
        <f t="shared" si="27"/>
        <v>#DIV/0!</v>
      </c>
      <c r="J384" s="4"/>
      <c r="K384" s="4"/>
      <c r="L384" s="4"/>
      <c r="M384" s="4" t="e">
        <f t="shared" si="26"/>
        <v>#DIV/0!</v>
      </c>
      <c r="P384" t="s">
        <v>192</v>
      </c>
      <c r="AJ384" s="26">
        <v>3.5322541825643601E-2</v>
      </c>
      <c r="AK384" s="26">
        <v>380.502174351326</v>
      </c>
      <c r="AL384" s="11">
        <f t="shared" si="28"/>
        <v>0.51140648838706504</v>
      </c>
      <c r="AP384" s="65" t="s">
        <v>161</v>
      </c>
      <c r="AQ384" s="76">
        <v>380.502174351326</v>
      </c>
      <c r="AR384" s="76">
        <v>3.5322541825643601E-2</v>
      </c>
      <c r="AS384" s="11" t="s">
        <v>186</v>
      </c>
      <c r="AT384" s="29">
        <v>2.7783501763512201E-7</v>
      </c>
      <c r="AU384" s="29">
        <v>3.6065259779799103E-2</v>
      </c>
      <c r="BD384" s="21" t="s">
        <v>190</v>
      </c>
    </row>
    <row r="385" spans="2:56" x14ac:dyDescent="0.3">
      <c r="B385" s="11" t="s">
        <v>171</v>
      </c>
      <c r="C385" s="4" t="s">
        <v>194</v>
      </c>
      <c r="D385" s="4"/>
      <c r="E385" s="4"/>
      <c r="F385" s="42"/>
      <c r="G385" s="4"/>
      <c r="H385" s="4"/>
      <c r="I385" s="36" t="e">
        <f t="shared" si="27"/>
        <v>#DIV/0!</v>
      </c>
      <c r="J385" s="4"/>
      <c r="K385" s="4"/>
      <c r="L385" s="4"/>
      <c r="M385" s="4" t="e">
        <f t="shared" si="26"/>
        <v>#DIV/0!</v>
      </c>
      <c r="P385" t="s">
        <v>192</v>
      </c>
      <c r="AJ385" s="26">
        <v>2.13732285526139E-2</v>
      </c>
      <c r="AK385" s="26">
        <v>288.28459026122698</v>
      </c>
      <c r="AL385" s="11">
        <f t="shared" si="28"/>
        <v>0.17762863850338459</v>
      </c>
      <c r="AP385" s="65" t="s">
        <v>161</v>
      </c>
      <c r="AQ385" s="76">
        <v>288.28459026122698</v>
      </c>
      <c r="AR385" s="76">
        <v>2.13732285526139E-2</v>
      </c>
      <c r="AS385" s="11" t="s">
        <v>186</v>
      </c>
      <c r="AT385" s="29">
        <v>2.3592885776024101E-7</v>
      </c>
      <c r="AU385" s="29">
        <v>4.8098690346637503E-2</v>
      </c>
      <c r="BD385" s="21" t="s">
        <v>190</v>
      </c>
    </row>
    <row r="386" spans="2:56" x14ac:dyDescent="0.3">
      <c r="B386" s="11" t="s">
        <v>171</v>
      </c>
      <c r="C386" s="4" t="s">
        <v>194</v>
      </c>
      <c r="D386" s="4"/>
      <c r="E386" s="4"/>
      <c r="F386" s="42"/>
      <c r="G386" s="4"/>
      <c r="H386" s="4"/>
      <c r="I386" s="36" t="e">
        <f t="shared" si="27"/>
        <v>#DIV/0!</v>
      </c>
      <c r="J386" s="4"/>
      <c r="K386" s="4"/>
      <c r="L386" s="4"/>
      <c r="M386" s="4" t="e">
        <f t="shared" si="26"/>
        <v>#DIV/0!</v>
      </c>
      <c r="P386" t="s">
        <v>192</v>
      </c>
      <c r="AJ386" s="26">
        <v>3.2876313785268001E-2</v>
      </c>
      <c r="AK386" s="26">
        <v>279.53009456081998</v>
      </c>
      <c r="AL386" s="11">
        <f t="shared" si="28"/>
        <v>0.25688589553667218</v>
      </c>
      <c r="AP386" s="65" t="s">
        <v>161</v>
      </c>
      <c r="AQ386" s="76">
        <v>279.53009456081998</v>
      </c>
      <c r="AR386" s="76">
        <v>3.2876313785268001E-2</v>
      </c>
      <c r="AS386" s="11" t="s">
        <v>186</v>
      </c>
      <c r="AT386" s="29">
        <v>2.1740929438381299E-7</v>
      </c>
      <c r="AU386" s="29">
        <v>5.5546326762721102E-2</v>
      </c>
      <c r="BD386" s="21" t="s">
        <v>190</v>
      </c>
    </row>
    <row r="387" spans="2:56" x14ac:dyDescent="0.3">
      <c r="B387" s="11" t="s">
        <v>171</v>
      </c>
      <c r="C387" s="4" t="s">
        <v>194</v>
      </c>
      <c r="D387" s="4"/>
      <c r="E387" s="4"/>
      <c r="F387" s="42"/>
      <c r="G387" s="4"/>
      <c r="H387" s="4"/>
      <c r="I387" s="36" t="e">
        <f t="shared" si="27"/>
        <v>#DIV/0!</v>
      </c>
      <c r="J387" s="4"/>
      <c r="K387" s="4"/>
      <c r="L387" s="4"/>
      <c r="M387" s="4" t="e">
        <f t="shared" si="26"/>
        <v>#DIV/0!</v>
      </c>
      <c r="P387" t="s">
        <v>192</v>
      </c>
      <c r="AJ387" s="26">
        <v>1.8515373085834601E-2</v>
      </c>
      <c r="AK387" s="26">
        <v>193.069772888324</v>
      </c>
      <c r="AL387" s="11">
        <f t="shared" si="28"/>
        <v>6.9017788444044589E-2</v>
      </c>
      <c r="AP387" s="65" t="s">
        <v>161</v>
      </c>
      <c r="AQ387" s="76">
        <v>193.069772888324</v>
      </c>
      <c r="AR387" s="76">
        <v>1.8515373085834601E-2</v>
      </c>
      <c r="AS387" s="11" t="s">
        <v>186</v>
      </c>
      <c r="AT387" s="29">
        <v>2.1740929438381299E-7</v>
      </c>
      <c r="AU387" s="29">
        <v>6.8890896778440999E-2</v>
      </c>
      <c r="BD387" s="21" t="s">
        <v>190</v>
      </c>
    </row>
    <row r="388" spans="2:56" x14ac:dyDescent="0.3">
      <c r="B388" s="11" t="s">
        <v>171</v>
      </c>
      <c r="C388" s="4" t="s">
        <v>194</v>
      </c>
      <c r="D388" s="4"/>
      <c r="E388" s="4"/>
      <c r="F388" s="42"/>
      <c r="G388" s="4"/>
      <c r="H388" s="4"/>
      <c r="I388" s="36" t="e">
        <f t="shared" si="27"/>
        <v>#DIV/0!</v>
      </c>
      <c r="J388" s="4"/>
      <c r="K388" s="4"/>
      <c r="L388" s="4"/>
      <c r="M388" s="4" t="e">
        <f t="shared" si="26"/>
        <v>#DIV/0!</v>
      </c>
      <c r="P388" t="s">
        <v>192</v>
      </c>
      <c r="AJ388" s="26">
        <v>2.4969083253234602E-4</v>
      </c>
      <c r="AK388" s="26">
        <v>568.15166758302701</v>
      </c>
      <c r="AL388" s="11">
        <f t="shared" si="28"/>
        <v>8.0599281224331999E-3</v>
      </c>
      <c r="AP388" s="65" t="s">
        <v>161</v>
      </c>
      <c r="AQ388" s="76">
        <v>568.15166758302701</v>
      </c>
      <c r="AR388" s="76">
        <v>2.4969083253234602E-4</v>
      </c>
      <c r="AS388" s="11" t="s">
        <v>186</v>
      </c>
      <c r="AT388" s="29">
        <v>2.3592885776024101E-7</v>
      </c>
      <c r="AU388" s="29">
        <v>7.9490470863841395E-2</v>
      </c>
      <c r="BD388" s="21" t="s">
        <v>190</v>
      </c>
    </row>
    <row r="389" spans="2:56" x14ac:dyDescent="0.3">
      <c r="B389" s="11" t="s">
        <v>171</v>
      </c>
      <c r="C389" s="4" t="s">
        <v>194</v>
      </c>
      <c r="D389" s="4"/>
      <c r="E389" s="4"/>
      <c r="F389" s="42"/>
      <c r="G389" s="4"/>
      <c r="H389" s="4"/>
      <c r="I389" s="36" t="e">
        <f t="shared" si="27"/>
        <v>#DIV/0!</v>
      </c>
      <c r="J389" s="4"/>
      <c r="K389" s="4"/>
      <c r="L389" s="4"/>
      <c r="M389" s="4" t="e">
        <f t="shared" si="26"/>
        <v>#DIV/0!</v>
      </c>
      <c r="P389" t="s">
        <v>192</v>
      </c>
      <c r="AJ389" s="26">
        <v>1.72331090561351E-2</v>
      </c>
      <c r="AK389" s="26">
        <v>117.87686347935799</v>
      </c>
      <c r="AL389" s="11">
        <f t="shared" si="28"/>
        <v>2.3945327387540336E-2</v>
      </c>
      <c r="AP389" s="65" t="s">
        <v>161</v>
      </c>
      <c r="AQ389" s="76">
        <v>117.87686347935799</v>
      </c>
      <c r="AR389" s="76">
        <v>1.72331090561351E-2</v>
      </c>
      <c r="AS389" s="11" t="s">
        <v>186</v>
      </c>
      <c r="AT389" s="29">
        <v>4.5373756256470398E-7</v>
      </c>
      <c r="AU389" s="29">
        <v>7.3734508682708699E-2</v>
      </c>
      <c r="BD389" s="21" t="s">
        <v>190</v>
      </c>
    </row>
    <row r="390" spans="2:56" x14ac:dyDescent="0.3">
      <c r="B390" s="11" t="s">
        <v>171</v>
      </c>
      <c r="C390" s="4" t="s">
        <v>194</v>
      </c>
      <c r="D390" s="4"/>
      <c r="E390" s="4"/>
      <c r="F390" s="42"/>
      <c r="G390" s="4"/>
      <c r="H390" s="4"/>
      <c r="I390" s="36" t="e">
        <f t="shared" si="27"/>
        <v>#DIV/0!</v>
      </c>
      <c r="J390" s="4"/>
      <c r="K390" s="4"/>
      <c r="L390" s="4"/>
      <c r="M390" s="4" t="e">
        <f t="shared" si="26"/>
        <v>#DIV/0!</v>
      </c>
      <c r="P390" t="s">
        <v>192</v>
      </c>
      <c r="AJ390" s="26">
        <v>2.6507979336418401E-2</v>
      </c>
      <c r="AK390" s="26">
        <v>187.206717582115</v>
      </c>
      <c r="AL390" s="11">
        <f t="shared" si="28"/>
        <v>9.2900805701619321E-2</v>
      </c>
      <c r="AP390" s="65" t="s">
        <v>161</v>
      </c>
      <c r="AQ390" s="76">
        <v>187.206717582115</v>
      </c>
      <c r="AR390" s="76">
        <v>2.6507979336418401E-2</v>
      </c>
      <c r="AS390" s="11" t="s">
        <v>186</v>
      </c>
      <c r="AT390" s="29">
        <v>3.5505518401634901E-7</v>
      </c>
      <c r="AU390" s="29">
        <v>8.5223967019319904E-2</v>
      </c>
      <c r="BD390" s="21" t="s">
        <v>190</v>
      </c>
    </row>
    <row r="391" spans="2:56" x14ac:dyDescent="0.3">
      <c r="B391" s="11" t="s">
        <v>171</v>
      </c>
      <c r="C391" s="4" t="s">
        <v>194</v>
      </c>
      <c r="D391" s="4"/>
      <c r="E391" s="4"/>
      <c r="F391" s="42"/>
      <c r="G391" s="4"/>
      <c r="H391" s="4"/>
      <c r="I391" s="36" t="e">
        <f t="shared" si="27"/>
        <v>#DIV/0!</v>
      </c>
      <c r="J391" s="4"/>
      <c r="K391" s="4"/>
      <c r="L391" s="4"/>
      <c r="M391" s="4" t="e">
        <f t="shared" si="26"/>
        <v>#DIV/0!</v>
      </c>
      <c r="P391" t="s">
        <v>192</v>
      </c>
      <c r="AJ391" s="26">
        <v>3.0599496872071901E-2</v>
      </c>
      <c r="AK391" s="26">
        <v>181.52170888055699</v>
      </c>
      <c r="AL391" s="11">
        <f t="shared" si="28"/>
        <v>0.10082574241934437</v>
      </c>
      <c r="AP391" s="65" t="s">
        <v>161</v>
      </c>
      <c r="AQ391" s="76">
        <v>181.52170888055699</v>
      </c>
      <c r="AR391" s="76">
        <v>3.0599496872071901E-2</v>
      </c>
      <c r="AS391" s="11" t="s">
        <v>186</v>
      </c>
      <c r="AT391" s="29">
        <v>1.5677119622478001E-7</v>
      </c>
      <c r="AU391" s="29">
        <v>0.122532194419488</v>
      </c>
      <c r="BD391" s="21" t="s">
        <v>190</v>
      </c>
    </row>
    <row r="392" spans="2:56" x14ac:dyDescent="0.3">
      <c r="B392" s="11" t="s">
        <v>171</v>
      </c>
      <c r="C392" s="4" t="s">
        <v>194</v>
      </c>
      <c r="D392" s="4"/>
      <c r="E392" s="4"/>
      <c r="F392" s="42"/>
      <c r="G392" s="4"/>
      <c r="H392" s="4"/>
      <c r="I392" s="36" t="e">
        <f t="shared" si="27"/>
        <v>#DIV/0!</v>
      </c>
      <c r="J392" s="4"/>
      <c r="K392" s="4"/>
      <c r="L392" s="4"/>
      <c r="M392" s="4" t="e">
        <f t="shared" si="26"/>
        <v>#DIV/0!</v>
      </c>
      <c r="P392" t="s">
        <v>192</v>
      </c>
      <c r="AJ392" s="26">
        <v>4.70681655960924E-2</v>
      </c>
      <c r="AK392" s="26">
        <v>211.783858826895</v>
      </c>
      <c r="AL392" s="11">
        <f t="shared" si="28"/>
        <v>0.21111203251787811</v>
      </c>
      <c r="AP392" s="65" t="s">
        <v>161</v>
      </c>
      <c r="AQ392" s="76">
        <v>211.783858826895</v>
      </c>
      <c r="AR392" s="76">
        <v>4.70681655960924E-2</v>
      </c>
      <c r="AS392" s="11" t="s">
        <v>186</v>
      </c>
      <c r="AT392" s="29">
        <v>1.5677119622478099E-7</v>
      </c>
      <c r="AU392" s="29">
        <v>0.20250326485377501</v>
      </c>
      <c r="BD392" s="21" t="s">
        <v>190</v>
      </c>
    </row>
    <row r="393" spans="2:56" x14ac:dyDescent="0.3">
      <c r="B393" s="11" t="s">
        <v>171</v>
      </c>
      <c r="C393" s="4" t="s">
        <v>194</v>
      </c>
      <c r="D393" s="4"/>
      <c r="E393" s="4"/>
      <c r="F393" s="42"/>
      <c r="G393" s="4"/>
      <c r="H393" s="4"/>
      <c r="I393" s="36" t="e">
        <f t="shared" si="27"/>
        <v>#DIV/0!</v>
      </c>
      <c r="J393" s="4"/>
      <c r="K393" s="4"/>
      <c r="L393" s="4"/>
      <c r="M393" s="4" t="e">
        <f t="shared" si="26"/>
        <v>#DIV/0!</v>
      </c>
      <c r="P393" t="s">
        <v>192</v>
      </c>
      <c r="AJ393" s="26">
        <v>7.7787370486942994E-2</v>
      </c>
      <c r="AK393" s="26">
        <v>247.09112279856001</v>
      </c>
      <c r="AL393" s="11">
        <f t="shared" si="28"/>
        <v>0.47492319041631381</v>
      </c>
      <c r="AP393" s="65" t="s">
        <v>161</v>
      </c>
      <c r="AQ393" s="76">
        <v>247.09112279856001</v>
      </c>
      <c r="AR393" s="76">
        <v>7.7787370486942994E-2</v>
      </c>
      <c r="AS393" s="11" t="s">
        <v>186</v>
      </c>
      <c r="AT393" s="29">
        <v>2.1740929438381299E-7</v>
      </c>
      <c r="AU393" s="29">
        <v>0.151711667221862</v>
      </c>
      <c r="BD393" s="21" t="s">
        <v>190</v>
      </c>
    </row>
    <row r="394" spans="2:56" x14ac:dyDescent="0.3">
      <c r="B394" s="11" t="s">
        <v>171</v>
      </c>
      <c r="C394" s="4" t="s">
        <v>194</v>
      </c>
      <c r="D394" s="4"/>
      <c r="E394" s="4"/>
      <c r="F394" s="42"/>
      <c r="G394" s="4"/>
      <c r="H394" s="4"/>
      <c r="I394" s="36" t="e">
        <f t="shared" si="27"/>
        <v>#DIV/0!</v>
      </c>
      <c r="J394" s="4"/>
      <c r="K394" s="4"/>
      <c r="L394" s="4"/>
      <c r="M394" s="4" t="e">
        <f t="shared" si="26"/>
        <v>#DIV/0!</v>
      </c>
      <c r="P394" t="s">
        <v>192</v>
      </c>
      <c r="AJ394" s="26">
        <v>8.3575295742647895E-2</v>
      </c>
      <c r="AK394" s="26">
        <v>199.11645097243201</v>
      </c>
      <c r="AL394" s="11">
        <f t="shared" si="28"/>
        <v>0.33135399249901804</v>
      </c>
      <c r="AP394" s="65" t="s">
        <v>161</v>
      </c>
      <c r="AQ394" s="76">
        <v>199.11645097243201</v>
      </c>
      <c r="AR394" s="76">
        <v>8.3575295742647895E-2</v>
      </c>
      <c r="AS394" s="11" t="s">
        <v>186</v>
      </c>
      <c r="AT394" s="29">
        <v>2.7783501763512201E-7</v>
      </c>
      <c r="AU394" s="29">
        <v>0.15151850903535899</v>
      </c>
      <c r="BD394" s="21" t="s">
        <v>190</v>
      </c>
    </row>
    <row r="395" spans="2:56" x14ac:dyDescent="0.3">
      <c r="B395" s="11" t="s">
        <v>171</v>
      </c>
      <c r="C395" s="4" t="s">
        <v>194</v>
      </c>
      <c r="D395" s="4"/>
      <c r="E395" s="4"/>
      <c r="F395" s="42"/>
      <c r="G395" s="4"/>
      <c r="H395" s="4"/>
      <c r="I395" s="36" t="e">
        <f t="shared" si="27"/>
        <v>#DIV/0!</v>
      </c>
      <c r="J395" s="4"/>
      <c r="K395" s="4"/>
      <c r="L395" s="4"/>
      <c r="M395" s="4" t="e">
        <f t="shared" si="26"/>
        <v>#DIV/0!</v>
      </c>
      <c r="P395" t="s">
        <v>192</v>
      </c>
      <c r="AJ395" s="26">
        <v>4.7068165596092303E-2</v>
      </c>
      <c r="AK395" s="26">
        <v>165.48170999431801</v>
      </c>
      <c r="AL395" s="11">
        <f t="shared" si="28"/>
        <v>0.12889238881714526</v>
      </c>
      <c r="AP395" s="65" t="s">
        <v>161</v>
      </c>
      <c r="AQ395" s="76">
        <v>165.48170999431801</v>
      </c>
      <c r="AR395" s="76">
        <v>4.7068165596092303E-2</v>
      </c>
      <c r="AS395" s="11" t="s">
        <v>186</v>
      </c>
      <c r="AT395" s="29">
        <v>2.7783501763512201E-7</v>
      </c>
      <c r="AU395" s="29">
        <v>0.162792547477109</v>
      </c>
      <c r="BD395" s="21" t="s">
        <v>190</v>
      </c>
    </row>
    <row r="396" spans="2:56" x14ac:dyDescent="0.3">
      <c r="B396" s="11" t="s">
        <v>171</v>
      </c>
      <c r="C396" s="4" t="s">
        <v>194</v>
      </c>
      <c r="D396" s="4"/>
      <c r="E396" s="4"/>
      <c r="F396" s="42"/>
      <c r="G396" s="4"/>
      <c r="H396" s="4"/>
      <c r="I396" s="36" t="e">
        <f t="shared" si="27"/>
        <v>#DIV/0!</v>
      </c>
      <c r="J396" s="4"/>
      <c r="K396" s="4"/>
      <c r="L396" s="4"/>
      <c r="M396" s="4" t="e">
        <f t="shared" si="26"/>
        <v>#DIV/0!</v>
      </c>
      <c r="P396" t="s">
        <v>192</v>
      </c>
      <c r="AJ396" s="26">
        <v>5.8375923784885903E-2</v>
      </c>
      <c r="AK396" s="26">
        <v>155.58376817493999</v>
      </c>
      <c r="AL396" s="11">
        <f t="shared" si="28"/>
        <v>0.14130656445989223</v>
      </c>
      <c r="AP396" s="65" t="s">
        <v>161</v>
      </c>
      <c r="AQ396" s="76">
        <v>155.58376817493999</v>
      </c>
      <c r="AR396" s="76">
        <v>5.8375923784885903E-2</v>
      </c>
      <c r="AS396" s="11" t="s">
        <v>186</v>
      </c>
      <c r="AT396" s="29">
        <v>3.01501821907995E-7</v>
      </c>
      <c r="AU396" s="29">
        <v>0.17483119237862799</v>
      </c>
      <c r="BD396" s="21" t="s">
        <v>190</v>
      </c>
    </row>
    <row r="397" spans="2:56" x14ac:dyDescent="0.3">
      <c r="B397" s="11" t="s">
        <v>171</v>
      </c>
      <c r="C397" s="4" t="s">
        <v>194</v>
      </c>
      <c r="D397" s="4"/>
      <c r="E397" s="4"/>
      <c r="F397" s="42"/>
      <c r="G397" s="4"/>
      <c r="H397" s="4"/>
      <c r="I397" s="36" t="e">
        <f t="shared" si="27"/>
        <v>#DIV/0!</v>
      </c>
      <c r="J397" s="4"/>
      <c r="K397" s="4"/>
      <c r="L397" s="4"/>
      <c r="M397" s="4" t="e">
        <f t="shared" si="26"/>
        <v>#DIV/0!</v>
      </c>
      <c r="P397" t="s">
        <v>192</v>
      </c>
      <c r="AJ397" s="26">
        <v>7.77873704869428E-2</v>
      </c>
      <c r="AK397" s="26">
        <v>170.664368129634</v>
      </c>
      <c r="AL397" s="11">
        <f t="shared" si="28"/>
        <v>0.22656603541975268</v>
      </c>
      <c r="AP397" s="65" t="s">
        <v>161</v>
      </c>
      <c r="AQ397" s="76">
        <v>170.664368129634</v>
      </c>
      <c r="AR397" s="76">
        <v>7.77873704869428E-2</v>
      </c>
      <c r="AS397" s="11" t="s">
        <v>186</v>
      </c>
      <c r="AT397" s="29">
        <v>3.2718463420339302E-7</v>
      </c>
      <c r="AU397" s="29">
        <v>0.18776010512907901</v>
      </c>
      <c r="BD397" s="21" t="s">
        <v>190</v>
      </c>
    </row>
    <row r="398" spans="2:56" x14ac:dyDescent="0.3">
      <c r="B398" s="11" t="s">
        <v>171</v>
      </c>
      <c r="C398" s="4" t="s">
        <v>194</v>
      </c>
      <c r="D398" s="4"/>
      <c r="E398" s="4"/>
      <c r="F398" s="42"/>
      <c r="G398" s="4"/>
      <c r="H398" s="4"/>
      <c r="I398" s="36" t="e">
        <f t="shared" si="27"/>
        <v>#DIV/0!</v>
      </c>
      <c r="J398" s="4"/>
      <c r="K398" s="4"/>
      <c r="L398" s="4"/>
      <c r="M398" s="4" t="e">
        <f t="shared" si="26"/>
        <v>#DIV/0!</v>
      </c>
      <c r="P398" t="s">
        <v>192</v>
      </c>
      <c r="AJ398" s="26">
        <v>0.103653606058043</v>
      </c>
      <c r="AK398" s="26">
        <v>170.664368129634</v>
      </c>
      <c r="AL398" s="11">
        <f t="shared" si="28"/>
        <v>0.30190487780370068</v>
      </c>
      <c r="AP398" s="65" t="s">
        <v>161</v>
      </c>
      <c r="AQ398" s="76">
        <v>170.664368129634</v>
      </c>
      <c r="AR398" s="76">
        <v>0.103653606058043</v>
      </c>
      <c r="AS398" s="11" t="s">
        <v>186</v>
      </c>
      <c r="AT398" s="29">
        <v>3.8529982926555997E-7</v>
      </c>
      <c r="AU398" s="29">
        <v>0.20155950773634701</v>
      </c>
      <c r="BD398" s="21" t="s">
        <v>190</v>
      </c>
    </row>
    <row r="399" spans="2:56" x14ac:dyDescent="0.3">
      <c r="B399" s="11" t="s">
        <v>171</v>
      </c>
      <c r="C399" s="4" t="s">
        <v>194</v>
      </c>
      <c r="D399" s="4"/>
      <c r="E399" s="4"/>
      <c r="F399" s="42"/>
      <c r="G399" s="4"/>
      <c r="H399" s="4"/>
      <c r="I399" s="36" t="e">
        <f t="shared" si="27"/>
        <v>#DIV/0!</v>
      </c>
      <c r="J399" s="4"/>
      <c r="K399" s="4"/>
      <c r="L399" s="4"/>
      <c r="M399" s="4" t="e">
        <f t="shared" si="26"/>
        <v>#DIV/0!</v>
      </c>
      <c r="P399" t="s">
        <v>192</v>
      </c>
      <c r="AJ399" s="26">
        <v>5.0570366823463199E-2</v>
      </c>
      <c r="AK399" s="26">
        <v>125.375964126269</v>
      </c>
      <c r="AL399" s="11">
        <f t="shared" si="28"/>
        <v>7.9492229063309008E-2</v>
      </c>
      <c r="AP399" s="65" t="s">
        <v>161</v>
      </c>
      <c r="AQ399" s="76">
        <v>125.375964126269</v>
      </c>
      <c r="AR399" s="76">
        <v>5.0570366823463199E-2</v>
      </c>
      <c r="AS399" s="11" t="s">
        <v>186</v>
      </c>
      <c r="AT399" s="29">
        <v>5.3433134417576304E-7</v>
      </c>
      <c r="AU399" s="29">
        <v>0.26812721044818399</v>
      </c>
      <c r="BD399" s="21" t="s">
        <v>190</v>
      </c>
    </row>
    <row r="400" spans="2:56" x14ac:dyDescent="0.3">
      <c r="B400" s="11" t="s">
        <v>171</v>
      </c>
      <c r="C400" s="4" t="s">
        <v>194</v>
      </c>
      <c r="D400" s="4"/>
      <c r="E400" s="4"/>
      <c r="F400" s="42"/>
      <c r="G400" s="4"/>
      <c r="H400" s="4"/>
      <c r="I400" s="36" t="e">
        <f t="shared" si="27"/>
        <v>#DIV/0!</v>
      </c>
      <c r="J400" s="4"/>
      <c r="K400" s="4"/>
      <c r="L400" s="4"/>
      <c r="M400" s="4" t="e">
        <f t="shared" si="26"/>
        <v>#DIV/0!</v>
      </c>
      <c r="P400" t="s">
        <v>192</v>
      </c>
      <c r="AJ400" s="26">
        <v>5.8375923784885597E-2</v>
      </c>
      <c r="AK400" s="26">
        <v>101.03324122421699</v>
      </c>
      <c r="AL400" s="11">
        <f t="shared" si="28"/>
        <v>5.9588484144241144E-2</v>
      </c>
      <c r="AP400" s="65" t="s">
        <v>161</v>
      </c>
      <c r="AQ400" s="76">
        <v>101.03324122421699</v>
      </c>
      <c r="AR400" s="76">
        <v>5.8375923784885597E-2</v>
      </c>
      <c r="AS400" s="11" t="s">
        <v>186</v>
      </c>
      <c r="AT400" s="29">
        <v>4.53737562564706E-7</v>
      </c>
      <c r="AU400" s="29">
        <v>0.41278388939016802</v>
      </c>
      <c r="BD400" s="21" t="s">
        <v>190</v>
      </c>
    </row>
    <row r="401" spans="2:56" x14ac:dyDescent="0.3">
      <c r="B401" s="11" t="s">
        <v>171</v>
      </c>
      <c r="C401" s="4" t="s">
        <v>194</v>
      </c>
      <c r="D401" s="4"/>
      <c r="E401" s="4"/>
      <c r="F401" s="42"/>
      <c r="G401" s="4"/>
      <c r="H401" s="4"/>
      <c r="I401" s="36" t="e">
        <f t="shared" si="27"/>
        <v>#DIV/0!</v>
      </c>
      <c r="J401" s="4"/>
      <c r="K401" s="4"/>
      <c r="L401" s="4"/>
      <c r="M401" s="4" t="e">
        <f t="shared" si="26"/>
        <v>#DIV/0!</v>
      </c>
      <c r="P401" t="s">
        <v>192</v>
      </c>
      <c r="AJ401" s="26">
        <v>0.12855557319138999</v>
      </c>
      <c r="AK401" s="26">
        <v>97.965109573149604</v>
      </c>
      <c r="AL401" s="11">
        <f t="shared" si="28"/>
        <v>0.12337687510969551</v>
      </c>
      <c r="AP401" s="65" t="s">
        <v>161</v>
      </c>
      <c r="AQ401" s="76">
        <v>97.965109573149604</v>
      </c>
      <c r="AR401" s="76">
        <v>0.12855557319138999</v>
      </c>
      <c r="AS401" s="11" t="s">
        <v>186</v>
      </c>
      <c r="AT401" s="29">
        <v>3.2718463420339302E-7</v>
      </c>
      <c r="AU401" s="29">
        <v>0.33339107475512603</v>
      </c>
      <c r="BD401" s="21" t="s">
        <v>190</v>
      </c>
    </row>
    <row r="402" spans="2:56" x14ac:dyDescent="0.3">
      <c r="B402" s="11" t="s">
        <v>171</v>
      </c>
      <c r="C402" s="4" t="s">
        <v>194</v>
      </c>
      <c r="D402" s="4"/>
      <c r="E402" s="4"/>
      <c r="F402" s="42"/>
      <c r="G402" s="4"/>
      <c r="H402" s="4"/>
      <c r="I402" s="36" t="e">
        <f t="shared" si="27"/>
        <v>#DIV/0!</v>
      </c>
      <c r="J402" s="4"/>
      <c r="K402" s="4"/>
      <c r="L402" s="4"/>
      <c r="M402" s="4" t="e">
        <f t="shared" si="26"/>
        <v>#DIV/0!</v>
      </c>
      <c r="P402" t="s">
        <v>192</v>
      </c>
      <c r="AJ402" s="26">
        <v>0.13812100835365601</v>
      </c>
      <c r="AK402" s="26">
        <v>117.87686347935799</v>
      </c>
      <c r="AL402" s="11">
        <f t="shared" si="28"/>
        <v>0.19191851878567712</v>
      </c>
      <c r="AP402" s="65" t="s">
        <v>161</v>
      </c>
      <c r="AQ402" s="76">
        <v>117.87686347935799</v>
      </c>
      <c r="AR402" s="76">
        <v>0.13812100835365601</v>
      </c>
      <c r="AS402" s="11" t="s">
        <v>186</v>
      </c>
      <c r="AT402" s="29">
        <v>1.44465223434313E-7</v>
      </c>
      <c r="AU402" s="29">
        <v>0.73731899338569795</v>
      </c>
      <c r="BD402" s="21" t="s">
        <v>190</v>
      </c>
    </row>
    <row r="403" spans="2:56" x14ac:dyDescent="0.3">
      <c r="B403" s="11" t="s">
        <v>171</v>
      </c>
      <c r="C403" s="4" t="s">
        <v>194</v>
      </c>
      <c r="D403" s="4"/>
      <c r="E403" s="4"/>
      <c r="F403" s="42"/>
      <c r="G403" s="4"/>
      <c r="H403" s="4"/>
      <c r="I403" s="36" t="e">
        <f t="shared" si="27"/>
        <v>#DIV/0!</v>
      </c>
      <c r="J403" s="4"/>
      <c r="K403" s="4"/>
      <c r="L403" s="4"/>
      <c r="M403" s="4" t="e">
        <f t="shared" si="26"/>
        <v>#DIV/0!</v>
      </c>
      <c r="P403" t="s">
        <v>192</v>
      </c>
      <c r="AJ403" s="26">
        <v>0.159440042918646</v>
      </c>
      <c r="AK403" s="26">
        <v>133.352143216332</v>
      </c>
      <c r="AL403" s="11">
        <f t="shared" si="28"/>
        <v>0.2835289454579486</v>
      </c>
      <c r="AP403" s="65" t="s">
        <v>161</v>
      </c>
      <c r="AQ403" s="76">
        <v>133.352143216332</v>
      </c>
      <c r="AR403" s="76">
        <v>0.159440042918646</v>
      </c>
      <c r="AS403" s="11" t="s">
        <v>186</v>
      </c>
      <c r="AT403" s="29">
        <v>1.1304580163146299E-7</v>
      </c>
      <c r="AU403" s="29">
        <v>1.13559037103907</v>
      </c>
      <c r="BD403" s="21" t="s">
        <v>190</v>
      </c>
    </row>
    <row r="404" spans="2:56" x14ac:dyDescent="0.3">
      <c r="B404" s="11" t="s">
        <v>171</v>
      </c>
      <c r="C404" s="4" t="s">
        <v>194</v>
      </c>
      <c r="D404" s="4"/>
      <c r="E404" s="4"/>
      <c r="F404" s="42"/>
      <c r="G404" s="4"/>
      <c r="H404" s="4"/>
      <c r="I404" s="36" t="e">
        <f t="shared" si="27"/>
        <v>#DIV/0!</v>
      </c>
      <c r="J404" s="4"/>
      <c r="K404" s="4"/>
      <c r="L404" s="4"/>
      <c r="M404" s="4" t="e">
        <f t="shared" si="26"/>
        <v>#DIV/0!</v>
      </c>
      <c r="P404" t="s">
        <v>192</v>
      </c>
      <c r="AJ404" s="26">
        <v>0.1977442646384</v>
      </c>
      <c r="AK404" s="26">
        <v>117.87686347935799</v>
      </c>
      <c r="AL404" s="11">
        <f t="shared" si="28"/>
        <v>0.27476476475318273</v>
      </c>
      <c r="AP404" s="65" t="s">
        <v>161</v>
      </c>
      <c r="AQ404" s="76">
        <v>117.87686347935799</v>
      </c>
      <c r="AR404" s="76">
        <v>0.1977442646384</v>
      </c>
      <c r="AS404" s="11" t="s">
        <v>186</v>
      </c>
      <c r="AT404" s="29">
        <v>1.04172114420716E-7</v>
      </c>
      <c r="AU404" s="29">
        <v>1.3114260152146899</v>
      </c>
      <c r="BD404" s="21" t="s">
        <v>190</v>
      </c>
    </row>
    <row r="405" spans="2:56" x14ac:dyDescent="0.3">
      <c r="B405" s="11" t="s">
        <v>171</v>
      </c>
      <c r="C405" s="4" t="s">
        <v>194</v>
      </c>
      <c r="D405" s="4"/>
      <c r="E405" s="4"/>
      <c r="F405" s="42"/>
      <c r="G405" s="4"/>
      <c r="H405" s="4"/>
      <c r="I405" s="36" t="e">
        <f t="shared" si="27"/>
        <v>#DIV/0!</v>
      </c>
      <c r="J405" s="4"/>
      <c r="K405" s="4"/>
      <c r="L405" s="4"/>
      <c r="M405" s="4" t="e">
        <f t="shared" si="26"/>
        <v>#DIV/0!</v>
      </c>
      <c r="P405" t="s">
        <v>192</v>
      </c>
      <c r="AJ405" s="26">
        <v>0.22826617338424601</v>
      </c>
      <c r="AK405" s="26">
        <v>137.52854778651499</v>
      </c>
      <c r="AL405" s="11">
        <f t="shared" si="28"/>
        <v>0.43174495624236314</v>
      </c>
      <c r="AP405" s="65" t="s">
        <v>161</v>
      </c>
      <c r="AQ405" s="76">
        <v>137.52854778651499</v>
      </c>
      <c r="AR405" s="76">
        <v>0.22826617338424601</v>
      </c>
      <c r="AS405" s="11" t="s">
        <v>186</v>
      </c>
      <c r="AT405" s="29">
        <v>1.04172114420716E-7</v>
      </c>
      <c r="AU405" s="29">
        <v>1.8775346060484599</v>
      </c>
      <c r="BD405" s="21" t="s">
        <v>190</v>
      </c>
    </row>
    <row r="406" spans="2:56" x14ac:dyDescent="0.3">
      <c r="B406" s="11" t="s">
        <v>171</v>
      </c>
      <c r="C406" s="4" t="s">
        <v>194</v>
      </c>
      <c r="D406" s="4"/>
      <c r="E406" s="4"/>
      <c r="F406" s="42"/>
      <c r="G406" s="4"/>
      <c r="H406" s="4"/>
      <c r="I406" s="36" t="e">
        <f t="shared" si="27"/>
        <v>#DIV/0!</v>
      </c>
      <c r="J406" s="4"/>
      <c r="K406" s="4"/>
      <c r="L406" s="4"/>
      <c r="M406" s="4" t="e">
        <f t="shared" si="26"/>
        <v>#DIV/0!</v>
      </c>
      <c r="P406" t="s">
        <v>192</v>
      </c>
      <c r="AJ406" s="26">
        <v>0.212457823103056</v>
      </c>
      <c r="AK406" s="26">
        <v>107.460782832131</v>
      </c>
      <c r="AL406" s="11">
        <f t="shared" si="28"/>
        <v>0.24534246662574541</v>
      </c>
      <c r="AP406" s="65" t="s">
        <v>161</v>
      </c>
      <c r="AQ406" s="76">
        <v>107.460782832131</v>
      </c>
      <c r="AR406" s="76">
        <v>0.212457823103056</v>
      </c>
      <c r="AS406" s="11" t="s">
        <v>186</v>
      </c>
      <c r="AT406" s="29">
        <v>1.1151602437024599E-6</v>
      </c>
      <c r="AU406" s="29">
        <v>0.67900944679192599</v>
      </c>
      <c r="BD406" s="21" t="s">
        <v>190</v>
      </c>
    </row>
    <row r="407" spans="2:56" x14ac:dyDescent="0.3">
      <c r="B407" s="11" t="s">
        <v>171</v>
      </c>
      <c r="C407" s="4" t="s">
        <v>194</v>
      </c>
      <c r="D407" s="4"/>
      <c r="E407" s="4"/>
      <c r="F407" s="42"/>
      <c r="G407" s="4"/>
      <c r="H407" s="4"/>
      <c r="I407" s="36" t="e">
        <f t="shared" si="27"/>
        <v>#DIV/0!</v>
      </c>
      <c r="J407" s="4"/>
      <c r="K407" s="4"/>
      <c r="L407" s="4"/>
      <c r="M407" s="4" t="e">
        <f t="shared" si="26"/>
        <v>#DIV/0!</v>
      </c>
      <c r="P407" t="s">
        <v>192</v>
      </c>
      <c r="AJ407" s="26">
        <v>0.184049679255231</v>
      </c>
      <c r="AK407" s="26">
        <v>104.19746251239501</v>
      </c>
      <c r="AL407" s="11">
        <f t="shared" si="28"/>
        <v>0.19982478328981204</v>
      </c>
      <c r="AP407" s="65" t="s">
        <v>161</v>
      </c>
      <c r="AQ407" s="76">
        <v>104.19746251239501</v>
      </c>
      <c r="AR407" s="76">
        <v>0.184049679255231</v>
      </c>
      <c r="AS407" s="11" t="s">
        <v>186</v>
      </c>
      <c r="AT407" s="29">
        <v>9.46959403302719E-7</v>
      </c>
      <c r="AU407" s="29">
        <v>1.04534023201499</v>
      </c>
      <c r="BD407" s="21" t="s">
        <v>190</v>
      </c>
    </row>
    <row r="408" spans="2:56" x14ac:dyDescent="0.3">
      <c r="B408" s="11" t="s">
        <v>171</v>
      </c>
      <c r="C408" s="4" t="s">
        <v>194</v>
      </c>
      <c r="D408" s="4"/>
      <c r="E408" s="4"/>
      <c r="F408" s="42"/>
      <c r="G408" s="4"/>
      <c r="H408" s="4"/>
      <c r="I408" s="36" t="e">
        <f t="shared" si="27"/>
        <v>#DIV/0!</v>
      </c>
      <c r="J408" s="4"/>
      <c r="K408" s="4"/>
      <c r="L408" s="4"/>
      <c r="M408" s="4" t="e">
        <f t="shared" si="26"/>
        <v>#DIV/0!</v>
      </c>
      <c r="P408" t="s">
        <v>192</v>
      </c>
      <c r="AJ408" s="26">
        <v>0.28310533396382398</v>
      </c>
      <c r="AK408" s="26">
        <v>97.965109573149704</v>
      </c>
      <c r="AL408" s="11">
        <f t="shared" si="28"/>
        <v>0.271700794949921</v>
      </c>
      <c r="AP408" s="65" t="s">
        <v>161</v>
      </c>
      <c r="AQ408" s="76">
        <v>97.965109573149704</v>
      </c>
      <c r="AR408" s="76">
        <v>0.28310533396382398</v>
      </c>
      <c r="AS408" s="11" t="s">
        <v>186</v>
      </c>
      <c r="AT408" s="29">
        <v>4.1246263829013401E-6</v>
      </c>
      <c r="AU408" s="29">
        <v>1.5956987148205</v>
      </c>
      <c r="BD408" s="21" t="s">
        <v>190</v>
      </c>
    </row>
    <row r="409" spans="2:56" x14ac:dyDescent="0.3">
      <c r="B409" s="11" t="s">
        <v>171</v>
      </c>
      <c r="C409" s="4" t="s">
        <v>194</v>
      </c>
      <c r="D409" s="4"/>
      <c r="E409" s="4"/>
      <c r="F409" s="42"/>
      <c r="G409" s="4"/>
      <c r="H409" s="4"/>
      <c r="I409" s="36" t="e">
        <f t="shared" si="27"/>
        <v>#DIV/0!</v>
      </c>
      <c r="J409" s="4"/>
      <c r="K409" s="4"/>
      <c r="L409" s="4"/>
      <c r="M409" s="4" t="e">
        <f t="shared" si="26"/>
        <v>#DIV/0!</v>
      </c>
      <c r="P409" t="s">
        <v>192</v>
      </c>
      <c r="AJ409" s="26">
        <v>0.28310533396382398</v>
      </c>
      <c r="AK409" s="26">
        <v>117.87686347935799</v>
      </c>
      <c r="AL409" s="11">
        <f t="shared" si="28"/>
        <v>0.39337358597573091</v>
      </c>
      <c r="AP409" s="65" t="s">
        <v>161</v>
      </c>
      <c r="AQ409" s="76">
        <v>117.87686347935799</v>
      </c>
      <c r="AR409" s="76">
        <v>0.28310533396382398</v>
      </c>
      <c r="AS409" s="11" t="s">
        <v>186</v>
      </c>
      <c r="AT409" s="29">
        <v>2.9742178864082802E-6</v>
      </c>
      <c r="AU409" s="29">
        <v>2.1299231983363298</v>
      </c>
      <c r="BD409" s="21" t="s">
        <v>190</v>
      </c>
    </row>
    <row r="410" spans="2:56" x14ac:dyDescent="0.3">
      <c r="B410" s="11" t="s">
        <v>171</v>
      </c>
      <c r="C410" s="4" t="s">
        <v>194</v>
      </c>
      <c r="D410" s="4"/>
      <c r="E410" s="4"/>
      <c r="F410" s="42"/>
      <c r="G410" s="4"/>
      <c r="H410" s="4"/>
      <c r="I410" s="36" t="e">
        <f t="shared" si="27"/>
        <v>#DIV/0!</v>
      </c>
      <c r="J410" s="4"/>
      <c r="K410" s="4"/>
      <c r="L410" s="4"/>
      <c r="M410" s="4" t="e">
        <f t="shared" si="26"/>
        <v>#DIV/0!</v>
      </c>
      <c r="P410" t="s">
        <v>192</v>
      </c>
      <c r="AJ410" s="26">
        <v>0.212457823103056</v>
      </c>
      <c r="AK410" s="26">
        <v>78.944418222720202</v>
      </c>
      <c r="AL410" s="11">
        <f t="shared" si="28"/>
        <v>0.13240841425613414</v>
      </c>
      <c r="AP410" s="65" t="s">
        <v>161</v>
      </c>
      <c r="AQ410" s="76">
        <v>78.944418222720202</v>
      </c>
      <c r="AR410" s="76">
        <v>0.212457823103056</v>
      </c>
      <c r="AS410" s="11" t="s">
        <v>186</v>
      </c>
      <c r="AT410" s="29">
        <v>3.80085810619542E-6</v>
      </c>
      <c r="AU410" s="29">
        <v>3.04547337282566</v>
      </c>
      <c r="BD410" s="21" t="s">
        <v>190</v>
      </c>
    </row>
    <row r="411" spans="2:56" x14ac:dyDescent="0.3">
      <c r="B411" s="11" t="s">
        <v>171</v>
      </c>
      <c r="C411" s="4" t="s">
        <v>194</v>
      </c>
      <c r="D411" s="4"/>
      <c r="E411" s="4"/>
      <c r="F411" s="42"/>
      <c r="G411" s="4"/>
      <c r="H411" s="4"/>
      <c r="I411" s="36" t="e">
        <f t="shared" si="27"/>
        <v>#DIV/0!</v>
      </c>
      <c r="J411" s="4"/>
      <c r="K411" s="4"/>
      <c r="L411" s="4"/>
      <c r="M411" s="4" t="e">
        <f t="shared" si="26"/>
        <v>#DIV/0!</v>
      </c>
      <c r="P411" t="s">
        <v>192</v>
      </c>
      <c r="AJ411" s="26">
        <v>0.46787503232762501</v>
      </c>
      <c r="AK411" s="26">
        <v>107.460782832131</v>
      </c>
      <c r="AL411" s="11">
        <f t="shared" si="28"/>
        <v>0.54029365841793164</v>
      </c>
      <c r="AP411" s="65" t="s">
        <v>161</v>
      </c>
      <c r="AQ411" s="76">
        <v>107.460782832131</v>
      </c>
      <c r="AR411" s="76">
        <v>0.46787503232762501</v>
      </c>
      <c r="AS411" s="11" t="s">
        <v>186</v>
      </c>
      <c r="AT411" s="29">
        <v>1.9763232879260699E-6</v>
      </c>
      <c r="AU411" s="29">
        <v>3.0558374879153498</v>
      </c>
      <c r="BD411" s="21" t="s">
        <v>190</v>
      </c>
    </row>
    <row r="412" spans="2:56" x14ac:dyDescent="0.3">
      <c r="B412" s="11" t="s">
        <v>171</v>
      </c>
      <c r="C412" s="4" t="s">
        <v>194</v>
      </c>
      <c r="D412" s="4"/>
      <c r="E412" s="4"/>
      <c r="F412" s="42"/>
      <c r="G412" s="4"/>
      <c r="H412" s="4"/>
      <c r="I412" s="36" t="e">
        <f t="shared" si="27"/>
        <v>#DIV/0!</v>
      </c>
      <c r="J412" s="4"/>
      <c r="K412" s="4"/>
      <c r="L412" s="4"/>
      <c r="M412" s="4" t="e">
        <f t="shared" si="26"/>
        <v>#DIV/0!</v>
      </c>
      <c r="P412" t="s">
        <v>192</v>
      </c>
      <c r="AJ412" s="26">
        <v>0.71968567300115405</v>
      </c>
      <c r="AK412" s="26">
        <v>121.568603705501</v>
      </c>
      <c r="AL412" s="11">
        <f t="shared" si="28"/>
        <v>1.0636180877702388</v>
      </c>
      <c r="AP412" s="65" t="s">
        <v>161</v>
      </c>
      <c r="AQ412" s="76">
        <v>121.568603705501</v>
      </c>
      <c r="AR412" s="76">
        <v>0.71968567300115405</v>
      </c>
      <c r="AS412" s="11" t="s">
        <v>186</v>
      </c>
      <c r="AT412" s="29">
        <v>1.8211890464834399E-6</v>
      </c>
      <c r="AU412" s="29">
        <v>3.7915883380654298</v>
      </c>
      <c r="BD412" s="21" t="s">
        <v>190</v>
      </c>
    </row>
    <row r="413" spans="2:56" x14ac:dyDescent="0.3">
      <c r="B413" s="11" t="s">
        <v>171</v>
      </c>
      <c r="C413" s="4" t="s">
        <v>194</v>
      </c>
      <c r="D413" s="4"/>
      <c r="E413" s="4"/>
      <c r="F413" s="42"/>
      <c r="G413" s="4"/>
      <c r="H413" s="4"/>
      <c r="I413" s="36" t="e">
        <f t="shared" si="27"/>
        <v>#DIV/0!</v>
      </c>
      <c r="J413" s="4"/>
      <c r="K413" s="4"/>
      <c r="L413" s="4"/>
      <c r="M413" s="4" t="e">
        <f t="shared" si="26"/>
        <v>#DIV/0!</v>
      </c>
      <c r="P413" t="s">
        <v>192</v>
      </c>
      <c r="AJ413" s="26">
        <v>1.58489319246111</v>
      </c>
      <c r="AK413" s="26">
        <v>146.277851010511</v>
      </c>
      <c r="AL413" s="11">
        <f t="shared" si="28"/>
        <v>3.3912291985254632</v>
      </c>
      <c r="AP413" s="65" t="s">
        <v>161</v>
      </c>
      <c r="AQ413" s="76">
        <v>146.277851010511</v>
      </c>
      <c r="AR413" s="76">
        <v>1.58489319246111</v>
      </c>
      <c r="AS413" s="11" t="s">
        <v>186</v>
      </c>
      <c r="AT413" s="29">
        <v>1.1151602437024599E-6</v>
      </c>
      <c r="AU413" s="29">
        <v>3.53800900032053</v>
      </c>
      <c r="BD413" s="21" t="s">
        <v>190</v>
      </c>
    </row>
    <row r="414" spans="2:56" x14ac:dyDescent="0.3">
      <c r="B414" s="11" t="s">
        <v>171</v>
      </c>
      <c r="C414" s="4" t="s">
        <v>194</v>
      </c>
      <c r="D414" s="4"/>
      <c r="E414" s="4"/>
      <c r="F414" s="42"/>
      <c r="G414" s="4"/>
      <c r="H414" s="4"/>
      <c r="I414" s="36" t="e">
        <f t="shared" si="27"/>
        <v>#DIV/0!</v>
      </c>
      <c r="J414" s="4"/>
      <c r="K414" s="4"/>
      <c r="L414" s="4"/>
      <c r="M414" s="4" t="e">
        <f t="shared" si="26"/>
        <v>#DIV/0!</v>
      </c>
      <c r="P414" t="s">
        <v>192</v>
      </c>
      <c r="AJ414" s="26">
        <v>1.96565137048756</v>
      </c>
      <c r="AK414" s="26">
        <v>110.82630582794501</v>
      </c>
      <c r="AL414" s="11">
        <f t="shared" si="28"/>
        <v>2.4143054113230655</v>
      </c>
      <c r="AP414" s="65" t="s">
        <v>161</v>
      </c>
      <c r="AQ414" s="76">
        <v>110.82630582794501</v>
      </c>
      <c r="AR414" s="76">
        <v>1.96565137048756</v>
      </c>
      <c r="AS414" s="11" t="s">
        <v>186</v>
      </c>
      <c r="AT414" s="29">
        <v>2.7407525224610401E-6</v>
      </c>
      <c r="AU414" s="29">
        <v>8.9521015092291503</v>
      </c>
      <c r="BD414" s="21" t="s">
        <v>190</v>
      </c>
    </row>
    <row r="415" spans="2:56" x14ac:dyDescent="0.3">
      <c r="B415" s="11" t="s">
        <v>171</v>
      </c>
      <c r="C415" s="4" t="s">
        <v>194</v>
      </c>
      <c r="D415" s="4"/>
      <c r="E415" s="4"/>
      <c r="F415" s="42"/>
      <c r="G415" s="4"/>
      <c r="H415" s="4"/>
      <c r="I415" s="36" t="e">
        <f t="shared" si="27"/>
        <v>#DIV/0!</v>
      </c>
      <c r="J415" s="4"/>
      <c r="K415" s="4"/>
      <c r="L415" s="4"/>
      <c r="M415" s="4" t="e">
        <f t="shared" si="26"/>
        <v>#DIV/0!</v>
      </c>
      <c r="P415" t="s">
        <v>192</v>
      </c>
      <c r="AJ415" s="26">
        <v>2.8141720758168498</v>
      </c>
      <c r="AK415" s="26">
        <v>110.82630582794501</v>
      </c>
      <c r="AL415" s="11">
        <f t="shared" si="28"/>
        <v>3.4564984274671429</v>
      </c>
      <c r="AP415" s="65" t="s">
        <v>161</v>
      </c>
      <c r="AQ415" s="76">
        <v>110.82630582794501</v>
      </c>
      <c r="AR415" s="76">
        <v>2.8141720758168498</v>
      </c>
      <c r="AS415" s="11" t="s">
        <v>186</v>
      </c>
      <c r="AT415" s="29">
        <v>3.5025044700580601E-6</v>
      </c>
      <c r="AU415" s="29">
        <v>10.320705069026401</v>
      </c>
      <c r="BD415" s="21" t="s">
        <v>190</v>
      </c>
    </row>
    <row r="416" spans="2:56" x14ac:dyDescent="0.3">
      <c r="B416" s="11" t="s">
        <v>171</v>
      </c>
      <c r="C416" s="4" t="s">
        <v>194</v>
      </c>
      <c r="D416" s="4"/>
      <c r="E416" s="4"/>
      <c r="F416" s="42"/>
      <c r="G416" s="4"/>
      <c r="H416" s="4"/>
      <c r="I416" s="36" t="e">
        <f t="shared" si="27"/>
        <v>#DIV/0!</v>
      </c>
      <c r="J416" s="4"/>
      <c r="K416" s="4"/>
      <c r="L416" s="4"/>
      <c r="M416" s="4" t="e">
        <f t="shared" ref="M416:M479" si="29">K416/L416</f>
        <v>#DIV/0!</v>
      </c>
      <c r="P416" t="s">
        <v>192</v>
      </c>
      <c r="AJ416" s="26">
        <v>4.9969073688867196</v>
      </c>
      <c r="AK416" s="26">
        <v>110.82630582794501</v>
      </c>
      <c r="AL416" s="11">
        <f t="shared" si="28"/>
        <v>6.137436516827977</v>
      </c>
      <c r="AP416" s="65" t="s">
        <v>161</v>
      </c>
      <c r="AQ416" s="76">
        <v>110.82630582794501</v>
      </c>
      <c r="AR416" s="76">
        <v>4.9969073688867196</v>
      </c>
      <c r="AS416" s="11" t="s">
        <v>186</v>
      </c>
      <c r="AT416" s="29">
        <v>5.2710057639422097E-6</v>
      </c>
      <c r="AU416" s="29">
        <v>11.8884401327474</v>
      </c>
      <c r="BD416" s="21" t="s">
        <v>190</v>
      </c>
    </row>
    <row r="417" spans="2:56" x14ac:dyDescent="0.3">
      <c r="B417" s="11" t="s">
        <v>171</v>
      </c>
      <c r="C417" s="4" t="s">
        <v>194</v>
      </c>
      <c r="D417" s="4"/>
      <c r="E417" s="4"/>
      <c r="F417" s="42"/>
      <c r="G417" s="4"/>
      <c r="H417" s="4"/>
      <c r="I417" s="36" t="e">
        <f t="shared" si="27"/>
        <v>#DIV/0!</v>
      </c>
      <c r="J417" s="4"/>
      <c r="K417" s="4"/>
      <c r="L417" s="4"/>
      <c r="M417" s="4" t="e">
        <f t="shared" si="29"/>
        <v>#DIV/0!</v>
      </c>
      <c r="P417" t="s">
        <v>192</v>
      </c>
      <c r="AJ417" s="26">
        <v>9.53280653423095</v>
      </c>
      <c r="AK417" s="26">
        <v>97.965109573149704</v>
      </c>
      <c r="AL417" s="11">
        <f t="shared" si="28"/>
        <v>9.1487895236382837</v>
      </c>
      <c r="AP417" s="65" t="s">
        <v>161</v>
      </c>
      <c r="AQ417" s="76">
        <v>97.965109573149704</v>
      </c>
      <c r="AR417" s="76">
        <v>9.53280653423095</v>
      </c>
      <c r="AS417" s="11" t="s">
        <v>186</v>
      </c>
      <c r="AT417" s="29">
        <v>6.7360044727175399E-6</v>
      </c>
      <c r="AU417" s="29">
        <v>5.3915599601024704</v>
      </c>
      <c r="BD417" s="21" t="s">
        <v>190</v>
      </c>
    </row>
    <row r="418" spans="2:56" x14ac:dyDescent="0.3">
      <c r="B418" s="11" t="s">
        <v>171</v>
      </c>
      <c r="C418" s="4" t="s">
        <v>194</v>
      </c>
      <c r="D418" s="4"/>
      <c r="E418" s="4"/>
      <c r="F418" s="42"/>
      <c r="G418" s="4"/>
      <c r="H418" s="4"/>
      <c r="I418" s="36" t="e">
        <f t="shared" si="27"/>
        <v>#DIV/0!</v>
      </c>
      <c r="J418" s="4"/>
      <c r="K418" s="4"/>
      <c r="L418" s="4"/>
      <c r="M418" s="4" t="e">
        <f t="shared" si="29"/>
        <v>#DIV/0!</v>
      </c>
      <c r="P418" t="s">
        <v>192</v>
      </c>
      <c r="AJ418" s="26">
        <v>1.18939107506949</v>
      </c>
      <c r="AK418" s="26">
        <v>86.5964323360066</v>
      </c>
      <c r="AL418" s="11">
        <f t="shared" si="28"/>
        <v>0.8919174798263162</v>
      </c>
      <c r="AP418" s="65" t="s">
        <v>161</v>
      </c>
      <c r="AQ418" s="76">
        <v>86.5964323360066</v>
      </c>
      <c r="AR418" s="76">
        <v>1.18939107506949</v>
      </c>
      <c r="AS418" s="11" t="s">
        <v>186</v>
      </c>
      <c r="AT418" s="29">
        <v>9.34144801242661E-6</v>
      </c>
      <c r="AU418" s="29">
        <v>8.8952576886635697</v>
      </c>
      <c r="BD418" s="21" t="s">
        <v>190</v>
      </c>
    </row>
    <row r="419" spans="2:56" x14ac:dyDescent="0.3">
      <c r="B419" s="11" t="s">
        <v>171</v>
      </c>
      <c r="C419" s="4" t="s">
        <v>194</v>
      </c>
      <c r="D419" s="4"/>
      <c r="E419" s="4"/>
      <c r="F419" s="42"/>
      <c r="G419" s="4"/>
      <c r="H419" s="4"/>
      <c r="I419" s="36" t="e">
        <f t="shared" si="27"/>
        <v>#DIV/0!</v>
      </c>
      <c r="J419" s="4"/>
      <c r="K419" s="4"/>
      <c r="L419" s="4"/>
      <c r="M419" s="4" t="e">
        <f t="shared" si="29"/>
        <v>#DIV/0!</v>
      </c>
      <c r="P419" t="s">
        <v>192</v>
      </c>
      <c r="AJ419" s="26">
        <v>0.46787503232762501</v>
      </c>
      <c r="AK419" s="26">
        <v>57.995307723184297</v>
      </c>
      <c r="AL419" s="11">
        <f t="shared" si="28"/>
        <v>0.15736769527481981</v>
      </c>
      <c r="AP419" s="65" t="s">
        <v>161</v>
      </c>
      <c r="AQ419" s="76">
        <v>57.995307723184297</v>
      </c>
      <c r="AR419" s="76">
        <v>0.46787503232762501</v>
      </c>
      <c r="AS419" s="11" t="s">
        <v>186</v>
      </c>
      <c r="AT419" s="29">
        <v>6.7360044727175298E-6</v>
      </c>
      <c r="AU419" s="29">
        <v>15.8214727270013</v>
      </c>
      <c r="BD419" s="21" t="s">
        <v>190</v>
      </c>
    </row>
    <row r="420" spans="2:56" x14ac:dyDescent="0.3">
      <c r="B420" s="11" t="s">
        <v>171</v>
      </c>
      <c r="C420" s="4" t="s">
        <v>194</v>
      </c>
      <c r="D420" s="4"/>
      <c r="E420" s="4"/>
      <c r="F420" s="42"/>
      <c r="G420" s="4"/>
      <c r="H420" s="4"/>
      <c r="I420" s="36" t="e">
        <f t="shared" si="27"/>
        <v>#DIV/0!</v>
      </c>
      <c r="J420" s="4"/>
      <c r="K420" s="4"/>
      <c r="L420" s="4"/>
      <c r="M420" s="4" t="e">
        <f t="shared" si="29"/>
        <v>#DIV/0!</v>
      </c>
      <c r="P420" t="s">
        <v>192</v>
      </c>
      <c r="AJ420" s="26">
        <v>0.77323532838681097</v>
      </c>
      <c r="AK420" s="26">
        <v>41.311544164995198</v>
      </c>
      <c r="AL420" s="11">
        <f t="shared" si="28"/>
        <v>0.13196371873464582</v>
      </c>
      <c r="AP420" s="65" t="s">
        <v>161</v>
      </c>
      <c r="AQ420" s="76">
        <v>41.311544164995198</v>
      </c>
      <c r="AR420" s="76">
        <v>0.77323532838681097</v>
      </c>
      <c r="AS420" s="11" t="s">
        <v>186</v>
      </c>
      <c r="AT420" s="29">
        <v>2.7407525224610498E-6</v>
      </c>
      <c r="AU420" s="29">
        <v>13.770128248546399</v>
      </c>
      <c r="BD420" s="21" t="s">
        <v>190</v>
      </c>
    </row>
    <row r="421" spans="2:56" x14ac:dyDescent="0.3">
      <c r="B421" s="11" t="s">
        <v>171</v>
      </c>
      <c r="C421" s="4" t="s">
        <v>194</v>
      </c>
      <c r="D421" s="4"/>
      <c r="E421" s="4"/>
      <c r="F421" s="42"/>
      <c r="G421" s="4"/>
      <c r="H421" s="4"/>
      <c r="I421" s="36" t="e">
        <f t="shared" si="27"/>
        <v>#DIV/0!</v>
      </c>
      <c r="J421" s="4"/>
      <c r="K421" s="4"/>
      <c r="L421" s="4"/>
      <c r="M421" s="4" t="e">
        <f t="shared" si="29"/>
        <v>#DIV/0!</v>
      </c>
      <c r="P421" t="s">
        <v>192</v>
      </c>
      <c r="AJ421" s="26">
        <v>1.2778901026007099</v>
      </c>
      <c r="AK421" s="26">
        <v>31.299378519892301</v>
      </c>
      <c r="AL421" s="11">
        <f t="shared" si="28"/>
        <v>0.12518864392372187</v>
      </c>
      <c r="AP421" s="65" t="s">
        <v>161</v>
      </c>
      <c r="AQ421" s="76">
        <v>31.299378519892301</v>
      </c>
      <c r="AR421" s="76">
        <v>1.2778901026007099</v>
      </c>
      <c r="AS421" s="11" t="s">
        <v>186</v>
      </c>
      <c r="AT421" s="29">
        <v>2.97421788640827E-6</v>
      </c>
      <c r="AU421" s="29">
        <v>136.822068393687</v>
      </c>
      <c r="BD421" s="21" t="s">
        <v>190</v>
      </c>
    </row>
    <row r="422" spans="2:56" x14ac:dyDescent="0.3">
      <c r="B422" s="11" t="s">
        <v>171</v>
      </c>
      <c r="C422" s="4" t="s">
        <v>194</v>
      </c>
      <c r="D422" s="4"/>
      <c r="E422" s="4"/>
      <c r="F422" s="42"/>
      <c r="G422" s="4"/>
      <c r="H422" s="4"/>
      <c r="I422" s="36" t="e">
        <f t="shared" si="27"/>
        <v>#DIV/0!</v>
      </c>
      <c r="J422" s="4"/>
      <c r="K422" s="4"/>
      <c r="L422" s="4"/>
      <c r="M422" s="4" t="e">
        <f t="shared" si="29"/>
        <v>#DIV/0!</v>
      </c>
      <c r="P422" t="s">
        <v>192</v>
      </c>
      <c r="AJ422" s="26">
        <v>1.82952210992006</v>
      </c>
      <c r="AK422" s="26">
        <v>24.456418482131401</v>
      </c>
      <c r="AL422" s="11">
        <f t="shared" si="28"/>
        <v>0.10942671872042573</v>
      </c>
      <c r="AP422" s="65" t="s">
        <v>161</v>
      </c>
      <c r="AQ422" s="76">
        <v>24.456418482131401</v>
      </c>
      <c r="AR422" s="76">
        <v>1.82952210992006</v>
      </c>
      <c r="AS422" s="11" t="s">
        <v>186</v>
      </c>
      <c r="AT422" s="29">
        <v>3.8008581061954098E-6</v>
      </c>
      <c r="AU422" s="29">
        <v>242.635033621155</v>
      </c>
      <c r="BD422" s="21" t="s">
        <v>190</v>
      </c>
    </row>
    <row r="423" spans="2:56" x14ac:dyDescent="0.3">
      <c r="B423" s="11" t="s">
        <v>171</v>
      </c>
      <c r="C423" s="4" t="s">
        <v>194</v>
      </c>
      <c r="D423" s="4"/>
      <c r="E423" s="4"/>
      <c r="F423" s="42"/>
      <c r="G423" s="4"/>
      <c r="H423" s="4"/>
      <c r="I423" s="36" t="e">
        <f t="shared" si="27"/>
        <v>#DIV/0!</v>
      </c>
      <c r="J423" s="4"/>
      <c r="K423" s="4"/>
      <c r="L423" s="4"/>
      <c r="M423" s="4" t="e">
        <f t="shared" si="29"/>
        <v>#DIV/0!</v>
      </c>
      <c r="P423" t="s">
        <v>192</v>
      </c>
      <c r="AJ423" s="26">
        <v>2.1119096016108898</v>
      </c>
      <c r="AK423" s="26">
        <v>46.735065655551097</v>
      </c>
      <c r="AL423" s="11">
        <f t="shared" si="28"/>
        <v>0.46127619110614959</v>
      </c>
      <c r="AP423" s="65" t="s">
        <v>161</v>
      </c>
      <c r="AQ423" s="76">
        <v>46.735065655551097</v>
      </c>
      <c r="AR423" s="76">
        <v>2.1119096016108898</v>
      </c>
      <c r="AS423" s="11" t="s">
        <v>186</v>
      </c>
      <c r="AT423" s="29">
        <v>7.9324671819909906E-6</v>
      </c>
      <c r="AU423" s="29">
        <v>18.248018281895401</v>
      </c>
      <c r="BD423" s="21" t="s">
        <v>190</v>
      </c>
    </row>
    <row r="424" spans="2:56" x14ac:dyDescent="0.3">
      <c r="B424" s="11" t="s">
        <v>171</v>
      </c>
      <c r="C424" s="4" t="s">
        <v>194</v>
      </c>
      <c r="D424" s="4"/>
      <c r="E424" s="4"/>
      <c r="F424" s="42"/>
      <c r="G424" s="4"/>
      <c r="H424" s="4"/>
      <c r="I424" s="36" t="e">
        <f t="shared" si="27"/>
        <v>#DIV/0!</v>
      </c>
      <c r="J424" s="4"/>
      <c r="K424" s="4"/>
      <c r="L424" s="4"/>
      <c r="M424" s="4" t="e">
        <f t="shared" si="29"/>
        <v>#DIV/0!</v>
      </c>
      <c r="P424" t="s">
        <v>192</v>
      </c>
      <c r="AJ424" s="26">
        <v>2.8141720758168298</v>
      </c>
      <c r="AK424" s="26">
        <v>74.222523225623803</v>
      </c>
      <c r="AL424" s="11">
        <f t="shared" si="28"/>
        <v>1.5503225995236545</v>
      </c>
      <c r="AP424" s="65" t="s">
        <v>161</v>
      </c>
      <c r="AQ424" s="76">
        <v>74.222523225623803</v>
      </c>
      <c r="AR424" s="76">
        <v>2.8141720758168298</v>
      </c>
      <c r="AS424" s="11" t="s">
        <v>186</v>
      </c>
      <c r="AT424" s="29">
        <v>7.9324671819909906E-6</v>
      </c>
      <c r="AU424" s="29">
        <v>21.064607424498298</v>
      </c>
      <c r="BD424" s="21" t="s">
        <v>190</v>
      </c>
    </row>
    <row r="425" spans="2:56" x14ac:dyDescent="0.3">
      <c r="B425" s="11" t="s">
        <v>171</v>
      </c>
      <c r="C425" s="4" t="s">
        <v>194</v>
      </c>
      <c r="D425" s="4"/>
      <c r="E425" s="4"/>
      <c r="F425" s="42"/>
      <c r="G425" s="4"/>
      <c r="H425" s="4"/>
      <c r="I425" s="36" t="e">
        <f t="shared" si="27"/>
        <v>#DIV/0!</v>
      </c>
      <c r="J425" s="4"/>
      <c r="K425" s="4"/>
      <c r="L425" s="4"/>
      <c r="M425" s="4" t="e">
        <f t="shared" si="29"/>
        <v>#DIV/0!</v>
      </c>
      <c r="P425" t="s">
        <v>192</v>
      </c>
      <c r="AJ425" s="26">
        <v>4.0289771580109903</v>
      </c>
      <c r="AK425" s="26">
        <v>63.616742692154197</v>
      </c>
      <c r="AL425" s="11">
        <f t="shared" si="28"/>
        <v>1.6305632968026875</v>
      </c>
      <c r="AP425" s="65" t="s">
        <v>161</v>
      </c>
      <c r="AQ425" s="76">
        <v>63.616742692154197</v>
      </c>
      <c r="AR425" s="76">
        <v>4.0289771580109903</v>
      </c>
      <c r="AS425" s="11" t="s">
        <v>186</v>
      </c>
      <c r="AT425" s="29">
        <v>9.34144801242661E-6</v>
      </c>
      <c r="AU425" s="29">
        <v>24.295294630012101</v>
      </c>
      <c r="BD425" s="21" t="s">
        <v>190</v>
      </c>
    </row>
    <row r="426" spans="2:56" x14ac:dyDescent="0.3">
      <c r="B426" s="11" t="s">
        <v>171</v>
      </c>
      <c r="C426" s="4" t="s">
        <v>194</v>
      </c>
      <c r="D426" s="4"/>
      <c r="E426" s="4"/>
      <c r="F426" s="42"/>
      <c r="G426" s="4"/>
      <c r="H426" s="4"/>
      <c r="I426" s="36" t="e">
        <f t="shared" si="27"/>
        <v>#DIV/0!</v>
      </c>
      <c r="J426" s="4"/>
      <c r="K426" s="4"/>
      <c r="L426" s="4"/>
      <c r="M426" s="4" t="e">
        <f t="shared" si="29"/>
        <v>#DIV/0!</v>
      </c>
      <c r="P426" t="s">
        <v>192</v>
      </c>
      <c r="AJ426" s="26">
        <v>5.3687122798864202</v>
      </c>
      <c r="AK426" s="26">
        <v>56.234132519034901</v>
      </c>
      <c r="AL426" s="11">
        <f t="shared" si="28"/>
        <v>1.697735890655647</v>
      </c>
      <c r="AP426" s="65" t="s">
        <v>161</v>
      </c>
      <c r="AQ426" s="76">
        <v>56.234132519034901</v>
      </c>
      <c r="AR426" s="76">
        <v>5.3687122798864202</v>
      </c>
      <c r="AS426" s="11" t="s">
        <v>186</v>
      </c>
      <c r="AT426" s="29">
        <v>1.01371800393579E-5</v>
      </c>
      <c r="AU426" s="29">
        <v>32.360339098275603</v>
      </c>
      <c r="BD426" s="21" t="s">
        <v>190</v>
      </c>
    </row>
    <row r="427" spans="2:56" x14ac:dyDescent="0.3">
      <c r="B427" s="11" t="s">
        <v>171</v>
      </c>
      <c r="C427" s="4" t="s">
        <v>194</v>
      </c>
      <c r="D427" s="4"/>
      <c r="E427" s="4"/>
      <c r="F427" s="42"/>
      <c r="G427" s="4"/>
      <c r="H427" s="4"/>
      <c r="I427" s="36" t="e">
        <f t="shared" si="27"/>
        <v>#DIV/0!</v>
      </c>
      <c r="J427" s="4"/>
      <c r="K427" s="4"/>
      <c r="L427" s="4"/>
      <c r="M427" s="4" t="e">
        <f t="shared" si="29"/>
        <v>#DIV/0!</v>
      </c>
      <c r="P427" t="s">
        <v>192</v>
      </c>
      <c r="AJ427" s="26">
        <v>11.822988651687</v>
      </c>
      <c r="AK427" s="26">
        <v>69.783058485986501</v>
      </c>
      <c r="AL427" s="11">
        <f t="shared" si="28"/>
        <v>5.7574115237760815</v>
      </c>
      <c r="AP427" s="65" t="s">
        <v>161</v>
      </c>
      <c r="AQ427" s="76">
        <v>69.783058485986501</v>
      </c>
      <c r="AR427" s="76">
        <v>11.822988651687</v>
      </c>
      <c r="AS427" s="11" t="s">
        <v>186</v>
      </c>
      <c r="AT427" s="29">
        <v>1.10006948616164E-5</v>
      </c>
      <c r="AU427" s="29">
        <v>34.753413212136003</v>
      </c>
      <c r="BD427" s="21" t="s">
        <v>190</v>
      </c>
    </row>
    <row r="428" spans="2:56" x14ac:dyDescent="0.3">
      <c r="B428" s="11" t="s">
        <v>171</v>
      </c>
      <c r="C428" s="4" t="s">
        <v>194</v>
      </c>
      <c r="D428" s="4"/>
      <c r="E428" s="4"/>
      <c r="F428" s="42"/>
      <c r="G428" s="4"/>
      <c r="H428" s="4"/>
      <c r="I428" s="36" t="e">
        <f t="shared" si="27"/>
        <v>#DIV/0!</v>
      </c>
      <c r="J428" s="4"/>
      <c r="K428" s="4"/>
      <c r="L428" s="4"/>
      <c r="M428" s="4" t="e">
        <f t="shared" si="29"/>
        <v>#DIV/0!</v>
      </c>
      <c r="P428" t="s">
        <v>192</v>
      </c>
      <c r="AJ428" s="26">
        <v>9.53280653423095</v>
      </c>
      <c r="AK428" s="26">
        <v>67.663918212400404</v>
      </c>
      <c r="AL428" s="11">
        <f t="shared" si="28"/>
        <v>4.3645056992131588</v>
      </c>
      <c r="AP428" s="65" t="s">
        <v>161</v>
      </c>
      <c r="AQ428" s="76">
        <v>67.663918212400404</v>
      </c>
      <c r="AR428" s="76">
        <v>9.53280653423095</v>
      </c>
      <c r="AS428" s="11" t="s">
        <v>186</v>
      </c>
      <c r="AT428" s="29">
        <v>2.1156498278393602E-5</v>
      </c>
      <c r="AU428" s="29">
        <v>42.956462529194098</v>
      </c>
      <c r="BD428" s="21" t="s">
        <v>190</v>
      </c>
    </row>
    <row r="429" spans="2:56" x14ac:dyDescent="0.3">
      <c r="B429" s="11" t="s">
        <v>171</v>
      </c>
      <c r="C429" s="4" t="s">
        <v>194</v>
      </c>
      <c r="D429" s="4"/>
      <c r="E429" s="4"/>
      <c r="F429" s="42"/>
      <c r="G429" s="4"/>
      <c r="H429" s="4"/>
      <c r="I429" s="36" t="e">
        <f t="shared" si="27"/>
        <v>#DIV/0!</v>
      </c>
      <c r="J429" s="4"/>
      <c r="K429" s="4"/>
      <c r="L429" s="4"/>
      <c r="M429" s="4" t="e">
        <f t="shared" si="29"/>
        <v>#DIV/0!</v>
      </c>
      <c r="P429" t="s">
        <v>192</v>
      </c>
      <c r="AJ429" s="26">
        <v>8.8726213538263803</v>
      </c>
      <c r="AK429" s="26">
        <v>61.684858300179798</v>
      </c>
      <c r="AL429" s="11">
        <f t="shared" si="28"/>
        <v>3.3760517173269435</v>
      </c>
      <c r="AP429" s="65" t="s">
        <v>161</v>
      </c>
      <c r="AQ429" s="76">
        <v>61.684858300179798</v>
      </c>
      <c r="AR429" s="76">
        <v>8.8726213538263803</v>
      </c>
      <c r="AS429" s="11" t="s">
        <v>186</v>
      </c>
      <c r="AT429" s="29">
        <v>5.27100576394223E-6</v>
      </c>
      <c r="AU429" s="29">
        <v>34.886495322084301</v>
      </c>
      <c r="BD429" s="21" t="s">
        <v>190</v>
      </c>
    </row>
    <row r="430" spans="2:56" x14ac:dyDescent="0.3">
      <c r="B430" s="11" t="s">
        <v>171</v>
      </c>
      <c r="C430" s="4" t="s">
        <v>194</v>
      </c>
      <c r="D430" s="4"/>
      <c r="E430" s="4"/>
      <c r="F430" s="42"/>
      <c r="G430" s="4"/>
      <c r="H430" s="4"/>
      <c r="I430" s="36" t="e">
        <f t="shared" si="27"/>
        <v>#DIV/0!</v>
      </c>
      <c r="J430" s="4"/>
      <c r="K430" s="4"/>
      <c r="L430" s="4"/>
      <c r="M430" s="4" t="e">
        <f t="shared" si="29"/>
        <v>#DIV/0!</v>
      </c>
      <c r="P430" t="s">
        <v>192</v>
      </c>
      <c r="AJ430" s="26">
        <v>8.2581566515266598</v>
      </c>
      <c r="AK430" s="26">
        <v>56.234132519034901</v>
      </c>
      <c r="AL430" s="11">
        <f t="shared" si="28"/>
        <v>2.6114584293293657</v>
      </c>
      <c r="AP430" s="65" t="s">
        <v>161</v>
      </c>
      <c r="AQ430" s="76">
        <v>56.234132519034901</v>
      </c>
      <c r="AR430" s="76">
        <v>8.2581566515266598</v>
      </c>
      <c r="AS430" s="11" t="s">
        <v>186</v>
      </c>
      <c r="AT430" s="29">
        <v>5.2710057639422097E-6</v>
      </c>
      <c r="AU430" s="29">
        <v>46.487122783872302</v>
      </c>
      <c r="BD430" s="21" t="s">
        <v>190</v>
      </c>
    </row>
    <row r="431" spans="2:56" x14ac:dyDescent="0.3">
      <c r="B431" s="11" t="s">
        <v>171</v>
      </c>
      <c r="C431" s="4" t="s">
        <v>194</v>
      </c>
      <c r="D431" s="4"/>
      <c r="E431" s="4"/>
      <c r="F431" s="42"/>
      <c r="G431" s="4"/>
      <c r="H431" s="4"/>
      <c r="I431" s="36" t="e">
        <f t="shared" si="27"/>
        <v>#DIV/0!</v>
      </c>
      <c r="J431" s="4"/>
      <c r="K431" s="4"/>
      <c r="L431" s="4"/>
      <c r="M431" s="4" t="e">
        <f t="shared" si="29"/>
        <v>#DIV/0!</v>
      </c>
      <c r="P431" t="s">
        <v>192</v>
      </c>
      <c r="AJ431" s="26">
        <v>18.186128681293098</v>
      </c>
      <c r="AK431" s="26">
        <v>67.663918212400404</v>
      </c>
      <c r="AL431" s="11">
        <f t="shared" si="28"/>
        <v>8.3263477540542574</v>
      </c>
      <c r="AP431" s="65" t="s">
        <v>161</v>
      </c>
      <c r="AQ431" s="76">
        <v>67.663918212400404</v>
      </c>
      <c r="AR431" s="76">
        <v>18.186128681293098</v>
      </c>
      <c r="AS431" s="11" t="s">
        <v>186</v>
      </c>
      <c r="AT431" s="29">
        <v>5.2710057639422198E-6</v>
      </c>
      <c r="AU431" s="29">
        <v>53.662429344903799</v>
      </c>
      <c r="BD431" s="21" t="s">
        <v>190</v>
      </c>
    </row>
    <row r="432" spans="2:56" x14ac:dyDescent="0.3">
      <c r="B432" s="11" t="s">
        <v>171</v>
      </c>
      <c r="C432" s="4" t="s">
        <v>194</v>
      </c>
      <c r="D432" s="4"/>
      <c r="E432" s="4"/>
      <c r="F432" s="42"/>
      <c r="G432" s="4"/>
      <c r="H432" s="4"/>
      <c r="I432" s="36" t="e">
        <f t="shared" si="27"/>
        <v>#DIV/0!</v>
      </c>
      <c r="J432" s="4"/>
      <c r="K432" s="4"/>
      <c r="L432" s="4"/>
      <c r="M432" s="4" t="e">
        <f t="shared" si="29"/>
        <v>#DIV/0!</v>
      </c>
      <c r="P432" t="s">
        <v>192</v>
      </c>
      <c r="AJ432" s="26">
        <v>53.366992312063203</v>
      </c>
      <c r="AK432" s="26">
        <v>65.609131029615398</v>
      </c>
      <c r="AL432" s="11">
        <f t="shared" si="28"/>
        <v>22.972131766660269</v>
      </c>
      <c r="AP432" s="65" t="s">
        <v>161</v>
      </c>
      <c r="AQ432" s="76">
        <v>65.609131029615398</v>
      </c>
      <c r="AR432" s="76">
        <v>53.366992312063203</v>
      </c>
      <c r="AS432" s="11" t="s">
        <v>186</v>
      </c>
      <c r="AT432" s="29">
        <v>6.7360044727175704E-6</v>
      </c>
      <c r="AU432" s="29">
        <v>76.729292313776199</v>
      </c>
      <c r="BD432" s="21" t="s">
        <v>190</v>
      </c>
    </row>
    <row r="433" spans="2:56" x14ac:dyDescent="0.3">
      <c r="B433" s="11" t="s">
        <v>171</v>
      </c>
      <c r="C433" s="4" t="s">
        <v>194</v>
      </c>
      <c r="D433" s="4"/>
      <c r="E433" s="4"/>
      <c r="F433" s="42"/>
      <c r="G433" s="4"/>
      <c r="H433" s="4"/>
      <c r="I433" s="36" t="e">
        <f t="shared" si="27"/>
        <v>#DIV/0!</v>
      </c>
      <c r="J433" s="4"/>
      <c r="K433" s="4"/>
      <c r="L433" s="4"/>
      <c r="M433" s="4" t="e">
        <f t="shared" si="29"/>
        <v>#DIV/0!</v>
      </c>
      <c r="P433" t="s">
        <v>192</v>
      </c>
      <c r="AJ433" s="26">
        <v>24.2334688298541</v>
      </c>
      <c r="AK433" s="26">
        <v>65.609131029615497</v>
      </c>
      <c r="AL433" s="11">
        <f t="shared" si="28"/>
        <v>10.431437392375361</v>
      </c>
      <c r="AP433" s="65" t="s">
        <v>161</v>
      </c>
      <c r="AQ433" s="76">
        <v>65.609131029615497</v>
      </c>
      <c r="AR433" s="76">
        <v>24.2334688298541</v>
      </c>
      <c r="AS433" s="11" t="s">
        <v>186</v>
      </c>
      <c r="AT433" s="29">
        <v>8.6081780761581501E-6</v>
      </c>
      <c r="AU433" s="29">
        <v>76.631601139284399</v>
      </c>
      <c r="BD433" s="21" t="s">
        <v>190</v>
      </c>
    </row>
    <row r="434" spans="2:56" x14ac:dyDescent="0.3">
      <c r="B434" s="11" t="s">
        <v>171</v>
      </c>
      <c r="C434" s="4" t="s">
        <v>194</v>
      </c>
      <c r="D434" s="4"/>
      <c r="E434" s="4"/>
      <c r="F434" s="42"/>
      <c r="G434" s="4"/>
      <c r="H434" s="4"/>
      <c r="I434" s="36" t="e">
        <f t="shared" si="27"/>
        <v>#DIV/0!</v>
      </c>
      <c r="J434" s="4"/>
      <c r="K434" s="4"/>
      <c r="L434" s="4"/>
      <c r="M434" s="4" t="e">
        <f t="shared" si="29"/>
        <v>#DIV/0!</v>
      </c>
      <c r="P434" t="s">
        <v>192</v>
      </c>
      <c r="AJ434" s="26">
        <v>27.973914731395901</v>
      </c>
      <c r="AK434" s="26">
        <v>57.995307723184197</v>
      </c>
      <c r="AL434" s="11">
        <f t="shared" si="28"/>
        <v>9.4089023455551608</v>
      </c>
      <c r="AP434" s="65" t="s">
        <v>161</v>
      </c>
      <c r="AQ434" s="76">
        <v>57.995307723184197</v>
      </c>
      <c r="AR434" s="76">
        <v>27.973914731395901</v>
      </c>
      <c r="AS434" s="11" t="s">
        <v>186</v>
      </c>
      <c r="AT434" s="29">
        <v>1.0137180039358E-5</v>
      </c>
      <c r="AU434" s="29">
        <v>82.263629923214097</v>
      </c>
      <c r="BD434" s="21" t="s">
        <v>190</v>
      </c>
    </row>
    <row r="435" spans="2:56" x14ac:dyDescent="0.3">
      <c r="B435" s="11" t="s">
        <v>171</v>
      </c>
      <c r="C435" s="4" t="s">
        <v>194</v>
      </c>
      <c r="D435" s="4"/>
      <c r="E435" s="4"/>
      <c r="F435" s="42"/>
      <c r="G435" s="4"/>
      <c r="H435" s="4"/>
      <c r="I435" s="36" t="e">
        <f t="shared" si="27"/>
        <v>#DIV/0!</v>
      </c>
      <c r="J435" s="4"/>
      <c r="K435" s="4"/>
      <c r="L435" s="4"/>
      <c r="M435" s="4" t="e">
        <f t="shared" si="29"/>
        <v>#DIV/0!</v>
      </c>
      <c r="P435" t="s">
        <v>192</v>
      </c>
      <c r="AJ435" s="26">
        <v>30.055369941428399</v>
      </c>
      <c r="AK435" s="26">
        <v>52.870605686034999</v>
      </c>
      <c r="AL435" s="11">
        <f t="shared" si="28"/>
        <v>8.4013804017878968</v>
      </c>
      <c r="AP435" s="65" t="s">
        <v>161</v>
      </c>
      <c r="AQ435" s="76">
        <v>52.870605686034999</v>
      </c>
      <c r="AR435" s="76">
        <v>30.055369941428399</v>
      </c>
      <c r="AS435" s="11" t="s">
        <v>186</v>
      </c>
      <c r="AT435" s="29">
        <v>1.10006948616164E-5</v>
      </c>
      <c r="AU435" s="29">
        <v>82.228702611714795</v>
      </c>
      <c r="BD435" s="21" t="s">
        <v>190</v>
      </c>
    </row>
    <row r="436" spans="2:56" x14ac:dyDescent="0.3">
      <c r="B436" s="11" t="s">
        <v>171</v>
      </c>
      <c r="C436" s="4" t="s">
        <v>194</v>
      </c>
      <c r="D436" s="4"/>
      <c r="E436" s="4"/>
      <c r="F436" s="42"/>
      <c r="G436" s="4"/>
      <c r="H436" s="4"/>
      <c r="I436" s="36" t="e">
        <f t="shared" si="27"/>
        <v>#DIV/0!</v>
      </c>
      <c r="J436" s="4"/>
      <c r="K436" s="4"/>
      <c r="L436" s="4"/>
      <c r="M436" s="4" t="e">
        <f t="shared" si="29"/>
        <v>#DIV/0!</v>
      </c>
      <c r="P436" t="s">
        <v>192</v>
      </c>
      <c r="AJ436" s="26">
        <v>30.055369941428399</v>
      </c>
      <c r="AK436" s="26">
        <v>51.265055109304797</v>
      </c>
      <c r="AL436" s="11">
        <f t="shared" si="28"/>
        <v>7.8988694329188043</v>
      </c>
      <c r="AP436" s="65" t="s">
        <v>161</v>
      </c>
      <c r="AQ436" s="76">
        <v>51.265055109304797</v>
      </c>
      <c r="AR436" s="76">
        <v>30.055369941428399</v>
      </c>
      <c r="AS436" s="11" t="s">
        <v>186</v>
      </c>
      <c r="AT436" s="29">
        <v>1.10006948616164E-5</v>
      </c>
      <c r="AU436" s="29">
        <v>82.228702611714795</v>
      </c>
      <c r="BD436" s="21" t="s">
        <v>190</v>
      </c>
    </row>
    <row r="437" spans="2:56" x14ac:dyDescent="0.3">
      <c r="B437" s="11" t="s">
        <v>171</v>
      </c>
      <c r="C437" s="4" t="s">
        <v>194</v>
      </c>
      <c r="D437" s="4"/>
      <c r="E437" s="4"/>
      <c r="F437" s="42"/>
      <c r="G437" s="4"/>
      <c r="H437" s="4"/>
      <c r="I437" s="36" t="e">
        <f t="shared" si="27"/>
        <v>#DIV/0!</v>
      </c>
      <c r="J437" s="4"/>
      <c r="K437" s="4"/>
      <c r="L437" s="4"/>
      <c r="M437" s="4" t="e">
        <f t="shared" si="29"/>
        <v>#DIV/0!</v>
      </c>
      <c r="P437" t="s">
        <v>192</v>
      </c>
      <c r="AJ437" s="26">
        <v>32.291699999438897</v>
      </c>
      <c r="AK437" s="26">
        <v>49.708261164373901</v>
      </c>
      <c r="AL437" s="11">
        <f t="shared" si="28"/>
        <v>7.9789924099356258</v>
      </c>
      <c r="AP437" s="65" t="s">
        <v>161</v>
      </c>
      <c r="AQ437" s="76">
        <v>49.708261164373901</v>
      </c>
      <c r="AR437" s="76">
        <v>32.291699999438897</v>
      </c>
      <c r="AS437" s="11" t="s">
        <v>186</v>
      </c>
      <c r="AT437" s="29">
        <v>1.19377664171443E-5</v>
      </c>
      <c r="AU437" s="29">
        <v>82.193790129577096</v>
      </c>
      <c r="BD437" s="21" t="s">
        <v>190</v>
      </c>
    </row>
    <row r="438" spans="2:56" x14ac:dyDescent="0.3">
      <c r="B438" s="11" t="s">
        <v>171</v>
      </c>
      <c r="C438" s="4" t="s">
        <v>194</v>
      </c>
      <c r="D438" s="4"/>
      <c r="E438" s="4"/>
      <c r="F438" s="42"/>
      <c r="G438" s="4"/>
      <c r="H438" s="4"/>
      <c r="I438" s="36" t="e">
        <f t="shared" si="27"/>
        <v>#DIV/0!</v>
      </c>
      <c r="J438" s="4"/>
      <c r="K438" s="4"/>
      <c r="L438" s="4"/>
      <c r="M438" s="4" t="e">
        <f t="shared" si="29"/>
        <v>#DIV/0!</v>
      </c>
      <c r="P438" t="s">
        <v>192</v>
      </c>
      <c r="AJ438" s="26">
        <v>37.275937203149503</v>
      </c>
      <c r="AK438" s="26">
        <v>45.3158363760082</v>
      </c>
      <c r="AL438" s="11">
        <f t="shared" si="28"/>
        <v>7.6547069931312564</v>
      </c>
      <c r="AP438" s="65" t="s">
        <v>161</v>
      </c>
      <c r="AQ438" s="76">
        <v>45.3158363760082</v>
      </c>
      <c r="AR438" s="76">
        <v>37.275937203149503</v>
      </c>
      <c r="AS438" s="11" t="s">
        <v>186</v>
      </c>
      <c r="AT438" s="29">
        <v>1.29546604849068E-5</v>
      </c>
      <c r="AU438" s="29">
        <v>76.469058836231795</v>
      </c>
      <c r="BD438" s="21" t="s">
        <v>190</v>
      </c>
    </row>
    <row r="439" spans="2:56" x14ac:dyDescent="0.3">
      <c r="B439" s="11" t="s">
        <v>171</v>
      </c>
      <c r="C439" s="4" t="s">
        <v>194</v>
      </c>
      <c r="D439" s="4"/>
      <c r="E439" s="4"/>
      <c r="F439" s="42"/>
      <c r="G439" s="4"/>
      <c r="H439" s="4"/>
      <c r="I439" s="36" t="e">
        <f t="shared" si="27"/>
        <v>#DIV/0!</v>
      </c>
      <c r="J439" s="4"/>
      <c r="K439" s="4"/>
      <c r="L439" s="4"/>
      <c r="M439" s="4" t="e">
        <f t="shared" si="29"/>
        <v>#DIV/0!</v>
      </c>
      <c r="P439" t="s">
        <v>192</v>
      </c>
      <c r="AJ439" s="26">
        <v>16.926666150378701</v>
      </c>
      <c r="AK439" s="26">
        <v>40.057013926518202</v>
      </c>
      <c r="AL439" s="11">
        <f t="shared" si="28"/>
        <v>2.715992531822836</v>
      </c>
      <c r="AP439" s="65" t="s">
        <v>161</v>
      </c>
      <c r="AQ439" s="76">
        <v>40.057013926518202</v>
      </c>
      <c r="AR439" s="76">
        <v>16.926666150378701</v>
      </c>
      <c r="AS439" s="11" t="s">
        <v>186</v>
      </c>
      <c r="AT439" s="29">
        <v>1.6555218278419099E-5</v>
      </c>
      <c r="AU439" s="29">
        <v>88.159702204129403</v>
      </c>
      <c r="BD439" s="21" t="s">
        <v>190</v>
      </c>
    </row>
    <row r="440" spans="2:56" x14ac:dyDescent="0.3">
      <c r="B440" s="11" t="s">
        <v>171</v>
      </c>
      <c r="C440" s="4" t="s">
        <v>194</v>
      </c>
      <c r="D440" s="4"/>
      <c r="E440" s="4"/>
      <c r="F440" s="42"/>
      <c r="G440" s="4"/>
      <c r="H440" s="4"/>
      <c r="I440" s="36" t="e">
        <f t="shared" si="27"/>
        <v>#DIV/0!</v>
      </c>
      <c r="J440" s="4"/>
      <c r="K440" s="4"/>
      <c r="L440" s="4"/>
      <c r="M440" s="4" t="e">
        <f t="shared" si="29"/>
        <v>#DIV/0!</v>
      </c>
      <c r="P440" t="s">
        <v>192</v>
      </c>
      <c r="AJ440" s="26">
        <v>40.049528044665102</v>
      </c>
      <c r="AK440" s="26">
        <v>35.408468496430103</v>
      </c>
      <c r="AL440" s="11">
        <f t="shared" si="28"/>
        <v>5.0212481914019085</v>
      </c>
      <c r="AP440" s="65" t="s">
        <v>161</v>
      </c>
      <c r="AQ440" s="76">
        <v>35.408468496430103</v>
      </c>
      <c r="AR440" s="76">
        <v>40.049528044665102</v>
      </c>
      <c r="AS440" s="11" t="s">
        <v>186</v>
      </c>
      <c r="AT440" s="29">
        <v>2.2958671050263801E-5</v>
      </c>
      <c r="AU440" s="29">
        <v>94.558640993050005</v>
      </c>
      <c r="BD440" s="21" t="s">
        <v>190</v>
      </c>
    </row>
    <row r="441" spans="2:56" x14ac:dyDescent="0.3">
      <c r="B441" s="11" t="s">
        <v>171</v>
      </c>
      <c r="C441" s="4" t="s">
        <v>194</v>
      </c>
      <c r="D441" s="4"/>
      <c r="E441" s="4"/>
      <c r="F441" s="42"/>
      <c r="G441" s="4"/>
      <c r="H441" s="4"/>
      <c r="I441" s="36" t="e">
        <f t="shared" si="27"/>
        <v>#DIV/0!</v>
      </c>
      <c r="J441" s="4"/>
      <c r="K441" s="4"/>
      <c r="L441" s="4"/>
      <c r="M441" s="4" t="e">
        <f t="shared" si="29"/>
        <v>#DIV/0!</v>
      </c>
      <c r="P441" t="s">
        <v>192</v>
      </c>
      <c r="AJ441" s="26">
        <v>94.759634434246706</v>
      </c>
      <c r="AK441" s="26">
        <v>54.526439884794698</v>
      </c>
      <c r="AL441" s="11">
        <f t="shared" si="28"/>
        <v>28.173296270782437</v>
      </c>
      <c r="AP441" s="65" t="s">
        <v>161</v>
      </c>
      <c r="AQ441" s="76">
        <v>54.526439884794698</v>
      </c>
      <c r="AR441" s="76">
        <v>94.759634434246706</v>
      </c>
      <c r="AS441" s="11" t="s">
        <v>186</v>
      </c>
      <c r="AT441" s="29">
        <v>2.2958671050263699E-5</v>
      </c>
      <c r="AU441" s="29">
        <v>126.00174117625799</v>
      </c>
      <c r="BD441" s="21" t="s">
        <v>190</v>
      </c>
    </row>
    <row r="442" spans="2:56" x14ac:dyDescent="0.3">
      <c r="B442" s="11" t="s">
        <v>171</v>
      </c>
      <c r="C442" s="4" t="s">
        <v>194</v>
      </c>
      <c r="D442" s="4"/>
      <c r="E442" s="4"/>
      <c r="F442" s="42"/>
      <c r="G442" s="4"/>
      <c r="H442" s="4"/>
      <c r="I442" s="36" t="e">
        <f t="shared" ref="I442:I505" si="30">((K442)*1000)/H442</f>
        <v>#DIV/0!</v>
      </c>
      <c r="J442" s="4"/>
      <c r="K442" s="4"/>
      <c r="L442" s="4"/>
      <c r="M442" s="4" t="e">
        <f t="shared" si="29"/>
        <v>#DIV/0!</v>
      </c>
      <c r="P442" t="s">
        <v>192</v>
      </c>
      <c r="AJ442" s="26">
        <v>88.197148756035702</v>
      </c>
      <c r="AK442" s="26">
        <v>51.265055109304797</v>
      </c>
      <c r="AL442" s="11">
        <f t="shared" ref="AL442:AL505" si="31">((AK442)^2*AJ442)/10000</f>
        <v>23.179144483574245</v>
      </c>
      <c r="AP442" s="65" t="s">
        <v>161</v>
      </c>
      <c r="AQ442" s="76">
        <v>51.265055109304797</v>
      </c>
      <c r="AR442" s="76">
        <v>88.197148756035702</v>
      </c>
      <c r="AS442" s="11" t="s">
        <v>186</v>
      </c>
      <c r="AT442" s="29">
        <v>2.11564982783935E-5</v>
      </c>
      <c r="AU442" s="29">
        <v>180.470047785497</v>
      </c>
      <c r="BD442" s="21" t="s">
        <v>190</v>
      </c>
    </row>
    <row r="443" spans="2:56" x14ac:dyDescent="0.3">
      <c r="B443" s="11" t="s">
        <v>171</v>
      </c>
      <c r="C443" s="4" t="s">
        <v>194</v>
      </c>
      <c r="D443" s="4"/>
      <c r="E443" s="4"/>
      <c r="F443" s="42"/>
      <c r="G443" s="4"/>
      <c r="H443" s="4"/>
      <c r="I443" s="36" t="e">
        <f t="shared" si="30"/>
        <v>#DIV/0!</v>
      </c>
      <c r="J443" s="4"/>
      <c r="K443" s="4"/>
      <c r="L443" s="4"/>
      <c r="M443" s="4" t="e">
        <f t="shared" si="29"/>
        <v>#DIV/0!</v>
      </c>
      <c r="P443" t="s">
        <v>192</v>
      </c>
      <c r="AJ443" s="26">
        <v>76.404138490585794</v>
      </c>
      <c r="AK443" s="26">
        <v>41.311544164995098</v>
      </c>
      <c r="AL443" s="11">
        <f t="shared" si="31"/>
        <v>13.039464017984876</v>
      </c>
      <c r="AP443" s="65" t="s">
        <v>161</v>
      </c>
      <c r="AQ443" s="76">
        <v>41.311544164995098</v>
      </c>
      <c r="AR443" s="76">
        <v>76.404138490585794</v>
      </c>
      <c r="AS443" s="11" t="s">
        <v>186</v>
      </c>
      <c r="AT443" s="29">
        <v>3.4551072945922098E-5</v>
      </c>
      <c r="AU443" s="29">
        <v>193.40485806893301</v>
      </c>
      <c r="BD443" s="21" t="s">
        <v>190</v>
      </c>
    </row>
    <row r="444" spans="2:56" x14ac:dyDescent="0.3">
      <c r="B444" s="11" t="s">
        <v>171</v>
      </c>
      <c r="C444" s="4" t="s">
        <v>194</v>
      </c>
      <c r="D444" s="4"/>
      <c r="E444" s="4"/>
      <c r="F444" s="42"/>
      <c r="G444" s="4"/>
      <c r="H444" s="4"/>
      <c r="I444" s="36" t="e">
        <f t="shared" si="30"/>
        <v>#DIV/0!</v>
      </c>
      <c r="J444" s="4"/>
      <c r="K444" s="4"/>
      <c r="L444" s="4"/>
      <c r="M444" s="4" t="e">
        <f t="shared" si="29"/>
        <v>#DIV/0!</v>
      </c>
      <c r="P444" t="s">
        <v>192</v>
      </c>
      <c r="AJ444" s="26">
        <v>76.404138490585794</v>
      </c>
      <c r="AK444" s="26">
        <v>40.057013926518202</v>
      </c>
      <c r="AL444" s="11">
        <f t="shared" si="31"/>
        <v>12.259535793830612</v>
      </c>
      <c r="AP444" s="65" t="s">
        <v>161</v>
      </c>
      <c r="AQ444" s="76">
        <v>40.057013926518202</v>
      </c>
      <c r="AR444" s="76">
        <v>76.404138490585794</v>
      </c>
      <c r="AS444" s="11" t="s">
        <v>186</v>
      </c>
      <c r="AT444" s="29">
        <v>1.29546604849067E-5</v>
      </c>
      <c r="AU444" s="29">
        <v>259.03346494152498</v>
      </c>
      <c r="BD444" s="21" t="s">
        <v>190</v>
      </c>
    </row>
    <row r="445" spans="2:56" x14ac:dyDescent="0.3">
      <c r="B445" s="11" t="s">
        <v>171</v>
      </c>
      <c r="C445" s="4" t="s">
        <v>194</v>
      </c>
      <c r="D445" s="4"/>
      <c r="E445" s="4"/>
      <c r="F445" s="42"/>
      <c r="G445" s="4"/>
      <c r="H445" s="4"/>
      <c r="I445" s="36" t="e">
        <f t="shared" si="30"/>
        <v>#DIV/0!</v>
      </c>
      <c r="J445" s="4"/>
      <c r="K445" s="4"/>
      <c r="L445" s="4"/>
      <c r="M445" s="4" t="e">
        <f t="shared" si="29"/>
        <v>#DIV/0!</v>
      </c>
      <c r="P445" t="s">
        <v>192</v>
      </c>
      <c r="AJ445" s="26">
        <v>94.759634434246706</v>
      </c>
      <c r="AK445" s="26">
        <v>38.840580693395601</v>
      </c>
      <c r="AL445" s="11">
        <f t="shared" si="31"/>
        <v>14.295350405785378</v>
      </c>
      <c r="AP445" s="65" t="s">
        <v>161</v>
      </c>
      <c r="AQ445" s="76">
        <v>38.840580693395601</v>
      </c>
      <c r="AR445" s="76">
        <v>94.759634434246706</v>
      </c>
      <c r="AS445" s="11" t="s">
        <v>186</v>
      </c>
      <c r="AT445" s="29">
        <v>1.19377664171443E-5</v>
      </c>
      <c r="AU445" s="29">
        <v>117.674717124854</v>
      </c>
      <c r="BD445" s="21" t="s">
        <v>190</v>
      </c>
    </row>
    <row r="446" spans="2:56" x14ac:dyDescent="0.3">
      <c r="B446" s="11" t="s">
        <v>171</v>
      </c>
      <c r="C446" s="4" t="s">
        <v>194</v>
      </c>
      <c r="D446" s="4"/>
      <c r="E446" s="4"/>
      <c r="F446" s="42"/>
      <c r="G446" s="4"/>
      <c r="H446" s="4"/>
      <c r="I446" s="36" t="e">
        <f t="shared" si="30"/>
        <v>#DIV/0!</v>
      </c>
      <c r="J446" s="4"/>
      <c r="K446" s="4"/>
      <c r="L446" s="4"/>
      <c r="M446" s="4" t="e">
        <f t="shared" si="29"/>
        <v>#DIV/0!</v>
      </c>
      <c r="P446" t="s">
        <v>192</v>
      </c>
      <c r="AJ446" s="26">
        <v>109.38582306368799</v>
      </c>
      <c r="AK446" s="26">
        <v>40.057013926518202</v>
      </c>
      <c r="AL446" s="11">
        <f t="shared" si="31"/>
        <v>17.551659369238749</v>
      </c>
      <c r="AP446" s="65" t="s">
        <v>161</v>
      </c>
      <c r="AQ446" s="76">
        <v>40.057013926518202</v>
      </c>
      <c r="AR446" s="76">
        <v>109.38582306368799</v>
      </c>
      <c r="AS446" s="11" t="s">
        <v>186</v>
      </c>
      <c r="AT446" s="29">
        <v>9.34144801242661E-6</v>
      </c>
      <c r="AU446" s="29">
        <v>146.131199567083</v>
      </c>
      <c r="BD446" s="21" t="s">
        <v>190</v>
      </c>
    </row>
    <row r="447" spans="2:56" x14ac:dyDescent="0.3">
      <c r="B447" s="11" t="s">
        <v>171</v>
      </c>
      <c r="C447" s="4" t="s">
        <v>194</v>
      </c>
      <c r="D447" s="4"/>
      <c r="E447" s="4"/>
      <c r="F447" s="42"/>
      <c r="G447" s="4"/>
      <c r="H447" s="4"/>
      <c r="I447" s="36" t="e">
        <f t="shared" si="30"/>
        <v>#DIV/0!</v>
      </c>
      <c r="J447" s="4"/>
      <c r="K447" s="4"/>
      <c r="L447" s="4"/>
      <c r="M447" s="4" t="e">
        <f t="shared" si="29"/>
        <v>#DIV/0!</v>
      </c>
      <c r="P447" t="s">
        <v>192</v>
      </c>
      <c r="AJ447" s="26">
        <v>135.66491044305801</v>
      </c>
      <c r="AK447" s="26">
        <v>41.311544164995198</v>
      </c>
      <c r="AL447" s="11">
        <f t="shared" si="31"/>
        <v>23.153166218128</v>
      </c>
      <c r="AP447" s="65" t="s">
        <v>161</v>
      </c>
      <c r="AQ447" s="76">
        <v>41.311544164995198</v>
      </c>
      <c r="AR447" s="76">
        <v>135.66491044305801</v>
      </c>
      <c r="AS447" s="11" t="s">
        <v>186</v>
      </c>
      <c r="AT447" s="29">
        <v>7.9324671819909804E-6</v>
      </c>
      <c r="AU447" s="29">
        <v>224.97009840114001</v>
      </c>
      <c r="BD447" s="21" t="s">
        <v>190</v>
      </c>
    </row>
    <row r="448" spans="2:56" x14ac:dyDescent="0.3">
      <c r="B448" s="11" t="s">
        <v>171</v>
      </c>
      <c r="C448" s="4" t="s">
        <v>194</v>
      </c>
      <c r="D448" s="4"/>
      <c r="E448" s="4"/>
      <c r="F448" s="42"/>
      <c r="G448" s="4"/>
      <c r="H448" s="4"/>
      <c r="I448" s="36" t="e">
        <f t="shared" si="30"/>
        <v>#DIV/0!</v>
      </c>
      <c r="J448" s="4"/>
      <c r="K448" s="4"/>
      <c r="L448" s="4"/>
      <c r="M448" s="4" t="e">
        <f t="shared" si="29"/>
        <v>#DIV/0!</v>
      </c>
      <c r="P448" t="s">
        <v>192</v>
      </c>
      <c r="AJ448" s="26">
        <v>208.679851731187</v>
      </c>
      <c r="AK448" s="26">
        <v>40.057013926518202</v>
      </c>
      <c r="AL448" s="11">
        <f t="shared" si="31"/>
        <v>33.484025372067741</v>
      </c>
      <c r="AP448" s="65" t="s">
        <v>161</v>
      </c>
      <c r="AQ448" s="76">
        <v>40.057013926518202</v>
      </c>
      <c r="AR448" s="76">
        <v>208.679851731187</v>
      </c>
      <c r="AS448" s="11" t="s">
        <v>186</v>
      </c>
      <c r="AT448" s="29">
        <v>2.4914358201353801E-5</v>
      </c>
      <c r="AU448" s="29">
        <v>492.49282503205501</v>
      </c>
      <c r="BD448" s="21" t="s">
        <v>190</v>
      </c>
    </row>
    <row r="449" spans="2:56" x14ac:dyDescent="0.3">
      <c r="B449" s="11" t="s">
        <v>171</v>
      </c>
      <c r="C449" s="4" t="s">
        <v>194</v>
      </c>
      <c r="D449" s="4"/>
      <c r="E449" s="4"/>
      <c r="F449" s="42"/>
      <c r="G449" s="4"/>
      <c r="H449" s="4"/>
      <c r="I449" s="36" t="e">
        <f t="shared" si="30"/>
        <v>#DIV/0!</v>
      </c>
      <c r="J449" s="4"/>
      <c r="K449" s="4"/>
      <c r="L449" s="4"/>
      <c r="M449" s="4" t="e">
        <f t="shared" si="29"/>
        <v>#DIV/0!</v>
      </c>
      <c r="P449" t="s">
        <v>192</v>
      </c>
      <c r="AJ449" s="26">
        <v>208.679851731187</v>
      </c>
      <c r="AK449" s="26">
        <v>40.057013926518202</v>
      </c>
      <c r="AL449" s="11">
        <f t="shared" si="31"/>
        <v>33.484025372067741</v>
      </c>
      <c r="AP449" s="65" t="s">
        <v>161</v>
      </c>
      <c r="AQ449" s="76">
        <v>40.057013926518202</v>
      </c>
      <c r="AR449" s="76">
        <v>208.679851731187</v>
      </c>
      <c r="AS449" s="11" t="s">
        <v>186</v>
      </c>
      <c r="AT449" s="29">
        <v>8.4916890523167697E-5</v>
      </c>
      <c r="AU449" s="29">
        <v>1003.04808975353</v>
      </c>
      <c r="BD449" s="21" t="s">
        <v>190</v>
      </c>
    </row>
    <row r="450" spans="2:56" x14ac:dyDescent="0.3">
      <c r="B450" s="11" t="s">
        <v>171</v>
      </c>
      <c r="C450" s="4" t="s">
        <v>194</v>
      </c>
      <c r="D450" s="4"/>
      <c r="E450" s="4"/>
      <c r="F450" s="42"/>
      <c r="G450" s="4"/>
      <c r="H450" s="4"/>
      <c r="I450" s="36" t="e">
        <f t="shared" si="30"/>
        <v>#DIV/0!</v>
      </c>
      <c r="J450" s="4"/>
      <c r="K450" s="4"/>
      <c r="L450" s="4"/>
      <c r="M450" s="4" t="e">
        <f t="shared" si="29"/>
        <v>#DIV/0!</v>
      </c>
      <c r="P450" t="s">
        <v>192</v>
      </c>
      <c r="AJ450" s="26">
        <v>208.67985173118799</v>
      </c>
      <c r="AK450" s="26">
        <v>35.408468496430203</v>
      </c>
      <c r="AL450" s="11">
        <f t="shared" si="31"/>
        <v>26.16343760452456</v>
      </c>
      <c r="AP450" s="65" t="s">
        <v>161</v>
      </c>
      <c r="AQ450" s="76">
        <v>35.408468496430203</v>
      </c>
      <c r="AR450" s="76">
        <v>208.67985173118799</v>
      </c>
      <c r="AS450" s="11" t="s">
        <v>186</v>
      </c>
      <c r="AT450" s="29">
        <v>1.17762201823342E-4</v>
      </c>
      <c r="AU450" s="29">
        <v>1001.34568651248</v>
      </c>
      <c r="BD450" s="21" t="s">
        <v>190</v>
      </c>
    </row>
    <row r="451" spans="2:56" x14ac:dyDescent="0.3">
      <c r="B451" s="11" t="s">
        <v>171</v>
      </c>
      <c r="C451" s="4" t="s">
        <v>194</v>
      </c>
      <c r="D451" s="4"/>
      <c r="E451" s="4"/>
      <c r="F451" s="42"/>
      <c r="G451" s="4"/>
      <c r="H451" s="4"/>
      <c r="I451" s="36" t="e">
        <f t="shared" si="30"/>
        <v>#DIV/0!</v>
      </c>
      <c r="J451" s="4"/>
      <c r="K451" s="4"/>
      <c r="L451" s="4"/>
      <c r="M451" s="4" t="e">
        <f t="shared" si="29"/>
        <v>#DIV/0!</v>
      </c>
      <c r="P451" t="s">
        <v>192</v>
      </c>
      <c r="AJ451" s="26">
        <v>194.22793297386801</v>
      </c>
      <c r="AK451" s="26">
        <v>36.517412725483801</v>
      </c>
      <c r="AL451" s="11">
        <f t="shared" si="31"/>
        <v>25.900711134543499</v>
      </c>
      <c r="AP451" s="65" t="s">
        <v>161</v>
      </c>
      <c r="AQ451" s="76">
        <v>36.517412725483801</v>
      </c>
      <c r="AR451" s="76">
        <v>194.22793297386801</v>
      </c>
      <c r="AS451" s="11" t="s">
        <v>186</v>
      </c>
      <c r="AT451" s="29">
        <v>3.4551072945922098E-5</v>
      </c>
      <c r="AU451" s="29">
        <v>1249.8473944269799</v>
      </c>
      <c r="BD451" s="21" t="s">
        <v>190</v>
      </c>
    </row>
    <row r="452" spans="2:56" x14ac:dyDescent="0.3">
      <c r="B452" s="11" t="s">
        <v>171</v>
      </c>
      <c r="C452" s="4" t="s">
        <v>194</v>
      </c>
      <c r="D452" s="4"/>
      <c r="E452" s="4"/>
      <c r="F452" s="42"/>
      <c r="G452" s="4"/>
      <c r="H452" s="4"/>
      <c r="I452" s="36" t="e">
        <f t="shared" si="30"/>
        <v>#DIV/0!</v>
      </c>
      <c r="J452" s="4"/>
      <c r="K452" s="4"/>
      <c r="L452" s="4"/>
      <c r="M452" s="4" t="e">
        <f t="shared" si="29"/>
        <v>#DIV/0!</v>
      </c>
      <c r="P452" t="s">
        <v>192</v>
      </c>
      <c r="AJ452" s="26">
        <v>194.22793297386801</v>
      </c>
      <c r="AK452" s="26">
        <v>36.517412725483801</v>
      </c>
      <c r="AL452" s="11">
        <f t="shared" si="31"/>
        <v>25.900711134543499</v>
      </c>
      <c r="AP452" s="65" t="s">
        <v>161</v>
      </c>
      <c r="AQ452" s="76">
        <v>36.517412725483801</v>
      </c>
      <c r="AR452" s="76">
        <v>194.22793297386801</v>
      </c>
      <c r="AS452" s="11" t="s">
        <v>186</v>
      </c>
      <c r="AT452" s="29">
        <v>2.7036636538169E-5</v>
      </c>
      <c r="AU452" s="29">
        <v>610.55103295730601</v>
      </c>
      <c r="BD452" s="21" t="s">
        <v>190</v>
      </c>
    </row>
    <row r="453" spans="2:56" x14ac:dyDescent="0.3">
      <c r="B453" s="11" t="s">
        <v>171</v>
      </c>
      <c r="C453" s="4" t="s">
        <v>194</v>
      </c>
      <c r="D453" s="4"/>
      <c r="E453" s="4"/>
      <c r="F453" s="42"/>
      <c r="G453" s="4"/>
      <c r="H453" s="4"/>
      <c r="I453" s="36" t="e">
        <f t="shared" si="30"/>
        <v>#DIV/0!</v>
      </c>
      <c r="J453" s="4"/>
      <c r="K453" s="4"/>
      <c r="L453" s="4"/>
      <c r="M453" s="4" t="e">
        <f t="shared" si="29"/>
        <v>#DIV/0!</v>
      </c>
      <c r="P453" t="s">
        <v>192</v>
      </c>
      <c r="AJ453" s="26">
        <v>156.604845283283</v>
      </c>
      <c r="AK453" s="26">
        <v>34.333200182819901</v>
      </c>
      <c r="AL453" s="11">
        <f t="shared" si="31"/>
        <v>18.4600879676636</v>
      </c>
      <c r="AP453" s="65" t="s">
        <v>161</v>
      </c>
      <c r="AQ453" s="76">
        <v>34.333200182819901</v>
      </c>
      <c r="AR453" s="76">
        <v>156.604845283283</v>
      </c>
      <c r="AS453" s="11" t="s">
        <v>186</v>
      </c>
      <c r="AT453" s="29">
        <v>3.01501821907995E-7</v>
      </c>
      <c r="AU453" s="29">
        <v>0.216833017226463</v>
      </c>
      <c r="BD453" s="21" t="s">
        <v>190</v>
      </c>
    </row>
    <row r="454" spans="2:56" x14ac:dyDescent="0.3">
      <c r="B454" s="11" t="s">
        <v>171</v>
      </c>
      <c r="C454" s="4" t="s">
        <v>194</v>
      </c>
      <c r="D454" s="4"/>
      <c r="E454" s="4"/>
      <c r="F454" s="42"/>
      <c r="G454" s="4"/>
      <c r="H454" s="4"/>
      <c r="I454" s="36" t="e">
        <f t="shared" si="30"/>
        <v>#DIV/0!</v>
      </c>
      <c r="J454" s="4"/>
      <c r="K454" s="4"/>
      <c r="L454" s="4"/>
      <c r="M454" s="4" t="e">
        <f t="shared" si="29"/>
        <v>#DIV/0!</v>
      </c>
      <c r="P454" t="s">
        <v>192</v>
      </c>
      <c r="AJ454" s="26">
        <v>126.26956993616599</v>
      </c>
      <c r="AK454" s="26">
        <v>33.290585129724697</v>
      </c>
      <c r="AL454" s="11">
        <f t="shared" si="31"/>
        <v>13.993989974508583</v>
      </c>
      <c r="AP454" s="65" t="s">
        <v>161</v>
      </c>
      <c r="AQ454" s="76">
        <v>33.290585129724697</v>
      </c>
      <c r="AR454" s="76">
        <v>126.26956993616599</v>
      </c>
      <c r="AS454" s="11" t="s">
        <v>186</v>
      </c>
      <c r="AT454" s="29">
        <v>3.8529982926555997E-7</v>
      </c>
      <c r="AU454" s="29">
        <v>0.26858305765282797</v>
      </c>
      <c r="BD454" s="21" t="s">
        <v>190</v>
      </c>
    </row>
    <row r="455" spans="2:56" x14ac:dyDescent="0.3">
      <c r="B455" s="11" t="s">
        <v>171</v>
      </c>
      <c r="C455" s="4" t="s">
        <v>194</v>
      </c>
      <c r="D455" s="4"/>
      <c r="E455" s="4"/>
      <c r="F455" s="42"/>
      <c r="G455" s="4"/>
      <c r="H455" s="4"/>
      <c r="I455" s="36" t="e">
        <f t="shared" si="30"/>
        <v>#DIV/0!</v>
      </c>
      <c r="J455" s="4"/>
      <c r="K455" s="4"/>
      <c r="L455" s="4"/>
      <c r="M455" s="4" t="e">
        <f t="shared" si="29"/>
        <v>#DIV/0!</v>
      </c>
      <c r="P455" t="s">
        <v>192</v>
      </c>
      <c r="AJ455" s="26">
        <v>180.776867696343</v>
      </c>
      <c r="AK455" s="26">
        <v>31.299378519892201</v>
      </c>
      <c r="AL455" s="11">
        <f t="shared" si="31"/>
        <v>17.709825652162891</v>
      </c>
      <c r="AP455" s="65" t="s">
        <v>161</v>
      </c>
      <c r="AQ455" s="76">
        <v>31.299378519892201</v>
      </c>
      <c r="AR455" s="76">
        <v>180.776867696343</v>
      </c>
      <c r="AS455" s="11" t="s">
        <v>186</v>
      </c>
      <c r="AT455" s="29">
        <v>3.5025044700580398E-6</v>
      </c>
      <c r="AU455" s="29">
        <v>1.5970545747799201</v>
      </c>
      <c r="BD455" s="21" t="s">
        <v>190</v>
      </c>
    </row>
    <row r="456" spans="2:56" x14ac:dyDescent="0.3">
      <c r="B456" s="11" t="s">
        <v>171</v>
      </c>
      <c r="C456" s="4" t="s">
        <v>194</v>
      </c>
      <c r="D456" s="4"/>
      <c r="E456" s="4"/>
      <c r="F456" s="42"/>
      <c r="G456" s="4"/>
      <c r="H456" s="4"/>
      <c r="I456" s="36" t="e">
        <f t="shared" si="30"/>
        <v>#DIV/0!</v>
      </c>
      <c r="J456" s="4"/>
      <c r="K456" s="4"/>
      <c r="L456" s="4"/>
      <c r="M456" s="4" t="e">
        <f t="shared" si="29"/>
        <v>#DIV/0!</v>
      </c>
      <c r="P456" t="s">
        <v>192</v>
      </c>
      <c r="AJ456" s="26">
        <v>109.385823063689</v>
      </c>
      <c r="AK456" s="26">
        <v>26.0122890596734</v>
      </c>
      <c r="AL456" s="11">
        <f t="shared" si="31"/>
        <v>7.4014733853775585</v>
      </c>
      <c r="AP456" s="65" t="s">
        <v>161</v>
      </c>
      <c r="AQ456" s="76">
        <v>26.0122890596734</v>
      </c>
      <c r="AR456" s="76">
        <v>109.385823063689</v>
      </c>
      <c r="AS456" s="11" t="s">
        <v>186</v>
      </c>
      <c r="AT456" s="29">
        <v>3.2275705169789101E-6</v>
      </c>
      <c r="AU456" s="29">
        <v>2.2874327984357001</v>
      </c>
      <c r="BD456" s="21" t="s">
        <v>190</v>
      </c>
    </row>
    <row r="457" spans="2:56" x14ac:dyDescent="0.3">
      <c r="B457" s="11" t="s">
        <v>171</v>
      </c>
      <c r="C457" s="4" t="s">
        <v>194</v>
      </c>
      <c r="D457" s="4"/>
      <c r="E457" s="4"/>
      <c r="F457" s="42"/>
      <c r="G457" s="4"/>
      <c r="H457" s="4"/>
      <c r="I457" s="36" t="e">
        <f t="shared" si="30"/>
        <v>#DIV/0!</v>
      </c>
      <c r="J457" s="4"/>
      <c r="K457" s="4"/>
      <c r="L457" s="4"/>
      <c r="M457" s="4" t="e">
        <f t="shared" si="29"/>
        <v>#DIV/0!</v>
      </c>
      <c r="P457" t="s">
        <v>192</v>
      </c>
      <c r="AJ457" s="26">
        <v>180.776867696343</v>
      </c>
      <c r="AK457" s="26">
        <v>22.295349551952299</v>
      </c>
      <c r="AL457" s="11">
        <f t="shared" si="31"/>
        <v>8.9861037519272973</v>
      </c>
      <c r="AP457" s="65" t="s">
        <v>161</v>
      </c>
      <c r="AQ457" s="76">
        <v>22.295349551952299</v>
      </c>
      <c r="AR457" s="76">
        <v>180.776867696343</v>
      </c>
      <c r="AS457" s="11" t="s">
        <v>186</v>
      </c>
      <c r="AT457" s="29">
        <v>1.8211890464834399E-6</v>
      </c>
      <c r="AU457" s="29">
        <v>5.05238577249599</v>
      </c>
      <c r="BD457" s="21" t="s">
        <v>190</v>
      </c>
    </row>
    <row r="458" spans="2:56" x14ac:dyDescent="0.3">
      <c r="B458" s="11" t="s">
        <v>171</v>
      </c>
      <c r="C458" s="4" t="s">
        <v>194</v>
      </c>
      <c r="D458" s="4"/>
      <c r="E458" s="4"/>
      <c r="F458" s="42"/>
      <c r="G458" s="4"/>
      <c r="H458" s="4"/>
      <c r="I458" s="36" t="e">
        <f t="shared" si="30"/>
        <v>#DIV/0!</v>
      </c>
      <c r="J458" s="4"/>
      <c r="K458" s="4"/>
      <c r="L458" s="4"/>
      <c r="M458" s="4" t="e">
        <f t="shared" si="29"/>
        <v>#DIV/0!</v>
      </c>
      <c r="P458" t="s">
        <v>192</v>
      </c>
      <c r="AJ458" s="26">
        <v>82.089141596382603</v>
      </c>
      <c r="AK458" s="26">
        <v>33.290585129724803</v>
      </c>
      <c r="AL458" s="11">
        <f t="shared" si="31"/>
        <v>9.0976363117142149</v>
      </c>
      <c r="AP458" s="65" t="s">
        <v>161</v>
      </c>
      <c r="AQ458" s="76">
        <v>33.290585129724803</v>
      </c>
      <c r="AR458" s="76">
        <v>82.089141596382603</v>
      </c>
      <c r="AS458" s="11" t="s">
        <v>186</v>
      </c>
      <c r="AT458" s="29">
        <v>4.1246263829013503E-6</v>
      </c>
      <c r="AU458" s="29">
        <v>11.079223841374001</v>
      </c>
      <c r="BD458" s="21" t="s">
        <v>190</v>
      </c>
    </row>
    <row r="459" spans="2:56" x14ac:dyDescent="0.3">
      <c r="B459" s="11" t="s">
        <v>171</v>
      </c>
      <c r="C459" s="4" t="s">
        <v>194</v>
      </c>
      <c r="D459" s="4"/>
      <c r="E459" s="4"/>
      <c r="F459" s="42"/>
      <c r="G459" s="4"/>
      <c r="H459" s="4"/>
      <c r="I459" s="36" t="e">
        <f t="shared" si="30"/>
        <v>#DIV/0!</v>
      </c>
      <c r="J459" s="4"/>
      <c r="K459" s="4"/>
      <c r="L459" s="4"/>
      <c r="M459" s="4" t="e">
        <f t="shared" si="29"/>
        <v>#DIV/0!</v>
      </c>
      <c r="P459" t="s">
        <v>192</v>
      </c>
      <c r="AJ459" s="26">
        <v>126.269569936167</v>
      </c>
      <c r="AK459" s="26">
        <v>48.198743231958801</v>
      </c>
      <c r="AL459" s="11">
        <f t="shared" si="31"/>
        <v>29.333921799154822</v>
      </c>
      <c r="AP459" s="65" t="s">
        <v>161</v>
      </c>
      <c r="AQ459" s="76">
        <v>48.198743231958801</v>
      </c>
      <c r="AR459" s="76">
        <v>126.269569936167</v>
      </c>
      <c r="AS459" s="11" t="s">
        <v>186</v>
      </c>
      <c r="AT459" s="29">
        <v>7.3097971529705097E-6</v>
      </c>
      <c r="AU459" s="29">
        <v>32.4153554097295</v>
      </c>
      <c r="BD459" s="21" t="s">
        <v>190</v>
      </c>
    </row>
    <row r="460" spans="2:56" x14ac:dyDescent="0.3">
      <c r="B460" s="11" t="s">
        <v>171</v>
      </c>
      <c r="C460" s="4" t="s">
        <v>194</v>
      </c>
      <c r="D460" s="4"/>
      <c r="E460" s="4"/>
      <c r="F460" s="42"/>
      <c r="G460" s="4"/>
      <c r="H460" s="4"/>
      <c r="I460" s="36" t="e">
        <f t="shared" si="30"/>
        <v>#DIV/0!</v>
      </c>
      <c r="J460" s="4"/>
      <c r="K460" s="4"/>
      <c r="L460" s="4"/>
      <c r="M460" s="4" t="e">
        <f t="shared" si="29"/>
        <v>#DIV/0!</v>
      </c>
      <c r="P460" t="s">
        <v>192</v>
      </c>
      <c r="AJ460" s="26">
        <v>258.81355191612602</v>
      </c>
      <c r="AK460" s="26">
        <v>38.840580693395601</v>
      </c>
      <c r="AL460" s="11">
        <f t="shared" si="31"/>
        <v>39.044371968047678</v>
      </c>
      <c r="AP460" s="65" t="s">
        <v>161</v>
      </c>
      <c r="AQ460" s="76">
        <v>38.840580693395601</v>
      </c>
      <c r="AR460" s="76">
        <v>258.81355191612602</v>
      </c>
      <c r="AS460" s="11" t="s">
        <v>186</v>
      </c>
      <c r="AT460" s="29">
        <v>1.19377664171443E-5</v>
      </c>
      <c r="AU460" s="29">
        <v>181.00732490020701</v>
      </c>
      <c r="BD460" s="21" t="s">
        <v>190</v>
      </c>
    </row>
    <row r="461" spans="2:56" x14ac:dyDescent="0.3">
      <c r="B461" s="11" t="s">
        <v>171</v>
      </c>
      <c r="C461" s="4" t="s">
        <v>194</v>
      </c>
      <c r="D461" s="4"/>
      <c r="E461" s="4"/>
      <c r="F461" s="42"/>
      <c r="G461" s="4"/>
      <c r="H461" s="4"/>
      <c r="I461" s="36" t="e">
        <f t="shared" si="30"/>
        <v>#DIV/0!</v>
      </c>
      <c r="J461" s="4"/>
      <c r="K461" s="4"/>
      <c r="L461" s="4"/>
      <c r="M461" s="4" t="e">
        <f t="shared" si="29"/>
        <v>#DIV/0!</v>
      </c>
      <c r="P461" t="s">
        <v>192</v>
      </c>
      <c r="AJ461" s="26">
        <v>194.22793297386801</v>
      </c>
      <c r="AK461" s="26">
        <v>27.667141148176501</v>
      </c>
      <c r="AL461" s="11">
        <f t="shared" si="31"/>
        <v>14.86757916796488</v>
      </c>
      <c r="AP461" s="65" t="s">
        <v>161</v>
      </c>
      <c r="AQ461" s="76">
        <v>27.667141148176501</v>
      </c>
      <c r="AR461" s="76">
        <v>194.22793297386801</v>
      </c>
      <c r="AS461" s="11" t="s">
        <v>186</v>
      </c>
      <c r="AT461" s="29">
        <v>1.52556934257647E-5</v>
      </c>
      <c r="AU461" s="29">
        <v>145.75933009692901</v>
      </c>
      <c r="BD461" s="21" t="s">
        <v>190</v>
      </c>
    </row>
    <row r="462" spans="2:56" x14ac:dyDescent="0.3">
      <c r="B462" s="11" t="s">
        <v>171</v>
      </c>
      <c r="C462" s="4" t="s">
        <v>194</v>
      </c>
      <c r="D462" s="4"/>
      <c r="E462" s="4"/>
      <c r="F462" s="42"/>
      <c r="G462" s="4"/>
      <c r="H462" s="4"/>
      <c r="I462" s="36" t="e">
        <f t="shared" si="30"/>
        <v>#DIV/0!</v>
      </c>
      <c r="J462" s="4"/>
      <c r="K462" s="4"/>
      <c r="L462" s="4"/>
      <c r="M462" s="4" t="e">
        <f t="shared" si="29"/>
        <v>#DIV/0!</v>
      </c>
      <c r="P462" t="s">
        <v>192</v>
      </c>
      <c r="AJ462" s="26">
        <v>145.75933009692901</v>
      </c>
      <c r="AK462" s="26">
        <v>24.456418482131401</v>
      </c>
      <c r="AL462" s="11">
        <f t="shared" si="31"/>
        <v>8.718104650886815</v>
      </c>
      <c r="AP462" s="65" t="s">
        <v>161</v>
      </c>
      <c r="AQ462" s="76">
        <v>24.456418482131401</v>
      </c>
      <c r="AR462" s="76">
        <v>145.75933009692901</v>
      </c>
      <c r="AS462" s="11" t="s">
        <v>186</v>
      </c>
      <c r="AT462" s="29">
        <v>1.7965440481599398E-5</v>
      </c>
      <c r="AU462" s="29">
        <v>224.016748182561</v>
      </c>
      <c r="BD462" s="21" t="s">
        <v>190</v>
      </c>
    </row>
    <row r="463" spans="2:56" x14ac:dyDescent="0.3">
      <c r="B463" s="11" t="s">
        <v>171</v>
      </c>
      <c r="C463" s="4" t="s">
        <v>194</v>
      </c>
      <c r="D463" s="4"/>
      <c r="E463" s="4"/>
      <c r="F463" s="42"/>
      <c r="G463" s="4"/>
      <c r="H463" s="4"/>
      <c r="I463" s="36" t="e">
        <f t="shared" si="30"/>
        <v>#DIV/0!</v>
      </c>
      <c r="J463" s="4"/>
      <c r="K463" s="4"/>
      <c r="L463" s="4"/>
      <c r="M463" s="4" t="e">
        <f t="shared" si="29"/>
        <v>#DIV/0!</v>
      </c>
      <c r="P463" t="s">
        <v>192</v>
      </c>
      <c r="AJ463" s="26">
        <v>145.75933009692901</v>
      </c>
      <c r="AK463" s="26">
        <v>14.4781904686087</v>
      </c>
      <c r="AL463" s="11">
        <f t="shared" si="31"/>
        <v>3.055377914625522</v>
      </c>
      <c r="AP463" s="65" t="s">
        <v>161</v>
      </c>
      <c r="AQ463" s="76">
        <v>14.4781904686087</v>
      </c>
      <c r="AR463" s="76">
        <v>145.75933009692901</v>
      </c>
      <c r="AS463" s="11" t="s">
        <v>186</v>
      </c>
      <c r="AT463" s="29">
        <v>1.7965440481599398E-5</v>
      </c>
      <c r="AU463" s="29">
        <v>101.723980484099</v>
      </c>
      <c r="BD463" s="21" t="s">
        <v>190</v>
      </c>
    </row>
    <row r="464" spans="2:56" x14ac:dyDescent="0.3">
      <c r="B464" s="11" t="s">
        <v>171</v>
      </c>
      <c r="C464" s="4" t="s">
        <v>194</v>
      </c>
      <c r="D464" s="4"/>
      <c r="E464" s="4"/>
      <c r="F464" s="42"/>
      <c r="G464" s="4"/>
      <c r="H464" s="4"/>
      <c r="I464" s="36" t="e">
        <f t="shared" si="30"/>
        <v>#DIV/0!</v>
      </c>
      <c r="J464" s="4"/>
      <c r="K464" s="4"/>
      <c r="L464" s="4"/>
      <c r="M464" s="4" t="e">
        <f t="shared" si="29"/>
        <v>#DIV/0!</v>
      </c>
      <c r="P464" t="s">
        <v>192</v>
      </c>
      <c r="AJ464" s="26">
        <v>208.67985173118799</v>
      </c>
      <c r="AK464" s="26">
        <v>15.881548936437101</v>
      </c>
      <c r="AL464" s="11">
        <f t="shared" si="31"/>
        <v>5.2633982745861729</v>
      </c>
      <c r="AP464" s="65" t="s">
        <v>161</v>
      </c>
      <c r="AQ464" s="76">
        <v>15.881548936437101</v>
      </c>
      <c r="AR464" s="76">
        <v>208.67985173118799</v>
      </c>
      <c r="AS464" s="11" t="s">
        <v>186</v>
      </c>
      <c r="AT464" s="29">
        <v>3.4551072945922301E-5</v>
      </c>
      <c r="AU464" s="29">
        <v>239.86886064656801</v>
      </c>
      <c r="BD464" s="21" t="s">
        <v>190</v>
      </c>
    </row>
    <row r="465" spans="2:56" x14ac:dyDescent="0.3">
      <c r="B465" s="11" t="s">
        <v>171</v>
      </c>
      <c r="C465" s="4" t="s">
        <v>194</v>
      </c>
      <c r="D465" s="4"/>
      <c r="E465" s="4"/>
      <c r="F465" s="42"/>
      <c r="G465" s="4"/>
      <c r="H465" s="4"/>
      <c r="I465" s="36" t="e">
        <f t="shared" si="30"/>
        <v>#DIV/0!</v>
      </c>
      <c r="J465" s="4"/>
      <c r="K465" s="4"/>
      <c r="L465" s="4"/>
      <c r="M465" s="4" t="e">
        <f t="shared" si="29"/>
        <v>#DIV/0!</v>
      </c>
      <c r="P465" t="s">
        <v>192</v>
      </c>
      <c r="AJ465" s="26">
        <v>298.76153032256599</v>
      </c>
      <c r="AK465" s="26">
        <v>17.420933725613899</v>
      </c>
      <c r="AL465" s="11">
        <f t="shared" si="31"/>
        <v>9.0670817722108943</v>
      </c>
      <c r="AP465" s="65" t="s">
        <v>161</v>
      </c>
      <c r="AQ465" s="76">
        <v>17.420933725613899</v>
      </c>
      <c r="AR465" s="76">
        <v>298.76153032256599</v>
      </c>
      <c r="AS465" s="11" t="s">
        <v>186</v>
      </c>
      <c r="AT465" s="29">
        <v>2.7036636538169E-5</v>
      </c>
      <c r="AU465" s="29">
        <v>426.459520723075</v>
      </c>
      <c r="BD465" s="21" t="s">
        <v>190</v>
      </c>
    </row>
    <row r="466" spans="2:56" x14ac:dyDescent="0.3">
      <c r="B466" s="11" t="s">
        <v>171</v>
      </c>
      <c r="C466" s="4" t="s">
        <v>194</v>
      </c>
      <c r="D466" s="4"/>
      <c r="E466" s="4"/>
      <c r="F466" s="42"/>
      <c r="G466" s="4"/>
      <c r="H466" s="4"/>
      <c r="I466" s="36" t="e">
        <f t="shared" si="30"/>
        <v>#DIV/0!</v>
      </c>
      <c r="J466" s="4"/>
      <c r="K466" s="4"/>
      <c r="L466" s="4"/>
      <c r="M466" s="4" t="e">
        <f t="shared" si="29"/>
        <v>#DIV/0!</v>
      </c>
      <c r="P466" t="s">
        <v>192</v>
      </c>
      <c r="AJ466" s="26">
        <v>427.72913273706803</v>
      </c>
      <c r="AK466" s="26">
        <v>24.456418482131401</v>
      </c>
      <c r="AL466" s="11">
        <f t="shared" si="31"/>
        <v>25.583181117497343</v>
      </c>
      <c r="AP466" s="65" t="s">
        <v>161</v>
      </c>
      <c r="AQ466" s="76">
        <v>24.456418482131401</v>
      </c>
      <c r="AR466" s="76">
        <v>427.72913273706803</v>
      </c>
      <c r="AS466" s="11" t="s">
        <v>186</v>
      </c>
      <c r="AT466" s="29">
        <v>1.29546604849067E-5</v>
      </c>
      <c r="AU466" s="29">
        <v>321.26422637589798</v>
      </c>
      <c r="BD466" s="21" t="s">
        <v>190</v>
      </c>
    </row>
    <row r="467" spans="2:56" x14ac:dyDescent="0.3">
      <c r="B467" s="11" t="s">
        <v>171</v>
      </c>
      <c r="C467" s="4" t="s">
        <v>194</v>
      </c>
      <c r="D467" s="4"/>
      <c r="E467" s="4"/>
      <c r="F467" s="42"/>
      <c r="G467" s="4"/>
      <c r="H467" s="4"/>
      <c r="I467" s="36" t="e">
        <f t="shared" si="30"/>
        <v>#DIV/0!</v>
      </c>
      <c r="J467" s="4"/>
      <c r="K467" s="4"/>
      <c r="L467" s="4"/>
      <c r="M467" s="4" t="e">
        <f t="shared" si="29"/>
        <v>#DIV/0!</v>
      </c>
      <c r="P467" t="s">
        <v>192</v>
      </c>
      <c r="AJ467" s="26">
        <v>298.76153032256599</v>
      </c>
      <c r="AK467" s="26">
        <v>12.409377607517101</v>
      </c>
      <c r="AL467" s="11">
        <f t="shared" si="31"/>
        <v>4.6007080550983952</v>
      </c>
      <c r="AP467" s="65" t="s">
        <v>161</v>
      </c>
      <c r="AQ467" s="76">
        <v>12.409377607517101</v>
      </c>
      <c r="AR467" s="76">
        <v>298.76153032256599</v>
      </c>
      <c r="AS467" s="11" t="s">
        <v>186</v>
      </c>
      <c r="AT467" s="29">
        <v>1.7965440481599398E-5</v>
      </c>
      <c r="AU467" s="29">
        <v>53.321685051326199</v>
      </c>
      <c r="BD467" s="21" t="s">
        <v>190</v>
      </c>
    </row>
    <row r="468" spans="2:56" x14ac:dyDescent="0.3">
      <c r="B468" s="11" t="s">
        <v>171</v>
      </c>
      <c r="C468" s="4" t="s">
        <v>194</v>
      </c>
      <c r="D468" s="4"/>
      <c r="E468" s="4"/>
      <c r="F468" s="42"/>
      <c r="G468" s="4"/>
      <c r="H468" s="4"/>
      <c r="I468" s="36" t="e">
        <f t="shared" si="30"/>
        <v>#DIV/0!</v>
      </c>
      <c r="J468" s="4"/>
      <c r="K468" s="4"/>
      <c r="L468" s="4"/>
      <c r="M468" s="4" t="e">
        <f t="shared" si="29"/>
        <v>#DIV/0!</v>
      </c>
      <c r="P468" t="s">
        <v>192</v>
      </c>
      <c r="AJ468" s="26">
        <v>1348.55955305256</v>
      </c>
      <c r="AK468" s="26">
        <v>14.4781904686087</v>
      </c>
      <c r="AL468" s="11">
        <f t="shared" si="31"/>
        <v>28.268235537402955</v>
      </c>
      <c r="AP468" s="65" t="s">
        <v>161</v>
      </c>
      <c r="AQ468" s="76">
        <v>14.4781904686087</v>
      </c>
      <c r="AR468" s="76">
        <v>1348.55955305256</v>
      </c>
      <c r="AS468" s="11" t="s">
        <v>186</v>
      </c>
      <c r="AT468" s="29">
        <v>6.20725244585365E-6</v>
      </c>
      <c r="AU468" s="29">
        <v>11.055723842255601</v>
      </c>
      <c r="BD468" s="21" t="s">
        <v>190</v>
      </c>
    </row>
    <row r="469" spans="2:56" x14ac:dyDescent="0.3">
      <c r="B469" s="11" t="s">
        <v>171</v>
      </c>
      <c r="C469" s="4" t="s">
        <v>194</v>
      </c>
      <c r="D469" s="4"/>
      <c r="E469" s="4"/>
      <c r="F469" s="42"/>
      <c r="G469" s="4"/>
      <c r="H469" s="4"/>
      <c r="I469" s="36" t="e">
        <f t="shared" si="30"/>
        <v>#DIV/0!</v>
      </c>
      <c r="J469" s="4"/>
      <c r="K469" s="4"/>
      <c r="L469" s="4"/>
      <c r="M469" s="4" t="e">
        <f t="shared" si="29"/>
        <v>#DIV/0!</v>
      </c>
      <c r="P469" t="s">
        <v>192</v>
      </c>
      <c r="AJ469" s="26">
        <v>1012.03330560698</v>
      </c>
      <c r="AK469" s="26">
        <v>33.290585129724697</v>
      </c>
      <c r="AL469" s="11">
        <f t="shared" si="31"/>
        <v>112.15991263526499</v>
      </c>
      <c r="AP469" s="65" t="s">
        <v>161</v>
      </c>
      <c r="AQ469" s="76">
        <v>33.290585129724697</v>
      </c>
      <c r="AR469" s="76">
        <v>1012.03330560698</v>
      </c>
      <c r="AS469" s="11" t="s">
        <v>186</v>
      </c>
      <c r="AT469" s="29">
        <v>5.7200055437332702E-6</v>
      </c>
      <c r="AU469" s="29">
        <v>22.670438719167301</v>
      </c>
      <c r="BD469" s="21" t="s">
        <v>190</v>
      </c>
    </row>
    <row r="470" spans="2:56" x14ac:dyDescent="0.3">
      <c r="B470" s="11" t="s">
        <v>171</v>
      </c>
      <c r="C470" s="4" t="s">
        <v>194</v>
      </c>
      <c r="D470" s="4"/>
      <c r="E470" s="4"/>
      <c r="F470" s="42"/>
      <c r="G470" s="4"/>
      <c r="H470" s="4"/>
      <c r="I470" s="36" t="e">
        <f t="shared" si="30"/>
        <v>#DIV/0!</v>
      </c>
      <c r="J470" s="4"/>
      <c r="K470" s="4"/>
      <c r="L470" s="4"/>
      <c r="M470" s="4" t="e">
        <f t="shared" si="29"/>
        <v>#DIV/0!</v>
      </c>
      <c r="P470" t="s">
        <v>192</v>
      </c>
      <c r="AJ470" s="26">
        <v>1012.03330560698</v>
      </c>
      <c r="AK470" s="26">
        <v>29.427271762092801</v>
      </c>
      <c r="AL470" s="11">
        <f t="shared" si="31"/>
        <v>87.63847367077976</v>
      </c>
      <c r="AP470" s="65" t="s">
        <v>161</v>
      </c>
      <c r="AQ470" s="76">
        <v>29.427271762092801</v>
      </c>
      <c r="AR470" s="76">
        <v>1012.03330560698</v>
      </c>
      <c r="AS470" s="11" t="s">
        <v>186</v>
      </c>
      <c r="AT470" s="29">
        <v>8.6081780761581297E-6</v>
      </c>
      <c r="AU470" s="29">
        <v>46.368824010100397</v>
      </c>
      <c r="BD470" s="21" t="s">
        <v>190</v>
      </c>
    </row>
    <row r="471" spans="2:56" x14ac:dyDescent="0.3">
      <c r="B471" s="11" t="s">
        <v>171</v>
      </c>
      <c r="C471" s="4" t="s">
        <v>194</v>
      </c>
      <c r="D471" s="4"/>
      <c r="E471" s="4"/>
      <c r="F471" s="42"/>
      <c r="G471" s="4"/>
      <c r="H471" s="4"/>
      <c r="I471" s="36" t="e">
        <f t="shared" si="30"/>
        <v>#DIV/0!</v>
      </c>
      <c r="J471" s="4"/>
      <c r="K471" s="4"/>
      <c r="L471" s="4"/>
      <c r="M471" s="4" t="e">
        <f t="shared" si="29"/>
        <v>#DIV/0!</v>
      </c>
      <c r="P471" t="s">
        <v>192</v>
      </c>
      <c r="AJ471" s="26">
        <v>612.36870354251403</v>
      </c>
      <c r="AK471" s="26">
        <v>22.295349551952199</v>
      </c>
      <c r="AL471" s="11">
        <f t="shared" si="31"/>
        <v>30.439783444580108</v>
      </c>
      <c r="AP471" s="65" t="s">
        <v>161</v>
      </c>
      <c r="AQ471" s="76">
        <v>22.295349551952199</v>
      </c>
      <c r="AR471" s="76">
        <v>612.36870354251403</v>
      </c>
      <c r="AS471" s="11" t="s">
        <v>186</v>
      </c>
      <c r="AT471" s="29">
        <v>1.19377664171443E-5</v>
      </c>
      <c r="AU471" s="29">
        <v>57.410965591673303</v>
      </c>
      <c r="BD471" s="21" t="s">
        <v>190</v>
      </c>
    </row>
    <row r="472" spans="2:56" x14ac:dyDescent="0.3">
      <c r="B472" s="11" t="s">
        <v>171</v>
      </c>
      <c r="C472" s="4" t="s">
        <v>194</v>
      </c>
      <c r="D472" s="4"/>
      <c r="E472" s="4"/>
      <c r="F472" s="42"/>
      <c r="G472" s="4"/>
      <c r="H472" s="4"/>
      <c r="I472" s="36" t="e">
        <f t="shared" si="30"/>
        <v>#DIV/0!</v>
      </c>
      <c r="J472" s="4"/>
      <c r="K472" s="4"/>
      <c r="L472" s="4"/>
      <c r="M472" s="4" t="e">
        <f t="shared" si="29"/>
        <v>#DIV/0!</v>
      </c>
      <c r="P472" t="s">
        <v>192</v>
      </c>
      <c r="AJ472" s="26">
        <v>612.36870354251198</v>
      </c>
      <c r="AK472" s="26">
        <v>19.1095297497044</v>
      </c>
      <c r="AL472" s="11">
        <f t="shared" si="31"/>
        <v>22.362120687431311</v>
      </c>
      <c r="AP472" s="65" t="s">
        <v>161</v>
      </c>
      <c r="AQ472" s="76">
        <v>19.1095297497044</v>
      </c>
      <c r="AR472" s="76">
        <v>612.36870354251198</v>
      </c>
      <c r="AS472" s="11" t="s">
        <v>186</v>
      </c>
      <c r="AT472" s="29">
        <v>3.1838938486321902E-5</v>
      </c>
      <c r="AU472" s="29">
        <v>94.398153237238802</v>
      </c>
      <c r="BD472" s="21" t="s">
        <v>190</v>
      </c>
    </row>
    <row r="473" spans="2:56" x14ac:dyDescent="0.3">
      <c r="B473" s="11" t="s">
        <v>171</v>
      </c>
      <c r="C473" s="4" t="s">
        <v>194</v>
      </c>
      <c r="D473" s="4"/>
      <c r="E473" s="4"/>
      <c r="F473" s="42"/>
      <c r="G473" s="4"/>
      <c r="H473" s="4"/>
      <c r="I473" s="36" t="e">
        <f t="shared" si="30"/>
        <v>#DIV/0!</v>
      </c>
      <c r="J473" s="4"/>
      <c r="K473" s="4"/>
      <c r="L473" s="4"/>
      <c r="M473" s="4" t="e">
        <f t="shared" si="29"/>
        <v>#DIV/0!</v>
      </c>
      <c r="P473" t="s">
        <v>192</v>
      </c>
      <c r="AJ473" s="26">
        <v>370.53664835015098</v>
      </c>
      <c r="AK473" s="26">
        <v>19.1095297497044</v>
      </c>
      <c r="AL473" s="11">
        <f t="shared" si="31"/>
        <v>13.531039717719901</v>
      </c>
      <c r="AP473" s="65" t="s">
        <v>161</v>
      </c>
      <c r="AQ473" s="76">
        <v>19.1095297497044</v>
      </c>
      <c r="AR473" s="76">
        <v>370.53664835015098</v>
      </c>
      <c r="AS473" s="11" t="s">
        <v>186</v>
      </c>
      <c r="AT473" s="29">
        <v>3.1838938486322098E-5</v>
      </c>
      <c r="AU473" s="29">
        <v>135.14738719055001</v>
      </c>
      <c r="BD473" s="21" t="s">
        <v>190</v>
      </c>
    </row>
    <row r="474" spans="2:56" x14ac:dyDescent="0.3">
      <c r="B474" s="11" t="s">
        <v>171</v>
      </c>
      <c r="C474" s="4" t="s">
        <v>194</v>
      </c>
      <c r="D474" s="4"/>
      <c r="E474" s="4"/>
      <c r="F474" s="42"/>
      <c r="G474" s="4"/>
      <c r="H474" s="4"/>
      <c r="I474" s="36" t="e">
        <f t="shared" si="30"/>
        <v>#DIV/0!</v>
      </c>
      <c r="J474" s="4"/>
      <c r="K474" s="4"/>
      <c r="L474" s="4"/>
      <c r="M474" s="4" t="e">
        <f t="shared" si="29"/>
        <v>#DIV/0!</v>
      </c>
      <c r="P474" t="s">
        <v>192</v>
      </c>
      <c r="AJ474" s="26">
        <v>168.25734277107301</v>
      </c>
      <c r="AK474" s="26">
        <v>17.966533259852199</v>
      </c>
      <c r="AL474" s="11">
        <f t="shared" si="31"/>
        <v>5.4312850618205095</v>
      </c>
      <c r="AP474" s="65" t="s">
        <v>161</v>
      </c>
      <c r="AQ474" s="76">
        <v>17.966533259852199</v>
      </c>
      <c r="AR474" s="76">
        <v>168.25734277107301</v>
      </c>
      <c r="AS474" s="11" t="s">
        <v>186</v>
      </c>
      <c r="AT474" s="29">
        <v>4.1246263829013503E-6</v>
      </c>
      <c r="AU474" s="29">
        <v>169.404491669241</v>
      </c>
      <c r="BD474" s="21" t="s">
        <v>190</v>
      </c>
    </row>
    <row r="475" spans="2:56" x14ac:dyDescent="0.3">
      <c r="B475" s="11" t="s">
        <v>172</v>
      </c>
      <c r="C475" s="4" t="s">
        <v>195</v>
      </c>
      <c r="D475" s="4"/>
      <c r="E475" s="4"/>
      <c r="F475" s="42"/>
      <c r="G475" s="4"/>
      <c r="H475" s="4"/>
      <c r="I475" s="36" t="e">
        <f t="shared" si="30"/>
        <v>#DIV/0!</v>
      </c>
      <c r="J475" s="4"/>
      <c r="K475" s="4"/>
      <c r="L475" s="4"/>
      <c r="M475" s="4" t="e">
        <f t="shared" si="29"/>
        <v>#DIV/0!</v>
      </c>
      <c r="P475" t="s">
        <v>192</v>
      </c>
      <c r="AJ475" s="26">
        <v>3.3874284433953302E-7</v>
      </c>
      <c r="AK475" s="26">
        <v>662.87031618264405</v>
      </c>
      <c r="AL475" s="11">
        <f t="shared" si="31"/>
        <v>1.4884260856962811E-5</v>
      </c>
      <c r="AP475" s="65" t="s">
        <v>161</v>
      </c>
      <c r="AQ475" s="76">
        <v>662.87031618264405</v>
      </c>
      <c r="AR475" s="76">
        <v>3.3874284433953302E-7</v>
      </c>
      <c r="AS475" s="11" t="s">
        <v>186</v>
      </c>
      <c r="AT475" s="30">
        <v>1.5255693425764802E-11</v>
      </c>
      <c r="AU475" s="30">
        <v>3.15283540408628E-7</v>
      </c>
      <c r="BD475" s="21" t="s">
        <v>190</v>
      </c>
    </row>
    <row r="476" spans="2:56" x14ac:dyDescent="0.3">
      <c r="B476" s="11" t="s">
        <v>172</v>
      </c>
      <c r="C476" s="4" t="s">
        <v>195</v>
      </c>
      <c r="D476" s="4"/>
      <c r="E476" s="4"/>
      <c r="F476" s="42"/>
      <c r="G476" s="4"/>
      <c r="H476" s="4"/>
      <c r="I476" s="36" t="e">
        <f t="shared" si="30"/>
        <v>#DIV/0!</v>
      </c>
      <c r="J476" s="4"/>
      <c r="K476" s="4"/>
      <c r="L476" s="4"/>
      <c r="M476" s="4" t="e">
        <f t="shared" si="29"/>
        <v>#DIV/0!</v>
      </c>
      <c r="P476" t="s">
        <v>192</v>
      </c>
      <c r="AJ476" s="26">
        <v>8.6112249631429896E-7</v>
      </c>
      <c r="AK476" s="26">
        <v>1347.29992533421</v>
      </c>
      <c r="AL476" s="11">
        <f t="shared" si="31"/>
        <v>1.5631242708646253E-4</v>
      </c>
      <c r="AP476" s="65" t="s">
        <v>161</v>
      </c>
      <c r="AQ476" s="76">
        <v>1347.29992533421</v>
      </c>
      <c r="AR476" s="76">
        <v>8.6112249631429896E-7</v>
      </c>
      <c r="AS476" s="11" t="s">
        <v>186</v>
      </c>
      <c r="AT476" s="30">
        <v>1.63311869910004E-10</v>
      </c>
      <c r="AU476" s="30">
        <v>9.8187024626164396E-7</v>
      </c>
      <c r="BD476" s="21" t="s">
        <v>190</v>
      </c>
    </row>
    <row r="477" spans="2:56" x14ac:dyDescent="0.3">
      <c r="B477" s="11" t="s">
        <v>172</v>
      </c>
      <c r="C477" s="4" t="s">
        <v>195</v>
      </c>
      <c r="D477" s="4"/>
      <c r="E477" s="4"/>
      <c r="F477" s="42"/>
      <c r="G477" s="4"/>
      <c r="H477" s="4"/>
      <c r="I477" s="36" t="e">
        <f t="shared" si="30"/>
        <v>#DIV/0!</v>
      </c>
      <c r="J477" s="4"/>
      <c r="K477" s="4"/>
      <c r="L477" s="4"/>
      <c r="M477" s="4" t="e">
        <f t="shared" si="29"/>
        <v>#DIV/0!</v>
      </c>
      <c r="P477" t="s">
        <v>192</v>
      </c>
      <c r="AJ477" s="26">
        <v>1.52902851404282E-6</v>
      </c>
      <c r="AK477" s="26">
        <v>1119.7140890703699</v>
      </c>
      <c r="AL477" s="11">
        <f t="shared" si="31"/>
        <v>1.9170342412467477E-4</v>
      </c>
      <c r="AP477" s="65" t="s">
        <v>161</v>
      </c>
      <c r="AQ477" s="76">
        <v>1119.7140890703699</v>
      </c>
      <c r="AR477" s="76">
        <v>1.52902851404282E-6</v>
      </c>
      <c r="AS477" s="11" t="s">
        <v>186</v>
      </c>
      <c r="AT477" s="30">
        <v>2.2647985890677499E-10</v>
      </c>
      <c r="AU477" s="30">
        <v>1.74047193731128E-6</v>
      </c>
      <c r="BD477" s="21" t="s">
        <v>190</v>
      </c>
    </row>
    <row r="478" spans="2:56" x14ac:dyDescent="0.3">
      <c r="B478" s="11" t="s">
        <v>172</v>
      </c>
      <c r="C478" s="4" t="s">
        <v>195</v>
      </c>
      <c r="D478" s="4"/>
      <c r="E478" s="4"/>
      <c r="F478" s="42"/>
      <c r="G478" s="4"/>
      <c r="H478" s="4"/>
      <c r="I478" s="36" t="e">
        <f t="shared" si="30"/>
        <v>#DIV/0!</v>
      </c>
      <c r="J478" s="4"/>
      <c r="K478" s="4"/>
      <c r="L478" s="4"/>
      <c r="M478" s="4" t="e">
        <f t="shared" si="29"/>
        <v>#DIV/0!</v>
      </c>
      <c r="P478" t="s">
        <v>192</v>
      </c>
      <c r="AJ478" s="26">
        <v>2.1890704587557602E-6</v>
      </c>
      <c r="AK478" s="26">
        <v>1190.94815826642</v>
      </c>
      <c r="AL478" s="11">
        <f t="shared" si="31"/>
        <v>3.1048845375253087E-4</v>
      </c>
      <c r="AP478" s="65" t="s">
        <v>161</v>
      </c>
      <c r="AQ478" s="76">
        <v>1190.94815826642</v>
      </c>
      <c r="AR478" s="76">
        <v>2.1890704587557602E-6</v>
      </c>
      <c r="AS478" s="11" t="s">
        <v>186</v>
      </c>
      <c r="AT478" s="30">
        <v>4.3556528067791302E-10</v>
      </c>
      <c r="AU478" s="30">
        <v>2.6681151243166998E-6</v>
      </c>
      <c r="BD478" s="21" t="s">
        <v>190</v>
      </c>
    </row>
    <row r="479" spans="2:56" x14ac:dyDescent="0.3">
      <c r="B479" s="11" t="s">
        <v>172</v>
      </c>
      <c r="C479" s="4" t="s">
        <v>195</v>
      </c>
      <c r="D479" s="4"/>
      <c r="E479" s="4"/>
      <c r="F479" s="42"/>
      <c r="G479" s="4"/>
      <c r="H479" s="4"/>
      <c r="I479" s="36" t="e">
        <f t="shared" si="30"/>
        <v>#DIV/0!</v>
      </c>
      <c r="J479" s="4"/>
      <c r="K479" s="4"/>
      <c r="L479" s="4"/>
      <c r="M479" s="4" t="e">
        <f t="shared" si="29"/>
        <v>#DIV/0!</v>
      </c>
      <c r="P479" t="s">
        <v>192</v>
      </c>
      <c r="AJ479" s="26">
        <v>3.3672295752113999E-6</v>
      </c>
      <c r="AK479" s="26">
        <v>1266.7140027288201</v>
      </c>
      <c r="AL479" s="11">
        <f t="shared" si="31"/>
        <v>5.4029365841793428E-4</v>
      </c>
      <c r="AP479" s="65" t="s">
        <v>161</v>
      </c>
      <c r="AQ479" s="76">
        <v>1266.7140027288201</v>
      </c>
      <c r="AR479" s="76">
        <v>3.3672295752113999E-6</v>
      </c>
      <c r="AS479" s="11" t="s">
        <v>186</v>
      </c>
      <c r="AT479" s="30">
        <v>5.5662425924052302E-10</v>
      </c>
      <c r="AU479" s="30">
        <v>3.3048957553835101E-6</v>
      </c>
      <c r="BD479" s="21" t="s">
        <v>190</v>
      </c>
    </row>
    <row r="480" spans="2:56" x14ac:dyDescent="0.3">
      <c r="B480" s="11" t="s">
        <v>172</v>
      </c>
      <c r="C480" s="4" t="s">
        <v>195</v>
      </c>
      <c r="D480" s="4"/>
      <c r="E480" s="4"/>
      <c r="F480" s="42"/>
      <c r="G480" s="4"/>
      <c r="H480" s="4"/>
      <c r="I480" s="36" t="e">
        <f t="shared" si="30"/>
        <v>#DIV/0!</v>
      </c>
      <c r="J480" s="4"/>
      <c r="K480" s="4"/>
      <c r="L480" s="4"/>
      <c r="M480" s="4" t="e">
        <f t="shared" ref="M480:M543" si="32">K480/L480</f>
        <v>#DIV/0!</v>
      </c>
      <c r="P480" t="s">
        <v>192</v>
      </c>
      <c r="AJ480" s="26">
        <v>4.4869171654869301E-6</v>
      </c>
      <c r="AK480" s="26">
        <v>1347.29992533421</v>
      </c>
      <c r="AL480" s="11">
        <f t="shared" si="31"/>
        <v>8.144728714846916E-4</v>
      </c>
      <c r="AP480" s="65" t="s">
        <v>161</v>
      </c>
      <c r="AQ480" s="76">
        <v>1347.29992533421</v>
      </c>
      <c r="AR480" s="76">
        <v>4.4869171654869301E-6</v>
      </c>
      <c r="AS480" s="11" t="s">
        <v>186</v>
      </c>
      <c r="AT480" s="30">
        <v>9.8646763312623193E-10</v>
      </c>
      <c r="AU480" s="30">
        <v>4.7174890902415604E-6</v>
      </c>
      <c r="BD480" s="21" t="s">
        <v>190</v>
      </c>
    </row>
    <row r="481" spans="2:56" x14ac:dyDescent="0.3">
      <c r="B481" s="11" t="s">
        <v>172</v>
      </c>
      <c r="C481" s="4" t="s">
        <v>195</v>
      </c>
      <c r="D481" s="4"/>
      <c r="E481" s="4"/>
      <c r="F481" s="42"/>
      <c r="G481" s="4"/>
      <c r="H481" s="4"/>
      <c r="I481" s="36" t="e">
        <f t="shared" si="30"/>
        <v>#DIV/0!</v>
      </c>
      <c r="J481" s="4"/>
      <c r="K481" s="4"/>
      <c r="L481" s="4"/>
      <c r="M481" s="4" t="e">
        <f t="shared" si="32"/>
        <v>#DIV/0!</v>
      </c>
      <c r="P481" t="s">
        <v>192</v>
      </c>
      <c r="AJ481" s="26">
        <v>9.1967919851170598E-6</v>
      </c>
      <c r="AK481" s="26">
        <v>1154.7819846894499</v>
      </c>
      <c r="AL481" s="11">
        <f t="shared" si="31"/>
        <v>1.2264119219301305E-3</v>
      </c>
      <c r="AP481" s="65" t="s">
        <v>161</v>
      </c>
      <c r="AQ481" s="76">
        <v>1154.7819846894499</v>
      </c>
      <c r="AR481" s="76">
        <v>9.1967919851170598E-6</v>
      </c>
      <c r="AS481" s="11" t="s">
        <v>186</v>
      </c>
      <c r="AT481" s="30">
        <v>1.26064183696882E-9</v>
      </c>
      <c r="AU481" s="30">
        <v>8.9882903311573793E-6</v>
      </c>
      <c r="BD481" s="21" t="s">
        <v>190</v>
      </c>
    </row>
    <row r="482" spans="2:56" x14ac:dyDescent="0.3">
      <c r="B482" s="11" t="s">
        <v>172</v>
      </c>
      <c r="C482" s="4" t="s">
        <v>195</v>
      </c>
      <c r="D482" s="4"/>
      <c r="E482" s="4"/>
      <c r="F482" s="42"/>
      <c r="G482" s="4"/>
      <c r="H482" s="4"/>
      <c r="I482" s="36" t="e">
        <f t="shared" si="30"/>
        <v>#DIV/0!</v>
      </c>
      <c r="J482" s="4"/>
      <c r="K482" s="4"/>
      <c r="L482" s="4"/>
      <c r="M482" s="4" t="e">
        <f t="shared" si="32"/>
        <v>#DIV/0!</v>
      </c>
      <c r="P482" t="s">
        <v>192</v>
      </c>
      <c r="AJ482" s="26">
        <v>1.4146511294549699E-5</v>
      </c>
      <c r="AK482" s="26">
        <v>727.12176205938795</v>
      </c>
      <c r="AL482" s="11">
        <f t="shared" si="31"/>
        <v>7.4793462048717641E-4</v>
      </c>
      <c r="AP482" s="65" t="s">
        <v>161</v>
      </c>
      <c r="AQ482" s="76">
        <v>727.12176205938795</v>
      </c>
      <c r="AR482" s="76">
        <v>1.4146511294549699E-5</v>
      </c>
      <c r="AS482" s="11" t="s">
        <v>186</v>
      </c>
      <c r="AT482" s="30">
        <v>9.0903348613840197E-10</v>
      </c>
      <c r="AU482" s="30">
        <v>1.5986944427479702E-5</v>
      </c>
      <c r="BD482" s="21" t="s">
        <v>190</v>
      </c>
    </row>
    <row r="483" spans="2:56" x14ac:dyDescent="0.3">
      <c r="B483" s="11" t="s">
        <v>172</v>
      </c>
      <c r="C483" s="4" t="s">
        <v>195</v>
      </c>
      <c r="D483" s="4"/>
      <c r="E483" s="4"/>
      <c r="F483" s="42"/>
      <c r="G483" s="4"/>
      <c r="H483" s="4"/>
      <c r="I483" s="36" t="e">
        <f t="shared" si="30"/>
        <v>#DIV/0!</v>
      </c>
      <c r="J483" s="4"/>
      <c r="K483" s="4"/>
      <c r="L483" s="4"/>
      <c r="M483" s="4" t="e">
        <f t="shared" si="32"/>
        <v>#DIV/0!</v>
      </c>
      <c r="P483" t="s">
        <v>192</v>
      </c>
      <c r="AJ483" s="26">
        <v>3.1153474758375799E-5</v>
      </c>
      <c r="AK483" s="26">
        <v>1052.74073649662</v>
      </c>
      <c r="AL483" s="11">
        <f t="shared" si="31"/>
        <v>3.4526245211749084E-3</v>
      </c>
      <c r="AP483" s="65" t="s">
        <v>161</v>
      </c>
      <c r="AQ483" s="76">
        <v>1052.74073649662</v>
      </c>
      <c r="AR483" s="76">
        <v>3.1153474758375799E-5</v>
      </c>
      <c r="AS483" s="11" t="s">
        <v>186</v>
      </c>
      <c r="AT483" s="30">
        <v>4.6627169588536599E-9</v>
      </c>
      <c r="AU483" s="30">
        <v>2.81467007351108E-5</v>
      </c>
      <c r="BD483" s="21" t="s">
        <v>190</v>
      </c>
    </row>
    <row r="484" spans="2:56" x14ac:dyDescent="0.3">
      <c r="B484" s="11" t="s">
        <v>172</v>
      </c>
      <c r="C484" s="4" t="s">
        <v>195</v>
      </c>
      <c r="D484" s="4"/>
      <c r="E484" s="4"/>
      <c r="F484" s="42"/>
      <c r="G484" s="4"/>
      <c r="H484" s="4"/>
      <c r="I484" s="36" t="e">
        <f t="shared" si="30"/>
        <v>#DIV/0!</v>
      </c>
      <c r="J484" s="4"/>
      <c r="K484" s="4"/>
      <c r="L484" s="4"/>
      <c r="M484" s="4" t="e">
        <f t="shared" si="32"/>
        <v>#DIV/0!</v>
      </c>
      <c r="P484" t="s">
        <v>192</v>
      </c>
      <c r="AJ484" s="26">
        <v>4.4601621653762899E-5</v>
      </c>
      <c r="AK484" s="26">
        <v>1020.77158322709</v>
      </c>
      <c r="AL484" s="11">
        <f t="shared" si="31"/>
        <v>4.6473758002599395E-3</v>
      </c>
      <c r="AP484" s="65" t="s">
        <v>161</v>
      </c>
      <c r="AQ484" s="76">
        <v>1020.77158322709</v>
      </c>
      <c r="AR484" s="76">
        <v>4.4601621653762899E-5</v>
      </c>
      <c r="AS484" s="11" t="s">
        <v>186</v>
      </c>
      <c r="AT484" s="30">
        <v>3.9594342553549501E-9</v>
      </c>
      <c r="AU484" s="30">
        <v>3.0266708123151999E-5</v>
      </c>
      <c r="BD484" s="21" t="s">
        <v>190</v>
      </c>
    </row>
    <row r="485" spans="2:56" x14ac:dyDescent="0.3">
      <c r="B485" s="11" t="s">
        <v>172</v>
      </c>
      <c r="C485" s="4" t="s">
        <v>195</v>
      </c>
      <c r="D485" s="4"/>
      <c r="E485" s="4"/>
      <c r="F485" s="42"/>
      <c r="G485" s="4"/>
      <c r="H485" s="4"/>
      <c r="I485" s="36" t="e">
        <f t="shared" si="30"/>
        <v>#DIV/0!</v>
      </c>
      <c r="J485" s="4"/>
      <c r="K485" s="4"/>
      <c r="L485" s="4"/>
      <c r="M485" s="4" t="e">
        <f t="shared" si="32"/>
        <v>#DIV/0!</v>
      </c>
      <c r="P485" t="s">
        <v>192</v>
      </c>
      <c r="AJ485" s="26">
        <v>8.5088355446743906E-5</v>
      </c>
      <c r="AK485" s="26">
        <v>902.31285120382302</v>
      </c>
      <c r="AL485" s="11">
        <f t="shared" si="31"/>
        <v>6.9276257142946761E-3</v>
      </c>
      <c r="AP485" s="65" t="s">
        <v>161</v>
      </c>
      <c r="AQ485" s="76">
        <v>902.31285120382302</v>
      </c>
      <c r="AR485" s="76">
        <v>8.5088355446743906E-5</v>
      </c>
      <c r="AS485" s="11" t="s">
        <v>186</v>
      </c>
      <c r="AT485" s="30">
        <v>5.0599009084661797E-9</v>
      </c>
      <c r="AU485" s="30">
        <v>3.7490254559856601E-5</v>
      </c>
      <c r="BD485" s="21" t="s">
        <v>190</v>
      </c>
    </row>
    <row r="486" spans="2:56" x14ac:dyDescent="0.3">
      <c r="B486" s="11" t="s">
        <v>172</v>
      </c>
      <c r="C486" s="4" t="s">
        <v>195</v>
      </c>
      <c r="D486" s="4"/>
      <c r="E486" s="4"/>
      <c r="F486" s="42"/>
      <c r="G486" s="4"/>
      <c r="H486" s="4"/>
      <c r="I486" s="36" t="e">
        <f t="shared" si="30"/>
        <v>#DIV/0!</v>
      </c>
      <c r="J486" s="4"/>
      <c r="K486" s="4"/>
      <c r="L486" s="4"/>
      <c r="M486" s="4" t="e">
        <f t="shared" si="32"/>
        <v>#DIV/0!</v>
      </c>
      <c r="P486" t="s">
        <v>192</v>
      </c>
      <c r="AJ486" s="26">
        <v>6.3854984703129097E-5</v>
      </c>
      <c r="AK486" s="26">
        <v>683.63049709291897</v>
      </c>
      <c r="AL486" s="11">
        <f t="shared" si="31"/>
        <v>2.9842669025349528E-3</v>
      </c>
      <c r="AP486" s="65" t="s">
        <v>161</v>
      </c>
      <c r="AQ486" s="76">
        <v>683.63049709291897</v>
      </c>
      <c r="AR486" s="76">
        <v>6.3854984703129097E-5</v>
      </c>
      <c r="AS486" s="11" t="s">
        <v>186</v>
      </c>
      <c r="AT486" s="30">
        <v>3.64863296413956E-9</v>
      </c>
      <c r="AU486" s="30">
        <v>6.6681715224848606E-5</v>
      </c>
      <c r="BD486" s="21" t="s">
        <v>190</v>
      </c>
    </row>
    <row r="487" spans="2:56" x14ac:dyDescent="0.3">
      <c r="B487" s="11" t="s">
        <v>172</v>
      </c>
      <c r="C487" s="4" t="s">
        <v>195</v>
      </c>
      <c r="D487" s="4"/>
      <c r="E487" s="4"/>
      <c r="F487" s="42"/>
      <c r="G487" s="4"/>
      <c r="H487" s="4"/>
      <c r="I487" s="36" t="e">
        <f t="shared" si="30"/>
        <v>#DIV/0!</v>
      </c>
      <c r="J487" s="4"/>
      <c r="K487" s="4"/>
      <c r="L487" s="4"/>
      <c r="M487" s="4" t="e">
        <f t="shared" si="32"/>
        <v>#DIV/0!</v>
      </c>
      <c r="P487" t="s">
        <v>192</v>
      </c>
      <c r="AJ487" s="26">
        <v>1.1270626347294E-3</v>
      </c>
      <c r="AK487" s="26">
        <v>346.87944960701998</v>
      </c>
      <c r="AL487" s="11">
        <f t="shared" si="31"/>
        <v>1.3561420888064463E-2</v>
      </c>
      <c r="AP487" s="65" t="s">
        <v>161</v>
      </c>
      <c r="AQ487" s="76">
        <v>346.87944960701998</v>
      </c>
      <c r="AR487" s="76">
        <v>1.1270626347294E-3</v>
      </c>
      <c r="AS487" s="11" t="s">
        <v>186</v>
      </c>
      <c r="AT487" s="30">
        <v>8.2634187892093599E-9</v>
      </c>
      <c r="AU487" s="30">
        <v>8.2351013121760295E-5</v>
      </c>
      <c r="BD487" s="21" t="s">
        <v>190</v>
      </c>
    </row>
    <row r="488" spans="2:56" x14ac:dyDescent="0.3">
      <c r="B488" s="11" t="s">
        <v>172</v>
      </c>
      <c r="C488" s="4" t="s">
        <v>195</v>
      </c>
      <c r="D488" s="4"/>
      <c r="E488" s="4"/>
      <c r="F488" s="42"/>
      <c r="G488" s="4"/>
      <c r="H488" s="4"/>
      <c r="I488" s="36" t="e">
        <f t="shared" si="30"/>
        <v>#DIV/0!</v>
      </c>
      <c r="J488" s="4"/>
      <c r="K488" s="4"/>
      <c r="L488" s="4"/>
      <c r="M488" s="4" t="e">
        <f t="shared" si="32"/>
        <v>#DIV/0!</v>
      </c>
      <c r="P488" t="s">
        <v>192</v>
      </c>
      <c r="AJ488" s="26">
        <v>3.5747588766247001E-4</v>
      </c>
      <c r="AK488" s="26">
        <v>604.29639023813195</v>
      </c>
      <c r="AL488" s="11">
        <f t="shared" si="31"/>
        <v>1.305409452917905E-2</v>
      </c>
      <c r="AP488" s="65" t="s">
        <v>161</v>
      </c>
      <c r="AQ488" s="76">
        <v>604.29639023813195</v>
      </c>
      <c r="AR488" s="76">
        <v>3.5747588766247001E-4</v>
      </c>
      <c r="AS488" s="11" t="s">
        <v>186</v>
      </c>
      <c r="AT488" s="30">
        <v>1.2435823691345399E-8</v>
      </c>
      <c r="AU488" s="30">
        <v>2.5908847238845098E-4</v>
      </c>
      <c r="BD488" s="21" t="s">
        <v>190</v>
      </c>
    </row>
    <row r="489" spans="2:56" x14ac:dyDescent="0.3">
      <c r="B489" s="11" t="s">
        <v>172</v>
      </c>
      <c r="C489" s="4" t="s">
        <v>195</v>
      </c>
      <c r="D489" s="4"/>
      <c r="E489" s="4"/>
      <c r="F489" s="42"/>
      <c r="G489" s="4"/>
      <c r="H489" s="4"/>
      <c r="I489" s="36" t="e">
        <f t="shared" si="30"/>
        <v>#DIV/0!</v>
      </c>
      <c r="J489" s="4"/>
      <c r="K489" s="4"/>
      <c r="L489" s="4"/>
      <c r="M489" s="4" t="e">
        <f t="shared" si="32"/>
        <v>#DIV/0!</v>
      </c>
      <c r="P489" t="s">
        <v>192</v>
      </c>
      <c r="AJ489" s="26">
        <v>4.7634551217070199E-4</v>
      </c>
      <c r="AK489" s="26">
        <v>534.16886579476704</v>
      </c>
      <c r="AL489" s="11">
        <f t="shared" si="31"/>
        <v>1.3591870273086795E-2</v>
      </c>
      <c r="AP489" s="65" t="s">
        <v>161</v>
      </c>
      <c r="AQ489" s="76">
        <v>534.16886579476704</v>
      </c>
      <c r="AR489" s="76">
        <v>4.7634551217070199E-4</v>
      </c>
      <c r="AS489" s="11" t="s">
        <v>186</v>
      </c>
      <c r="AT489" s="30">
        <v>1.34951437431524E-8</v>
      </c>
      <c r="AU489" s="30">
        <v>4.2800168382593301E-4</v>
      </c>
      <c r="BD489" s="21" t="s">
        <v>190</v>
      </c>
    </row>
    <row r="490" spans="2:56" x14ac:dyDescent="0.3">
      <c r="B490" s="11" t="s">
        <v>172</v>
      </c>
      <c r="C490" s="4" t="s">
        <v>195</v>
      </c>
      <c r="D490" s="4"/>
      <c r="E490" s="4"/>
      <c r="F490" s="42"/>
      <c r="G490" s="4"/>
      <c r="H490" s="4"/>
      <c r="I490" s="36" t="e">
        <f t="shared" si="30"/>
        <v>#DIV/0!</v>
      </c>
      <c r="J490" s="4"/>
      <c r="K490" s="4"/>
      <c r="L490" s="4"/>
      <c r="M490" s="4" t="e">
        <f t="shared" si="32"/>
        <v>#DIV/0!</v>
      </c>
      <c r="P490" t="s">
        <v>192</v>
      </c>
      <c r="AJ490" s="26">
        <v>2.0012378180682402E-3</v>
      </c>
      <c r="AK490" s="26">
        <v>316.22776601683699</v>
      </c>
      <c r="AL490" s="11">
        <f t="shared" si="31"/>
        <v>2.0012378180682282E-2</v>
      </c>
      <c r="AP490" s="65" t="s">
        <v>161</v>
      </c>
      <c r="AQ490" s="76">
        <v>316.22776601683699</v>
      </c>
      <c r="AR490" s="76">
        <v>2.0012378180682402E-3</v>
      </c>
      <c r="AS490" s="11" t="s">
        <v>186</v>
      </c>
      <c r="AT490" s="30">
        <v>1.46446997937971E-8</v>
      </c>
      <c r="AU490" s="30">
        <v>1.08756657554652E-3</v>
      </c>
      <c r="BD490" s="21" t="s">
        <v>190</v>
      </c>
    </row>
    <row r="491" spans="2:56" x14ac:dyDescent="0.3">
      <c r="B491" s="11" t="s">
        <v>172</v>
      </c>
      <c r="C491" s="4" t="s">
        <v>195</v>
      </c>
      <c r="D491" s="4"/>
      <c r="E491" s="4"/>
      <c r="F491" s="42"/>
      <c r="G491" s="4"/>
      <c r="H491" s="4"/>
      <c r="I491" s="36" t="e">
        <f t="shared" si="30"/>
        <v>#DIV/0!</v>
      </c>
      <c r="J491" s="4"/>
      <c r="K491" s="4"/>
      <c r="L491" s="4"/>
      <c r="M491" s="4" t="e">
        <f t="shared" si="32"/>
        <v>#DIV/0!</v>
      </c>
      <c r="P491" t="s">
        <v>192</v>
      </c>
      <c r="AJ491" s="26">
        <v>1.3010252169108299E-3</v>
      </c>
      <c r="AK491" s="26">
        <v>170.664368129634</v>
      </c>
      <c r="AL491" s="11">
        <f t="shared" si="31"/>
        <v>3.7894085316341878E-3</v>
      </c>
      <c r="AP491" s="65" t="s">
        <v>161</v>
      </c>
      <c r="AQ491" s="76">
        <v>170.664368129634</v>
      </c>
      <c r="AR491" s="76">
        <v>1.3010252169108299E-3</v>
      </c>
      <c r="AS491" s="11" t="s">
        <v>186</v>
      </c>
      <c r="AT491" s="30">
        <v>5.0599009084661797E-9</v>
      </c>
      <c r="AU491" s="30">
        <v>1.35631307289559E-3</v>
      </c>
      <c r="BD491" s="21" t="s">
        <v>190</v>
      </c>
    </row>
    <row r="492" spans="2:56" x14ac:dyDescent="0.3">
      <c r="B492" s="11" t="s">
        <v>172</v>
      </c>
      <c r="C492" s="4" t="s">
        <v>195</v>
      </c>
      <c r="D492" s="4"/>
      <c r="E492" s="4"/>
      <c r="F492" s="42"/>
      <c r="G492" s="4"/>
      <c r="H492" s="4"/>
      <c r="I492" s="36" t="e">
        <f t="shared" si="30"/>
        <v>#DIV/0!</v>
      </c>
      <c r="J492" s="4"/>
      <c r="K492" s="4"/>
      <c r="L492" s="4"/>
      <c r="M492" s="4" t="e">
        <f t="shared" si="32"/>
        <v>#DIV/0!</v>
      </c>
      <c r="P492" t="s">
        <v>192</v>
      </c>
      <c r="AJ492" s="26">
        <v>7.2834587064533902E-3</v>
      </c>
      <c r="AK492" s="26">
        <v>205.352502645714</v>
      </c>
      <c r="AL492" s="11">
        <f t="shared" si="31"/>
        <v>3.0714090693778413E-2</v>
      </c>
      <c r="AP492" s="65" t="s">
        <v>161</v>
      </c>
      <c r="AQ492" s="76">
        <v>205.352502645714</v>
      </c>
      <c r="AR492" s="76">
        <v>7.2834587064533902E-3</v>
      </c>
      <c r="AS492" s="11" t="s">
        <v>186</v>
      </c>
      <c r="AT492" s="30">
        <v>2.03091762090474E-8</v>
      </c>
      <c r="AU492" s="30">
        <v>1.9278301913143499E-3</v>
      </c>
      <c r="BD492" s="21" t="s">
        <v>190</v>
      </c>
    </row>
    <row r="493" spans="2:56" x14ac:dyDescent="0.3">
      <c r="B493" s="11" t="s">
        <v>172</v>
      </c>
      <c r="C493" s="4" t="s">
        <v>195</v>
      </c>
      <c r="D493" s="4"/>
      <c r="E493" s="4"/>
      <c r="F493" s="42"/>
      <c r="G493" s="4"/>
      <c r="H493" s="4"/>
      <c r="I493" s="36" t="e">
        <f t="shared" si="30"/>
        <v>#DIV/0!</v>
      </c>
      <c r="J493" s="4"/>
      <c r="K493" s="4"/>
      <c r="L493" s="4"/>
      <c r="M493" s="4" t="e">
        <f t="shared" si="32"/>
        <v>#DIV/0!</v>
      </c>
      <c r="P493" t="s">
        <v>192</v>
      </c>
      <c r="AJ493" s="26">
        <v>2.4672195188535698E-2</v>
      </c>
      <c r="AK493" s="26">
        <v>121.568603705501</v>
      </c>
      <c r="AL493" s="11">
        <f t="shared" si="31"/>
        <v>3.6462853231597328E-2</v>
      </c>
      <c r="AP493" s="65" t="s">
        <v>161</v>
      </c>
      <c r="AQ493" s="76">
        <v>121.568603705501</v>
      </c>
      <c r="AR493" s="76">
        <v>2.4672195188535698E-2</v>
      </c>
      <c r="AS493" s="11" t="s">
        <v>186</v>
      </c>
      <c r="AT493" s="30">
        <v>3.0563782508757897E-8</v>
      </c>
      <c r="AU493" s="30">
        <v>6.5165353046373799E-3</v>
      </c>
      <c r="BD493" s="21" t="s">
        <v>190</v>
      </c>
    </row>
    <row r="494" spans="2:56" x14ac:dyDescent="0.3">
      <c r="B494" s="11" t="s">
        <v>172</v>
      </c>
      <c r="C494" s="4" t="s">
        <v>195</v>
      </c>
      <c r="D494" s="4"/>
      <c r="E494" s="4"/>
      <c r="F494" s="42"/>
      <c r="G494" s="4"/>
      <c r="H494" s="4"/>
      <c r="I494" s="36" t="e">
        <f t="shared" si="30"/>
        <v>#DIV/0!</v>
      </c>
      <c r="J494" s="4"/>
      <c r="K494" s="4"/>
      <c r="L494" s="4"/>
      <c r="M494" s="4" t="e">
        <f t="shared" si="32"/>
        <v>#DIV/0!</v>
      </c>
      <c r="P494" t="s">
        <v>192</v>
      </c>
      <c r="AJ494" s="26">
        <v>0.54009173639879804</v>
      </c>
      <c r="AK494" s="26">
        <v>61.684858300179897</v>
      </c>
      <c r="AL494" s="11">
        <f t="shared" si="31"/>
        <v>0.20550608004892656</v>
      </c>
      <c r="AP494" s="65" t="s">
        <v>161</v>
      </c>
      <c r="AQ494" s="76">
        <v>61.684858300179897</v>
      </c>
      <c r="AR494" s="76">
        <v>0.54009173639879804</v>
      </c>
      <c r="AS494" s="11" t="s">
        <v>186</v>
      </c>
      <c r="AT494" s="30">
        <v>3.5992583242811199E-8</v>
      </c>
      <c r="AU494" s="30">
        <v>2.3696644410262001E-2</v>
      </c>
      <c r="BD494" s="21" t="s">
        <v>190</v>
      </c>
    </row>
    <row r="495" spans="2:56" x14ac:dyDescent="0.3">
      <c r="B495" s="11" t="s">
        <v>172</v>
      </c>
      <c r="C495" s="4" t="s">
        <v>195</v>
      </c>
      <c r="D495" s="4"/>
      <c r="E495" s="4"/>
      <c r="F495" s="42"/>
      <c r="G495" s="4"/>
      <c r="H495" s="4"/>
      <c r="I495" s="36" t="e">
        <f t="shared" si="30"/>
        <v>#DIV/0!</v>
      </c>
      <c r="J495" s="4"/>
      <c r="K495" s="4"/>
      <c r="L495" s="4"/>
      <c r="M495" s="4" t="e">
        <f t="shared" si="32"/>
        <v>#DIV/0!</v>
      </c>
      <c r="P495" t="s">
        <v>192</v>
      </c>
      <c r="AJ495" s="26">
        <v>0.119652582873207</v>
      </c>
      <c r="AK495" s="26">
        <v>59.811640497314102</v>
      </c>
      <c r="AL495" s="11">
        <f t="shared" si="31"/>
        <v>4.2804901941308857E-2</v>
      </c>
      <c r="AP495" s="65" t="s">
        <v>161</v>
      </c>
      <c r="AQ495" s="76">
        <v>59.811640497314102</v>
      </c>
      <c r="AR495" s="76">
        <v>0.119652582873207</v>
      </c>
      <c r="AS495" s="11" t="s">
        <v>186</v>
      </c>
      <c r="AT495" s="30">
        <v>5.4166130365818798E-8</v>
      </c>
      <c r="AU495" s="30">
        <v>0.123210526594085</v>
      </c>
      <c r="BD495" s="21" t="s">
        <v>190</v>
      </c>
    </row>
    <row r="496" spans="2:56" x14ac:dyDescent="0.3">
      <c r="B496" s="11" t="s">
        <v>172</v>
      </c>
      <c r="C496" s="4" t="s">
        <v>195</v>
      </c>
      <c r="D496" s="4"/>
      <c r="E496" s="4"/>
      <c r="F496" s="42"/>
      <c r="G496" s="4"/>
      <c r="H496" s="4"/>
      <c r="I496" s="36" t="e">
        <f t="shared" si="30"/>
        <v>#DIV/0!</v>
      </c>
      <c r="J496" s="4"/>
      <c r="K496" s="4"/>
      <c r="L496" s="4"/>
      <c r="M496" s="4" t="e">
        <f t="shared" si="32"/>
        <v>#DIV/0!</v>
      </c>
      <c r="P496" t="s">
        <v>192</v>
      </c>
      <c r="AJ496" s="26">
        <v>0.43547280518550702</v>
      </c>
      <c r="AK496" s="26">
        <v>31.299378519892301</v>
      </c>
      <c r="AL496" s="11">
        <f t="shared" si="31"/>
        <v>4.2661141076125002E-2</v>
      </c>
      <c r="AP496" s="65" t="s">
        <v>161</v>
      </c>
      <c r="AQ496" s="76">
        <v>31.299378519892301</v>
      </c>
      <c r="AR496" s="76">
        <v>0.43547280518550702</v>
      </c>
      <c r="AS496" s="11" t="s">
        <v>186</v>
      </c>
      <c r="AT496" s="30">
        <v>1.1304580163146299E-7</v>
      </c>
      <c r="AU496" s="30">
        <v>0.36018067088667999</v>
      </c>
      <c r="BD496" s="21" t="s">
        <v>190</v>
      </c>
    </row>
    <row r="497" spans="2:56" x14ac:dyDescent="0.3">
      <c r="B497" s="11" t="s">
        <v>172</v>
      </c>
      <c r="C497" s="4" t="s">
        <v>195</v>
      </c>
      <c r="D497" s="4"/>
      <c r="E497" s="4"/>
      <c r="F497" s="42"/>
      <c r="G497" s="4"/>
      <c r="H497" s="4"/>
      <c r="I497" s="36" t="e">
        <f t="shared" si="30"/>
        <v>#DIV/0!</v>
      </c>
      <c r="J497" s="4"/>
      <c r="K497" s="4"/>
      <c r="L497" s="4"/>
      <c r="M497" s="4" t="e">
        <f t="shared" si="32"/>
        <v>#DIV/0!</v>
      </c>
      <c r="P497" t="s">
        <v>192</v>
      </c>
      <c r="AJ497" s="26">
        <v>0.54009173639879604</v>
      </c>
      <c r="AK497" s="26">
        <v>22.993609043826702</v>
      </c>
      <c r="AL497" s="11">
        <f t="shared" si="31"/>
        <v>2.8554977229426657E-2</v>
      </c>
      <c r="AP497" s="65" t="s">
        <v>161</v>
      </c>
      <c r="AQ497" s="76">
        <v>22.993609043826702</v>
      </c>
      <c r="AR497" s="76">
        <v>0.54009173639879604</v>
      </c>
      <c r="AS497" s="11" t="s">
        <v>186</v>
      </c>
      <c r="AT497" s="30">
        <v>2.00343449856826E-7</v>
      </c>
      <c r="AU497" s="30">
        <v>0.55238563112383199</v>
      </c>
      <c r="BD497" s="21" t="s">
        <v>190</v>
      </c>
    </row>
    <row r="498" spans="2:56" x14ac:dyDescent="0.3">
      <c r="B498" s="11" t="s">
        <v>172</v>
      </c>
      <c r="C498" s="4" t="s">
        <v>195</v>
      </c>
      <c r="D498" s="4"/>
      <c r="E498" s="4"/>
      <c r="F498" s="42"/>
      <c r="G498" s="4"/>
      <c r="H498" s="4"/>
      <c r="I498" s="36" t="e">
        <f t="shared" si="30"/>
        <v>#DIV/0!</v>
      </c>
      <c r="J498" s="4"/>
      <c r="K498" s="4"/>
      <c r="L498" s="4"/>
      <c r="M498" s="4" t="e">
        <f t="shared" si="32"/>
        <v>#DIV/0!</v>
      </c>
      <c r="P498" t="s">
        <v>192</v>
      </c>
      <c r="AJ498" s="26">
        <v>1.96565137048756</v>
      </c>
      <c r="AK498" s="26">
        <v>20.325241490569098</v>
      </c>
      <c r="AL498" s="11">
        <f t="shared" si="31"/>
        <v>8.1204093404880093E-2</v>
      </c>
      <c r="AP498" s="65" t="s">
        <v>161</v>
      </c>
      <c r="AQ498" s="76">
        <v>20.325241490569098</v>
      </c>
      <c r="AR498" s="76">
        <v>1.96565137048756</v>
      </c>
      <c r="AS498" s="11" t="s">
        <v>186</v>
      </c>
      <c r="AT498" s="30">
        <v>7.5117243893765295E-8</v>
      </c>
      <c r="AU498" s="30">
        <v>1.3136555908035801</v>
      </c>
      <c r="BD498" s="21" t="s">
        <v>190</v>
      </c>
    </row>
    <row r="499" spans="2:56" x14ac:dyDescent="0.3">
      <c r="B499" s="11" t="s">
        <v>172</v>
      </c>
      <c r="C499" s="4" t="s">
        <v>195</v>
      </c>
      <c r="D499" s="4"/>
      <c r="E499" s="4"/>
      <c r="F499" s="42"/>
      <c r="G499" s="4"/>
      <c r="H499" s="4"/>
      <c r="I499" s="36" t="e">
        <f t="shared" si="30"/>
        <v>#DIV/0!</v>
      </c>
      <c r="J499" s="4"/>
      <c r="K499" s="4"/>
      <c r="L499" s="4"/>
      <c r="M499" s="4" t="e">
        <f t="shared" si="32"/>
        <v>#DIV/0!</v>
      </c>
      <c r="P499" t="s">
        <v>192</v>
      </c>
      <c r="AJ499" s="26">
        <v>1.2778901026006999</v>
      </c>
      <c r="AK499" s="26">
        <v>26.826957952797201</v>
      </c>
      <c r="AL499" s="11">
        <f t="shared" si="31"/>
        <v>9.19679198511692E-2</v>
      </c>
      <c r="AP499" s="65" t="s">
        <v>161</v>
      </c>
      <c r="AQ499" s="76">
        <v>26.826957952797201</v>
      </c>
      <c r="AR499" s="76">
        <v>1.2778901026006999</v>
      </c>
      <c r="AS499" s="11" t="s">
        <v>186</v>
      </c>
      <c r="AT499" s="30">
        <v>8.8459720358308902E-8</v>
      </c>
      <c r="AU499" s="30">
        <v>2.0189503717392498</v>
      </c>
      <c r="BD499" s="21" t="s">
        <v>190</v>
      </c>
    </row>
    <row r="500" spans="2:56" x14ac:dyDescent="0.3">
      <c r="B500" s="11" t="s">
        <v>172</v>
      </c>
      <c r="C500" s="4" t="s">
        <v>195</v>
      </c>
      <c r="D500" s="4"/>
      <c r="E500" s="4"/>
      <c r="F500" s="42"/>
      <c r="G500" s="4"/>
      <c r="H500" s="4"/>
      <c r="I500" s="36" t="e">
        <f t="shared" si="30"/>
        <v>#DIV/0!</v>
      </c>
      <c r="J500" s="4"/>
      <c r="K500" s="4"/>
      <c r="L500" s="4"/>
      <c r="M500" s="4" t="e">
        <f t="shared" si="32"/>
        <v>#DIV/0!</v>
      </c>
      <c r="P500" t="s">
        <v>192</v>
      </c>
      <c r="AJ500" s="26">
        <v>1.7028203479725601</v>
      </c>
      <c r="AK500" s="26">
        <v>31.299378519892301</v>
      </c>
      <c r="AL500" s="11">
        <f t="shared" si="31"/>
        <v>0.16681698197252048</v>
      </c>
      <c r="AP500" s="65" t="s">
        <v>161</v>
      </c>
      <c r="AQ500" s="76">
        <v>31.299378519892301</v>
      </c>
      <c r="AR500" s="76">
        <v>1.7028203479725601</v>
      </c>
      <c r="AS500" s="11" t="s">
        <v>186</v>
      </c>
      <c r="AT500" s="30">
        <v>1.7012542798525899E-7</v>
      </c>
      <c r="AU500" s="30">
        <v>1.6223468222279001</v>
      </c>
      <c r="BD500" s="21" t="s">
        <v>190</v>
      </c>
    </row>
    <row r="501" spans="2:56" x14ac:dyDescent="0.3">
      <c r="B501" s="11" t="s">
        <v>172</v>
      </c>
      <c r="C501" s="4" t="s">
        <v>195</v>
      </c>
      <c r="D501" s="4"/>
      <c r="E501" s="4"/>
      <c r="F501" s="42"/>
      <c r="G501" s="4"/>
      <c r="H501" s="4"/>
      <c r="I501" s="36" t="e">
        <f t="shared" si="30"/>
        <v>#DIV/0!</v>
      </c>
      <c r="J501" s="4"/>
      <c r="K501" s="4"/>
      <c r="L501" s="4"/>
      <c r="M501" s="4" t="e">
        <f t="shared" si="32"/>
        <v>#DIV/0!</v>
      </c>
      <c r="P501" t="s">
        <v>192</v>
      </c>
      <c r="AJ501" s="26">
        <v>1.58489319246111</v>
      </c>
      <c r="AK501" s="26">
        <v>41.311544164995098</v>
      </c>
      <c r="AL501" s="11">
        <f t="shared" si="31"/>
        <v>0.27048479524433383</v>
      </c>
      <c r="AP501" s="65" t="s">
        <v>161</v>
      </c>
      <c r="AQ501" s="76">
        <v>41.311544164995098</v>
      </c>
      <c r="AR501" s="76">
        <v>1.58489319246111</v>
      </c>
      <c r="AS501" s="11" t="s">
        <v>186</v>
      </c>
      <c r="AT501" s="30">
        <v>3.2718463420339302E-7</v>
      </c>
      <c r="AU501" s="30">
        <v>1.8664051199904701</v>
      </c>
      <c r="BD501" s="21" t="s">
        <v>190</v>
      </c>
    </row>
    <row r="502" spans="2:56" x14ac:dyDescent="0.3">
      <c r="B502" s="11" t="s">
        <v>172</v>
      </c>
      <c r="C502" s="4" t="s">
        <v>195</v>
      </c>
      <c r="D502" s="4"/>
      <c r="E502" s="4"/>
      <c r="F502" s="42"/>
      <c r="G502" s="4"/>
      <c r="H502" s="4"/>
      <c r="I502" s="36" t="e">
        <f t="shared" si="30"/>
        <v>#DIV/0!</v>
      </c>
      <c r="J502" s="4"/>
      <c r="K502" s="4"/>
      <c r="L502" s="4"/>
      <c r="M502" s="4" t="e">
        <f t="shared" si="32"/>
        <v>#DIV/0!</v>
      </c>
      <c r="P502" t="s">
        <v>192</v>
      </c>
      <c r="AJ502" s="26">
        <v>2.61927934481563</v>
      </c>
      <c r="AK502" s="26">
        <v>40.057013926518202</v>
      </c>
      <c r="AL502" s="11">
        <f t="shared" si="31"/>
        <v>0.42028022979102125</v>
      </c>
      <c r="AP502" s="65" t="s">
        <v>161</v>
      </c>
      <c r="AQ502" s="76">
        <v>40.057013926518202</v>
      </c>
      <c r="AR502" s="76">
        <v>2.61927934481563</v>
      </c>
      <c r="AS502" s="11" t="s">
        <v>186</v>
      </c>
      <c r="AT502" s="30">
        <v>4.53737562564706E-7</v>
      </c>
      <c r="AU502" s="30">
        <v>2.3108655958269502</v>
      </c>
      <c r="BD502" s="21" t="s">
        <v>190</v>
      </c>
    </row>
    <row r="503" spans="2:56" x14ac:dyDescent="0.3">
      <c r="B503" s="11" t="s">
        <v>172</v>
      </c>
      <c r="C503" s="4" t="s">
        <v>195</v>
      </c>
      <c r="D503" s="4"/>
      <c r="E503" s="4"/>
      <c r="F503" s="42"/>
      <c r="G503" s="4"/>
      <c r="H503" s="4"/>
      <c r="I503" s="36" t="e">
        <f t="shared" si="30"/>
        <v>#DIV/0!</v>
      </c>
      <c r="J503" s="4"/>
      <c r="K503" s="4"/>
      <c r="L503" s="4"/>
      <c r="M503" s="4" t="e">
        <f t="shared" si="32"/>
        <v>#DIV/0!</v>
      </c>
      <c r="P503" t="s">
        <v>192</v>
      </c>
      <c r="AJ503" s="26">
        <v>6.1973752329639096</v>
      </c>
      <c r="AK503" s="26">
        <v>33.290585129724697</v>
      </c>
      <c r="AL503" s="11">
        <f t="shared" si="31"/>
        <v>0.68683220289898828</v>
      </c>
      <c r="AP503" s="65" t="s">
        <v>161</v>
      </c>
      <c r="AQ503" s="76">
        <v>33.290585129724697</v>
      </c>
      <c r="AR503" s="76">
        <v>6.1973752329639096</v>
      </c>
      <c r="AS503" s="11" t="s">
        <v>186</v>
      </c>
      <c r="AT503" s="30">
        <v>2.00343449856826E-7</v>
      </c>
      <c r="AU503" s="30">
        <v>5.4909181555364404</v>
      </c>
      <c r="BD503" s="21" t="s">
        <v>190</v>
      </c>
    </row>
    <row r="504" spans="2:56" x14ac:dyDescent="0.3">
      <c r="B504" s="11" t="s">
        <v>172</v>
      </c>
      <c r="C504" s="4" t="s">
        <v>195</v>
      </c>
      <c r="D504" s="4"/>
      <c r="E504" s="4"/>
      <c r="F504" s="42"/>
      <c r="G504" s="4"/>
      <c r="H504" s="4"/>
      <c r="I504" s="36" t="e">
        <f t="shared" si="30"/>
        <v>#DIV/0!</v>
      </c>
      <c r="J504" s="4"/>
      <c r="K504" s="4"/>
      <c r="L504" s="4"/>
      <c r="M504" s="4" t="e">
        <f t="shared" si="32"/>
        <v>#DIV/0!</v>
      </c>
      <c r="P504" t="s">
        <v>192</v>
      </c>
      <c r="AJ504" s="26">
        <v>8.2581566515266598</v>
      </c>
      <c r="AK504" s="26">
        <v>42.605364554308998</v>
      </c>
      <c r="AL504" s="11">
        <f t="shared" si="31"/>
        <v>1.4990347075884574</v>
      </c>
      <c r="AP504" s="65" t="s">
        <v>161</v>
      </c>
      <c r="AQ504" s="76">
        <v>42.605364554308998</v>
      </c>
      <c r="AR504" s="76">
        <v>8.2581566515266598</v>
      </c>
      <c r="AS504" s="11" t="s">
        <v>186</v>
      </c>
      <c r="AT504" s="30">
        <v>2.7783501763512201E-7</v>
      </c>
      <c r="AU504" s="30">
        <v>5.8894681539347502</v>
      </c>
      <c r="BD504" s="21" t="s">
        <v>190</v>
      </c>
    </row>
    <row r="505" spans="2:56" x14ac:dyDescent="0.3">
      <c r="B505" s="11" t="s">
        <v>172</v>
      </c>
      <c r="C505" s="4" t="s">
        <v>195</v>
      </c>
      <c r="D505" s="4"/>
      <c r="E505" s="4"/>
      <c r="F505" s="42"/>
      <c r="G505" s="4"/>
      <c r="H505" s="4"/>
      <c r="I505" s="36" t="e">
        <f t="shared" si="30"/>
        <v>#DIV/0!</v>
      </c>
      <c r="J505" s="4"/>
      <c r="K505" s="4"/>
      <c r="L505" s="4"/>
      <c r="M505" s="4" t="e">
        <f t="shared" si="32"/>
        <v>#DIV/0!</v>
      </c>
      <c r="P505" t="s">
        <v>192</v>
      </c>
      <c r="AJ505" s="26">
        <v>14.663369088209199</v>
      </c>
      <c r="AK505" s="26">
        <v>46.735065655551203</v>
      </c>
      <c r="AL505" s="11">
        <f t="shared" si="31"/>
        <v>3.2027237513545037</v>
      </c>
      <c r="AP505" s="65" t="s">
        <v>161</v>
      </c>
      <c r="AQ505" s="76">
        <v>46.735065655551203</v>
      </c>
      <c r="AR505" s="76">
        <v>14.663369088209199</v>
      </c>
      <c r="AS505" s="11" t="s">
        <v>186</v>
      </c>
      <c r="AT505" s="30">
        <v>3.2718463420339302E-7</v>
      </c>
      <c r="AU505" s="30">
        <v>8.4246403869729907</v>
      </c>
      <c r="BD505" s="21" t="s">
        <v>190</v>
      </c>
    </row>
    <row r="506" spans="2:56" x14ac:dyDescent="0.3">
      <c r="B506" s="11" t="s">
        <v>172</v>
      </c>
      <c r="C506" s="4" t="s">
        <v>195</v>
      </c>
      <c r="D506" s="4"/>
      <c r="E506" s="4"/>
      <c r="F506" s="42"/>
      <c r="G506" s="4"/>
      <c r="H506" s="4"/>
      <c r="I506" s="36" t="e">
        <f t="shared" ref="I506:I569" si="33">((K506)*1000)/H506</f>
        <v>#DIV/0!</v>
      </c>
      <c r="J506" s="4"/>
      <c r="K506" s="4"/>
      <c r="L506" s="4"/>
      <c r="M506" s="4" t="e">
        <f t="shared" si="32"/>
        <v>#DIV/0!</v>
      </c>
      <c r="P506" t="s">
        <v>192</v>
      </c>
      <c r="AJ506" s="26">
        <v>5.3687122798864602</v>
      </c>
      <c r="AK506" s="26">
        <v>19.1095297497044</v>
      </c>
      <c r="AL506" s="11">
        <f t="shared" ref="AL506:AL569" si="34">((AK506)^2*AJ506)/10000</f>
        <v>0.19605148212898671</v>
      </c>
      <c r="AP506" s="65" t="s">
        <v>161</v>
      </c>
      <c r="AQ506" s="76">
        <v>19.1095297497044</v>
      </c>
      <c r="AR506" s="76">
        <v>5.3687122798864602</v>
      </c>
      <c r="AS506" s="11" t="s">
        <v>186</v>
      </c>
      <c r="AT506" s="30">
        <v>6.8284090085858698E-7</v>
      </c>
      <c r="AU506" s="30">
        <v>5.07819852431476</v>
      </c>
      <c r="BD506" s="21" t="s">
        <v>190</v>
      </c>
    </row>
    <row r="507" spans="2:56" x14ac:dyDescent="0.3">
      <c r="B507" s="11" t="s">
        <v>172</v>
      </c>
      <c r="C507" s="4" t="s">
        <v>195</v>
      </c>
      <c r="D507" s="4"/>
      <c r="E507" s="4"/>
      <c r="F507" s="42"/>
      <c r="G507" s="4"/>
      <c r="H507" s="4"/>
      <c r="I507" s="36" t="e">
        <f t="shared" si="33"/>
        <v>#DIV/0!</v>
      </c>
      <c r="J507" s="4"/>
      <c r="K507" s="4"/>
      <c r="L507" s="4"/>
      <c r="M507" s="4" t="e">
        <f t="shared" si="32"/>
        <v>#DIV/0!</v>
      </c>
      <c r="P507" t="s">
        <v>192</v>
      </c>
      <c r="AJ507" s="26">
        <v>7.6862461003977396</v>
      </c>
      <c r="AK507" s="26">
        <v>19.1095297497044</v>
      </c>
      <c r="AL507" s="11">
        <f t="shared" si="34"/>
        <v>0.28068182115786428</v>
      </c>
      <c r="AP507" s="65" t="s">
        <v>161</v>
      </c>
      <c r="AQ507" s="76">
        <v>19.1095297497044</v>
      </c>
      <c r="AR507" s="76">
        <v>7.6862461003977396</v>
      </c>
      <c r="AS507" s="11" t="s">
        <v>186</v>
      </c>
      <c r="AT507" s="30">
        <v>1.54649710882227E-6</v>
      </c>
      <c r="AU507" s="30">
        <v>8.35693806601906</v>
      </c>
      <c r="BD507" s="21" t="s">
        <v>190</v>
      </c>
    </row>
    <row r="508" spans="2:56" x14ac:dyDescent="0.3">
      <c r="B508" s="11" t="s">
        <v>172</v>
      </c>
      <c r="C508" s="4" t="s">
        <v>195</v>
      </c>
      <c r="D508" s="4"/>
      <c r="E508" s="4"/>
      <c r="F508" s="42"/>
      <c r="G508" s="4"/>
      <c r="H508" s="4"/>
      <c r="I508" s="36" t="e">
        <f t="shared" si="33"/>
        <v>#DIV/0!</v>
      </c>
      <c r="J508" s="4"/>
      <c r="K508" s="4"/>
      <c r="L508" s="4"/>
      <c r="M508" s="4" t="e">
        <f t="shared" si="32"/>
        <v>#DIV/0!</v>
      </c>
      <c r="P508" t="s">
        <v>192</v>
      </c>
      <c r="AJ508" s="26">
        <v>19.539304046896099</v>
      </c>
      <c r="AK508" s="26">
        <v>24.456418482131401</v>
      </c>
      <c r="AL508" s="11">
        <f t="shared" si="34"/>
        <v>1.168677829220659</v>
      </c>
      <c r="AP508" s="65" t="s">
        <v>161</v>
      </c>
      <c r="AQ508" s="76">
        <v>24.456418482131401</v>
      </c>
      <c r="AR508" s="76">
        <v>19.539304046896099</v>
      </c>
      <c r="AS508" s="11" t="s">
        <v>186</v>
      </c>
      <c r="AT508" s="30">
        <v>1.4251026703029899E-6</v>
      </c>
      <c r="AU508" s="30">
        <v>18.411482411716701</v>
      </c>
      <c r="BD508" s="21" t="s">
        <v>190</v>
      </c>
    </row>
    <row r="509" spans="2:56" x14ac:dyDescent="0.3">
      <c r="B509" s="11" t="s">
        <v>172</v>
      </c>
      <c r="C509" s="4" t="s">
        <v>195</v>
      </c>
      <c r="D509" s="4"/>
      <c r="E509" s="4"/>
      <c r="F509" s="42"/>
      <c r="G509" s="4"/>
      <c r="H509" s="4"/>
      <c r="I509" s="36" t="e">
        <f t="shared" si="33"/>
        <v>#DIV/0!</v>
      </c>
      <c r="J509" s="4"/>
      <c r="K509" s="4"/>
      <c r="L509" s="4"/>
      <c r="M509" s="4" t="e">
        <f t="shared" si="32"/>
        <v>#DIV/0!</v>
      </c>
      <c r="P509" t="s">
        <v>192</v>
      </c>
      <c r="AJ509" s="26">
        <v>34.694428678997198</v>
      </c>
      <c r="AK509" s="26">
        <v>28.533637718446801</v>
      </c>
      <c r="AL509" s="11">
        <f t="shared" si="34"/>
        <v>2.8247110312270172</v>
      </c>
      <c r="AP509" s="65" t="s">
        <v>161</v>
      </c>
      <c r="AQ509" s="76">
        <v>28.533637718446801</v>
      </c>
      <c r="AR509" s="76">
        <v>34.694428678997198</v>
      </c>
      <c r="AS509" s="11" t="s">
        <v>186</v>
      </c>
      <c r="AT509" s="30">
        <v>6.8284090085858402E-7</v>
      </c>
      <c r="AU509" s="30">
        <v>30.544319519435</v>
      </c>
      <c r="BD509" s="21" t="s">
        <v>190</v>
      </c>
    </row>
    <row r="510" spans="2:56" x14ac:dyDescent="0.3">
      <c r="B510" s="11" t="s">
        <v>172</v>
      </c>
      <c r="C510" s="4" t="s">
        <v>195</v>
      </c>
      <c r="D510" s="4"/>
      <c r="E510" s="4"/>
      <c r="F510" s="42"/>
      <c r="G510" s="4"/>
      <c r="H510" s="4"/>
      <c r="I510" s="36" t="e">
        <f t="shared" si="33"/>
        <v>#DIV/0!</v>
      </c>
      <c r="J510" s="4"/>
      <c r="K510" s="4"/>
      <c r="L510" s="4"/>
      <c r="M510" s="4" t="e">
        <f t="shared" si="32"/>
        <v>#DIV/0!</v>
      </c>
      <c r="P510" t="s">
        <v>192</v>
      </c>
      <c r="AJ510" s="26">
        <v>43.029493473470801</v>
      </c>
      <c r="AK510" s="26">
        <v>27.667141148176501</v>
      </c>
      <c r="AL510" s="11">
        <f t="shared" si="34"/>
        <v>3.2937816460227083</v>
      </c>
      <c r="AP510" s="65" t="s">
        <v>161</v>
      </c>
      <c r="AQ510" s="76">
        <v>27.667141148176501</v>
      </c>
      <c r="AR510" s="76">
        <v>43.029493473470801</v>
      </c>
      <c r="AS510" s="11" t="s">
        <v>186</v>
      </c>
      <c r="AT510" s="30">
        <v>3.55055184016348E-7</v>
      </c>
      <c r="AU510" s="30">
        <v>24.711517081300801</v>
      </c>
      <c r="BD510" s="21" t="s">
        <v>190</v>
      </c>
    </row>
    <row r="511" spans="2:56" x14ac:dyDescent="0.3">
      <c r="B511" s="11" t="s">
        <v>172</v>
      </c>
      <c r="C511" s="4" t="s">
        <v>195</v>
      </c>
      <c r="D511" s="4"/>
      <c r="E511" s="4"/>
      <c r="F511" s="42"/>
      <c r="G511" s="4"/>
      <c r="H511" s="4"/>
      <c r="I511" s="36" t="e">
        <f t="shared" si="33"/>
        <v>#DIV/0!</v>
      </c>
      <c r="J511" s="4"/>
      <c r="K511" s="4"/>
      <c r="L511" s="4"/>
      <c r="M511" s="4" t="e">
        <f t="shared" si="32"/>
        <v>#DIV/0!</v>
      </c>
      <c r="P511" t="s">
        <v>192</v>
      </c>
      <c r="AJ511" s="26">
        <v>46.231189204490498</v>
      </c>
      <c r="AK511" s="26">
        <v>19.7080137744511</v>
      </c>
      <c r="AL511" s="11">
        <f t="shared" si="34"/>
        <v>1.7956462348486451</v>
      </c>
      <c r="AP511" s="65" t="s">
        <v>161</v>
      </c>
      <c r="AQ511" s="76">
        <v>19.7080137744511</v>
      </c>
      <c r="AR511" s="76">
        <v>46.231189204490498</v>
      </c>
      <c r="AS511" s="11" t="s">
        <v>186</v>
      </c>
      <c r="AT511" s="30">
        <v>1.4251026703029899E-6</v>
      </c>
      <c r="AU511" s="30">
        <v>43.562694191579901</v>
      </c>
      <c r="BD511" s="21" t="s">
        <v>190</v>
      </c>
    </row>
    <row r="512" spans="2:56" x14ac:dyDescent="0.3">
      <c r="B512" s="11" t="s">
        <v>172</v>
      </c>
      <c r="C512" s="4" t="s">
        <v>195</v>
      </c>
      <c r="D512" s="4"/>
      <c r="E512" s="4"/>
      <c r="F512" s="42"/>
      <c r="G512" s="4"/>
      <c r="H512" s="4"/>
      <c r="I512" s="36" t="e">
        <f t="shared" si="33"/>
        <v>#DIV/0!</v>
      </c>
      <c r="J512" s="4"/>
      <c r="K512" s="4"/>
      <c r="L512" s="4"/>
      <c r="M512" s="4" t="e">
        <f t="shared" si="32"/>
        <v>#DIV/0!</v>
      </c>
      <c r="P512" t="s">
        <v>192</v>
      </c>
      <c r="AJ512" s="26">
        <v>37.275937203149503</v>
      </c>
      <c r="AK512" s="26">
        <v>15.881548936437101</v>
      </c>
      <c r="AL512" s="11">
        <f t="shared" si="34"/>
        <v>0.94018709487762719</v>
      </c>
      <c r="AP512" s="65" t="s">
        <v>161</v>
      </c>
      <c r="AQ512" s="76">
        <v>15.881548936437101</v>
      </c>
      <c r="AR512" s="76">
        <v>37.275937203149503</v>
      </c>
      <c r="AS512" s="11" t="s">
        <v>186</v>
      </c>
      <c r="AT512" s="30">
        <v>4.2385658519833401E-8</v>
      </c>
      <c r="AU512" s="30">
        <v>0.482401776854465</v>
      </c>
      <c r="BD512" s="21" t="s">
        <v>190</v>
      </c>
    </row>
    <row r="513" spans="2:56" x14ac:dyDescent="0.3">
      <c r="B513" s="11" t="s">
        <v>172</v>
      </c>
      <c r="C513" s="4" t="s">
        <v>195</v>
      </c>
      <c r="D513" s="4"/>
      <c r="E513" s="4"/>
      <c r="F513" s="42"/>
      <c r="G513" s="4"/>
      <c r="H513" s="4"/>
      <c r="I513" s="36" t="e">
        <f t="shared" si="33"/>
        <v>#DIV/0!</v>
      </c>
      <c r="J513" s="4"/>
      <c r="K513" s="4"/>
      <c r="L513" s="4"/>
      <c r="M513" s="4" t="e">
        <f t="shared" si="32"/>
        <v>#DIV/0!</v>
      </c>
      <c r="P513" t="s">
        <v>192</v>
      </c>
      <c r="AJ513" s="26">
        <v>26.036608663423898</v>
      </c>
      <c r="AK513" s="26">
        <v>13.612207835766201</v>
      </c>
      <c r="AL513" s="11">
        <f t="shared" si="34"/>
        <v>0.48243805561305619</v>
      </c>
      <c r="AP513" s="65" t="s">
        <v>161</v>
      </c>
      <c r="AQ513" s="76">
        <v>13.612207835766201</v>
      </c>
      <c r="AR513" s="76">
        <v>26.036608663423898</v>
      </c>
      <c r="AS513" s="11" t="s">
        <v>186</v>
      </c>
      <c r="AT513" s="30">
        <v>2.8164635950054501E-8</v>
      </c>
      <c r="AU513" s="30">
        <v>0.59956675934339299</v>
      </c>
      <c r="BD513" s="21" t="s">
        <v>190</v>
      </c>
    </row>
    <row r="514" spans="2:56" x14ac:dyDescent="0.3">
      <c r="B514" s="11" t="s">
        <v>172</v>
      </c>
      <c r="C514" s="4" t="s">
        <v>195</v>
      </c>
      <c r="D514" s="4"/>
      <c r="E514" s="4"/>
      <c r="F514" s="42"/>
      <c r="G514" s="4"/>
      <c r="H514" s="4"/>
      <c r="I514" s="36" t="e">
        <f t="shared" si="33"/>
        <v>#DIV/0!</v>
      </c>
      <c r="J514" s="4"/>
      <c r="K514" s="4"/>
      <c r="L514" s="4"/>
      <c r="M514" s="4" t="e">
        <f t="shared" si="32"/>
        <v>#DIV/0!</v>
      </c>
      <c r="P514" t="s">
        <v>192</v>
      </c>
      <c r="AJ514" s="26">
        <v>66.187994292605694</v>
      </c>
      <c r="AK514" s="26">
        <v>14.9316273567057</v>
      </c>
      <c r="AL514" s="11">
        <f t="shared" si="34"/>
        <v>1.4756844688962614</v>
      </c>
      <c r="AP514" s="65" t="s">
        <v>161</v>
      </c>
      <c r="AQ514" s="76">
        <v>14.9316273567057</v>
      </c>
      <c r="AR514" s="76">
        <v>66.187994292605694</v>
      </c>
      <c r="AS514" s="11" t="s">
        <v>186</v>
      </c>
      <c r="AT514" s="30">
        <v>3.0563782508758003E-8</v>
      </c>
      <c r="AU514" s="30">
        <v>7.38860087491366</v>
      </c>
      <c r="BD514" s="21" t="s">
        <v>190</v>
      </c>
    </row>
    <row r="515" spans="2:56" x14ac:dyDescent="0.3">
      <c r="B515" s="11" t="s">
        <v>172</v>
      </c>
      <c r="C515" s="4" t="s">
        <v>195</v>
      </c>
      <c r="D515" s="4"/>
      <c r="E515" s="4"/>
      <c r="F515" s="42"/>
      <c r="G515" s="4"/>
      <c r="H515" s="4"/>
      <c r="I515" s="36" t="e">
        <f t="shared" si="33"/>
        <v>#DIV/0!</v>
      </c>
      <c r="J515" s="4"/>
      <c r="K515" s="4"/>
      <c r="L515" s="4"/>
      <c r="M515" s="4" t="e">
        <f t="shared" si="32"/>
        <v>#DIV/0!</v>
      </c>
      <c r="P515" t="s">
        <v>192</v>
      </c>
      <c r="AJ515" s="26">
        <v>101.810415016364</v>
      </c>
      <c r="AK515" s="26">
        <v>14.038523346296399</v>
      </c>
      <c r="AL515" s="11">
        <f t="shared" si="34"/>
        <v>2.006481061525065</v>
      </c>
      <c r="AP515" s="65" t="s">
        <v>161</v>
      </c>
      <c r="AQ515" s="76">
        <v>14.038523346296399</v>
      </c>
      <c r="AR515" s="76">
        <v>101.810415016364</v>
      </c>
      <c r="AS515" s="11" t="s">
        <v>186</v>
      </c>
      <c r="AT515" s="30">
        <v>1.87149792146773E-8</v>
      </c>
      <c r="AU515" s="30">
        <v>7.95861734215136</v>
      </c>
      <c r="BD515" s="21" t="s">
        <v>190</v>
      </c>
    </row>
    <row r="516" spans="2:56" x14ac:dyDescent="0.3">
      <c r="B516" s="11" t="s">
        <v>172</v>
      </c>
      <c r="C516" s="4" t="s">
        <v>195</v>
      </c>
      <c r="D516" s="4"/>
      <c r="E516" s="4"/>
      <c r="F516" s="42"/>
      <c r="G516" s="4"/>
      <c r="H516" s="4"/>
      <c r="I516" s="36" t="e">
        <f t="shared" si="33"/>
        <v>#DIV/0!</v>
      </c>
      <c r="J516" s="4"/>
      <c r="K516" s="4"/>
      <c r="L516" s="4"/>
      <c r="M516" s="4" t="e">
        <f t="shared" si="32"/>
        <v>#DIV/0!</v>
      </c>
      <c r="P516" t="s">
        <v>192</v>
      </c>
      <c r="AJ516" s="26">
        <v>6.65850336218862</v>
      </c>
      <c r="AK516" s="26">
        <v>6.6971936555254397</v>
      </c>
      <c r="AL516" s="11">
        <f t="shared" si="34"/>
        <v>2.9864987524295297E-2</v>
      </c>
      <c r="AP516" s="65" t="s">
        <v>161</v>
      </c>
      <c r="AQ516" s="76">
        <v>6.6971936555254397</v>
      </c>
      <c r="AR516" s="76">
        <v>6.65850336218862</v>
      </c>
      <c r="AS516" s="11" t="s">
        <v>186</v>
      </c>
      <c r="AT516" s="30">
        <v>1.87149792146773E-8</v>
      </c>
      <c r="AU516" s="30">
        <v>26.9592467549028</v>
      </c>
      <c r="BD516" s="21" t="s">
        <v>190</v>
      </c>
    </row>
    <row r="517" spans="2:56" x14ac:dyDescent="0.3">
      <c r="B517" s="11" t="s">
        <v>172</v>
      </c>
      <c r="C517" s="4" t="s">
        <v>195</v>
      </c>
      <c r="D517" s="4"/>
      <c r="E517" s="4"/>
      <c r="F517" s="42"/>
      <c r="G517" s="4"/>
      <c r="H517" s="4"/>
      <c r="I517" s="36" t="e">
        <f t="shared" si="33"/>
        <v>#DIV/0!</v>
      </c>
      <c r="J517" s="4"/>
      <c r="K517" s="4"/>
      <c r="L517" s="4"/>
      <c r="M517" s="4" t="e">
        <f t="shared" si="32"/>
        <v>#DIV/0!</v>
      </c>
      <c r="P517" t="s">
        <v>192</v>
      </c>
      <c r="AJ517" s="26">
        <v>7.6862461003977396</v>
      </c>
      <c r="AK517" s="26">
        <v>5.2329911468149497</v>
      </c>
      <c r="AL517" s="11">
        <f t="shared" si="34"/>
        <v>2.1048167235117071E-2</v>
      </c>
      <c r="AP517" s="65" t="s">
        <v>161</v>
      </c>
      <c r="AQ517" s="76">
        <v>5.2329911468149497</v>
      </c>
      <c r="AR517" s="76">
        <v>7.6862461003977396</v>
      </c>
      <c r="AS517" s="11" t="s">
        <v>186</v>
      </c>
      <c r="AT517" s="30">
        <v>5.4166130365818798E-8</v>
      </c>
      <c r="AU517" s="30">
        <v>23.225896642244098</v>
      </c>
      <c r="BD517" s="21" t="s">
        <v>190</v>
      </c>
    </row>
    <row r="518" spans="2:56" x14ac:dyDescent="0.3">
      <c r="B518" s="11" t="s">
        <v>172</v>
      </c>
      <c r="C518" s="4" t="s">
        <v>195</v>
      </c>
      <c r="D518" s="4"/>
      <c r="E518" s="4"/>
      <c r="F518" s="42"/>
      <c r="G518" s="4"/>
      <c r="H518" s="4"/>
      <c r="I518" s="36" t="e">
        <f t="shared" si="33"/>
        <v>#DIV/0!</v>
      </c>
      <c r="J518" s="4"/>
      <c r="K518" s="4"/>
      <c r="L518" s="4"/>
      <c r="M518" s="4" t="e">
        <f t="shared" si="32"/>
        <v>#DIV/0!</v>
      </c>
      <c r="P518" t="s">
        <v>192</v>
      </c>
      <c r="AJ518" s="26">
        <v>26.036608663423799</v>
      </c>
      <c r="AK518" s="26">
        <v>4.7705826961439399</v>
      </c>
      <c r="AL518" s="11">
        <f t="shared" si="34"/>
        <v>5.9255309755456856E-2</v>
      </c>
      <c r="AP518" s="65" t="s">
        <v>161</v>
      </c>
      <c r="AQ518" s="76">
        <v>4.7705826961439399</v>
      </c>
      <c r="AR518" s="76">
        <v>26.036608663423799</v>
      </c>
      <c r="AS518" s="11" t="s">
        <v>186</v>
      </c>
      <c r="AT518" s="30">
        <v>4.1812080238557002E-7</v>
      </c>
      <c r="AU518" s="30">
        <v>159.558577846303</v>
      </c>
      <c r="BD518" s="21" t="s">
        <v>190</v>
      </c>
    </row>
    <row r="519" spans="2:56" x14ac:dyDescent="0.3">
      <c r="B519" s="11" t="s">
        <v>172</v>
      </c>
      <c r="C519" s="4" t="s">
        <v>195</v>
      </c>
      <c r="D519" s="4"/>
      <c r="E519" s="4"/>
      <c r="F519" s="42"/>
      <c r="G519" s="4"/>
      <c r="H519" s="4"/>
      <c r="I519" s="36" t="e">
        <f t="shared" si="33"/>
        <v>#DIV/0!</v>
      </c>
      <c r="J519" s="4"/>
      <c r="K519" s="4"/>
      <c r="L519" s="4"/>
      <c r="M519" s="4" t="e">
        <f t="shared" si="32"/>
        <v>#DIV/0!</v>
      </c>
      <c r="P519" t="s">
        <v>192</v>
      </c>
      <c r="AJ519" s="26">
        <v>30.055369941428498</v>
      </c>
      <c r="AK519" s="26">
        <v>2.7384196342643499</v>
      </c>
      <c r="AL519" s="11">
        <f t="shared" si="34"/>
        <v>2.2538347878421797E-2</v>
      </c>
      <c r="AP519" s="65" t="s">
        <v>161</v>
      </c>
      <c r="AQ519" s="76">
        <v>2.7384196342643499</v>
      </c>
      <c r="AR519" s="76">
        <v>30.055369941428498</v>
      </c>
      <c r="AS519" s="11" t="s">
        <v>186</v>
      </c>
      <c r="AT519" s="30">
        <v>1.67823228279206E-6</v>
      </c>
      <c r="AU519" s="30">
        <v>66.951275697957001</v>
      </c>
      <c r="BD519" s="21" t="s">
        <v>190</v>
      </c>
    </row>
    <row r="520" spans="2:56" x14ac:dyDescent="0.3">
      <c r="B520" s="11" t="s">
        <v>172</v>
      </c>
      <c r="C520" s="4" t="s">
        <v>195</v>
      </c>
      <c r="D520" s="4"/>
      <c r="E520" s="4"/>
      <c r="F520" s="42"/>
      <c r="G520" s="4"/>
      <c r="H520" s="4"/>
      <c r="I520" s="36" t="e">
        <f t="shared" si="33"/>
        <v>#DIV/0!</v>
      </c>
      <c r="J520" s="4"/>
      <c r="K520" s="4"/>
      <c r="L520" s="4"/>
      <c r="M520" s="4" t="e">
        <f t="shared" si="32"/>
        <v>#DIV/0!</v>
      </c>
      <c r="P520" t="s">
        <v>192</v>
      </c>
      <c r="AJ520" s="26">
        <v>168.25734277107301</v>
      </c>
      <c r="AK520" s="26">
        <v>5.0740780448223797</v>
      </c>
      <c r="AL520" s="11">
        <f t="shared" si="34"/>
        <v>0.43319986407845307</v>
      </c>
      <c r="AP520" s="65" t="s">
        <v>161</v>
      </c>
      <c r="AQ520" s="76">
        <v>5.0740780448223797</v>
      </c>
      <c r="AR520" s="76">
        <v>168.25734277107301</v>
      </c>
      <c r="AS520" s="11" t="s">
        <v>186</v>
      </c>
      <c r="AT520" s="30">
        <v>1.9763232879260699E-6</v>
      </c>
      <c r="AU520" s="30">
        <v>95.771028293537995</v>
      </c>
      <c r="BD520" s="21" t="s">
        <v>190</v>
      </c>
    </row>
    <row r="521" spans="2:56" x14ac:dyDescent="0.3">
      <c r="B521" s="11" t="s">
        <v>172</v>
      </c>
      <c r="C521" s="4" t="s">
        <v>195</v>
      </c>
      <c r="D521" s="4"/>
      <c r="E521" s="4"/>
      <c r="F521" s="42"/>
      <c r="G521" s="4"/>
      <c r="H521" s="4"/>
      <c r="I521" s="36" t="e">
        <f t="shared" si="33"/>
        <v>#DIV/0!</v>
      </c>
      <c r="J521" s="4"/>
      <c r="K521" s="4"/>
      <c r="L521" s="4"/>
      <c r="M521" s="4" t="e">
        <f t="shared" si="32"/>
        <v>#DIV/0!</v>
      </c>
      <c r="P521" t="s">
        <v>192</v>
      </c>
      <c r="AJ521" s="26">
        <v>370.53664835015098</v>
      </c>
      <c r="AK521" s="26">
        <v>8.8395177337443709</v>
      </c>
      <c r="AL521" s="11">
        <f t="shared" si="34"/>
        <v>2.8952649424838759</v>
      </c>
      <c r="AP521" s="65" t="s">
        <v>161</v>
      </c>
      <c r="AQ521" s="76">
        <v>8.8395177337443709</v>
      </c>
      <c r="AR521" s="76">
        <v>370.53664835015098</v>
      </c>
      <c r="AS521" s="11" t="s">
        <v>186</v>
      </c>
      <c r="AT521" s="30">
        <v>2.7407525224610401E-6</v>
      </c>
      <c r="AU521" s="30">
        <v>37.609851743569997</v>
      </c>
      <c r="BD521" s="21" t="s">
        <v>190</v>
      </c>
    </row>
    <row r="522" spans="2:56" x14ac:dyDescent="0.3">
      <c r="B522" s="11" t="s">
        <v>172</v>
      </c>
      <c r="C522" s="4" t="s">
        <v>195</v>
      </c>
      <c r="D522" s="4"/>
      <c r="E522" s="4"/>
      <c r="F522" s="42"/>
      <c r="G522" s="4"/>
      <c r="H522" s="4"/>
      <c r="I522" s="36" t="e">
        <f t="shared" si="33"/>
        <v>#DIV/0!</v>
      </c>
      <c r="J522" s="4"/>
      <c r="K522" s="4"/>
      <c r="L522" s="4"/>
      <c r="M522" s="4" t="e">
        <f t="shared" si="32"/>
        <v>#DIV/0!</v>
      </c>
      <c r="P522" t="s">
        <v>192</v>
      </c>
      <c r="AJ522" s="26">
        <v>370.53664835015297</v>
      </c>
      <c r="AK522" s="26">
        <v>14.9316273567057</v>
      </c>
      <c r="AL522" s="11">
        <f t="shared" si="34"/>
        <v>8.2612440967754548</v>
      </c>
      <c r="AP522" s="65" t="s">
        <v>161</v>
      </c>
      <c r="AQ522" s="76">
        <v>14.9316273567057</v>
      </c>
      <c r="AR522" s="76">
        <v>370.53664835015297</v>
      </c>
      <c r="AS522" s="11" t="s">
        <v>186</v>
      </c>
      <c r="AT522" s="30">
        <v>3.8008581061954098E-6</v>
      </c>
      <c r="AU522" s="30">
        <v>53.753661668435498</v>
      </c>
      <c r="BD522" s="21" t="s">
        <v>190</v>
      </c>
    </row>
    <row r="523" spans="2:56" x14ac:dyDescent="0.3">
      <c r="B523" s="11" t="s">
        <v>172</v>
      </c>
      <c r="C523" s="4" t="s">
        <v>195</v>
      </c>
      <c r="D523" s="4"/>
      <c r="E523" s="4"/>
      <c r="F523" s="42"/>
      <c r="G523" s="4"/>
      <c r="H523" s="4"/>
      <c r="I523" s="36" t="e">
        <f t="shared" si="33"/>
        <v>#DIV/0!</v>
      </c>
      <c r="J523" s="4"/>
      <c r="K523" s="4"/>
      <c r="L523" s="4"/>
      <c r="M523" s="4" t="e">
        <f t="shared" si="32"/>
        <v>#DIV/0!</v>
      </c>
      <c r="P523" t="s">
        <v>192</v>
      </c>
      <c r="AJ523" s="26">
        <v>815.99652953849102</v>
      </c>
      <c r="AK523" s="26">
        <v>15.3992652605949</v>
      </c>
      <c r="AL523" s="11">
        <f t="shared" si="34"/>
        <v>19.350327140587368</v>
      </c>
      <c r="AP523" s="65" t="s">
        <v>161</v>
      </c>
      <c r="AQ523" s="76">
        <v>15.3992652605949</v>
      </c>
      <c r="AR523" s="76">
        <v>815.99652953849102</v>
      </c>
      <c r="AS523" s="11" t="s">
        <v>186</v>
      </c>
      <c r="AT523" s="30">
        <v>4.1246263829013401E-6</v>
      </c>
      <c r="AU523" s="30">
        <v>0.54377398663593701</v>
      </c>
      <c r="BD523" s="21" t="s">
        <v>190</v>
      </c>
    </row>
    <row r="524" spans="2:56" x14ac:dyDescent="0.3">
      <c r="B524" s="11" t="s">
        <v>172</v>
      </c>
      <c r="C524" s="4" t="s">
        <v>195</v>
      </c>
      <c r="D524" s="4"/>
      <c r="E524" s="4"/>
      <c r="F524" s="42"/>
      <c r="G524" s="4"/>
      <c r="H524" s="4"/>
      <c r="I524" s="36" t="e">
        <f t="shared" si="33"/>
        <v>#DIV/0!</v>
      </c>
      <c r="J524" s="4"/>
      <c r="K524" s="4"/>
      <c r="L524" s="4"/>
      <c r="M524" s="4" t="e">
        <f t="shared" si="32"/>
        <v>#DIV/0!</v>
      </c>
      <c r="P524" t="s">
        <v>192</v>
      </c>
      <c r="AJ524" s="26">
        <v>876.71238729687195</v>
      </c>
      <c r="AK524" s="26">
        <v>10.969291342637799</v>
      </c>
      <c r="AL524" s="11">
        <f t="shared" si="34"/>
        <v>10.549072709492481</v>
      </c>
      <c r="AP524" s="65" t="s">
        <v>161</v>
      </c>
      <c r="AQ524" s="76">
        <v>10.969291342637799</v>
      </c>
      <c r="AR524" s="76">
        <v>876.71238729687195</v>
      </c>
      <c r="AS524" s="11" t="s">
        <v>186</v>
      </c>
      <c r="AT524" s="30">
        <v>2.97421788640827E-6</v>
      </c>
      <c r="AU524" s="30">
        <v>323.72938749899498</v>
      </c>
      <c r="BD524" s="21" t="s">
        <v>190</v>
      </c>
    </row>
    <row r="525" spans="2:56" x14ac:dyDescent="0.3">
      <c r="B525" s="11" t="s">
        <v>172</v>
      </c>
      <c r="C525" s="4" t="s">
        <v>195</v>
      </c>
      <c r="D525" s="4"/>
      <c r="E525" s="4"/>
      <c r="F525" s="42"/>
      <c r="G525" s="4"/>
      <c r="H525" s="4"/>
      <c r="I525" s="36" t="e">
        <f t="shared" si="33"/>
        <v>#DIV/0!</v>
      </c>
      <c r="J525" s="4"/>
      <c r="K525" s="4"/>
      <c r="L525" s="4"/>
      <c r="M525" s="4" t="e">
        <f t="shared" si="32"/>
        <v>#DIV/0!</v>
      </c>
      <c r="P525" t="s">
        <v>192</v>
      </c>
      <c r="AJ525" s="26">
        <v>876.71238729686797</v>
      </c>
      <c r="AK525" s="26">
        <v>9.1163591955387595</v>
      </c>
      <c r="AL525" s="11">
        <f t="shared" si="34"/>
        <v>7.2861817451322946</v>
      </c>
      <c r="AP525" s="65" t="s">
        <v>161</v>
      </c>
      <c r="AQ525" s="76">
        <v>9.1163591955387595</v>
      </c>
      <c r="AR525" s="76">
        <v>876.71238729686797</v>
      </c>
      <c r="AS525" s="11" t="s">
        <v>186</v>
      </c>
      <c r="AT525" s="30">
        <v>6.2072524458536398E-6</v>
      </c>
      <c r="AU525" s="30">
        <v>819.81724998575203</v>
      </c>
      <c r="BD525" s="21" t="s">
        <v>190</v>
      </c>
    </row>
    <row r="526" spans="2:56" x14ac:dyDescent="0.3">
      <c r="B526" s="11" t="s">
        <v>172</v>
      </c>
      <c r="C526" s="4" t="s">
        <v>195</v>
      </c>
      <c r="D526" s="4"/>
      <c r="E526" s="4"/>
      <c r="F526" s="42"/>
      <c r="G526" s="4"/>
      <c r="H526" s="4"/>
      <c r="I526" s="36" t="e">
        <f t="shared" si="33"/>
        <v>#DIV/0!</v>
      </c>
      <c r="J526" s="4"/>
      <c r="K526" s="4"/>
      <c r="L526" s="4"/>
      <c r="M526" s="4" t="e">
        <f t="shared" si="32"/>
        <v>#DIV/0!</v>
      </c>
      <c r="P526" t="s">
        <v>192</v>
      </c>
      <c r="AJ526" s="26">
        <v>1556.7102758655501</v>
      </c>
      <c r="AK526" s="26">
        <v>10.969291342637799</v>
      </c>
      <c r="AL526" s="11">
        <f t="shared" si="34"/>
        <v>18.731171277678122</v>
      </c>
      <c r="AP526" s="65" t="s">
        <v>161</v>
      </c>
      <c r="AQ526" s="76">
        <v>10.969291342637799</v>
      </c>
      <c r="AR526" s="76">
        <v>1556.7102758655501</v>
      </c>
      <c r="AS526" s="11" t="s">
        <v>186</v>
      </c>
      <c r="AT526" s="30">
        <v>9.34144801242661E-6</v>
      </c>
      <c r="AU526" s="30">
        <v>818.07834616651996</v>
      </c>
      <c r="BD526" s="21" t="s">
        <v>190</v>
      </c>
    </row>
    <row r="527" spans="2:56" x14ac:dyDescent="0.3">
      <c r="B527" s="11" t="s">
        <v>172</v>
      </c>
      <c r="C527" s="4" t="s">
        <v>195</v>
      </c>
      <c r="D527" s="4"/>
      <c r="E527" s="4"/>
      <c r="F527" s="42"/>
      <c r="G527" s="4"/>
      <c r="H527" s="4"/>
      <c r="I527" s="36" t="e">
        <f t="shared" si="33"/>
        <v>#DIV/0!</v>
      </c>
      <c r="J527" s="4"/>
      <c r="K527" s="4"/>
      <c r="L527" s="4"/>
      <c r="M527" s="4" t="e">
        <f t="shared" si="32"/>
        <v>#DIV/0!</v>
      </c>
      <c r="P527" t="s">
        <v>192</v>
      </c>
      <c r="AJ527" s="26">
        <v>2228.7017190598699</v>
      </c>
      <c r="AK527" s="26">
        <v>9.4018709487762706</v>
      </c>
      <c r="AL527" s="11">
        <f t="shared" si="34"/>
        <v>19.700648368856175</v>
      </c>
      <c r="AP527" s="65" t="s">
        <v>161</v>
      </c>
      <c r="AQ527" s="76">
        <v>9.4018709487762706</v>
      </c>
      <c r="AR527" s="76">
        <v>2228.7017190598699</v>
      </c>
      <c r="AS527" s="11" t="s">
        <v>186</v>
      </c>
      <c r="AT527" s="30">
        <v>1.10006948616164E-5</v>
      </c>
      <c r="AU527" s="30">
        <v>1013.75387903404</v>
      </c>
      <c r="BD527" s="21" t="s">
        <v>190</v>
      </c>
    </row>
    <row r="528" spans="2:56" x14ac:dyDescent="0.3">
      <c r="B528" s="11" t="s">
        <v>172</v>
      </c>
      <c r="C528" s="4" t="s">
        <v>195</v>
      </c>
      <c r="D528" s="4"/>
      <c r="E528" s="4"/>
      <c r="F528" s="42"/>
      <c r="G528" s="4"/>
      <c r="H528" s="4"/>
      <c r="I528" s="36" t="e">
        <f t="shared" si="33"/>
        <v>#DIV/0!</v>
      </c>
      <c r="J528" s="4"/>
      <c r="K528" s="4"/>
      <c r="L528" s="4"/>
      <c r="M528" s="4" t="e">
        <f t="shared" si="32"/>
        <v>#DIV/0!</v>
      </c>
      <c r="P528" t="s">
        <v>192</v>
      </c>
      <c r="AJ528" s="26">
        <v>34077.484777388199</v>
      </c>
      <c r="AK528" s="26">
        <v>21.618294487667399</v>
      </c>
      <c r="AL528" s="11">
        <f t="shared" si="34"/>
        <v>1592.6134884472792</v>
      </c>
      <c r="AP528" s="65" t="s">
        <v>161</v>
      </c>
      <c r="AQ528" s="76">
        <v>21.618294487667399</v>
      </c>
      <c r="AR528" s="76">
        <v>34077.484777388199</v>
      </c>
      <c r="AS528" s="11" t="s">
        <v>186</v>
      </c>
      <c r="AT528" s="30">
        <v>1.4845595843207E-3</v>
      </c>
      <c r="AU528" s="30">
        <v>26830.755738133801</v>
      </c>
      <c r="BD528" s="21" t="s">
        <v>190</v>
      </c>
    </row>
    <row r="529" spans="1:56" x14ac:dyDescent="0.3">
      <c r="B529" s="11" t="s">
        <v>172</v>
      </c>
      <c r="C529" s="4" t="s">
        <v>195</v>
      </c>
      <c r="D529" s="4"/>
      <c r="E529" s="4"/>
      <c r="F529" s="42"/>
      <c r="G529" s="4"/>
      <c r="H529" s="4"/>
      <c r="I529" s="36" t="e">
        <f t="shared" si="33"/>
        <v>#DIV/0!</v>
      </c>
      <c r="J529" s="4"/>
      <c r="K529" s="4"/>
      <c r="L529" s="4"/>
      <c r="M529" s="4" t="e">
        <f t="shared" si="32"/>
        <v>#DIV/0!</v>
      </c>
      <c r="P529" t="s">
        <v>192</v>
      </c>
      <c r="AJ529" s="26">
        <v>45409.096109724698</v>
      </c>
      <c r="AK529" s="26">
        <v>16.378937069540601</v>
      </c>
      <c r="AL529" s="11">
        <f t="shared" si="34"/>
        <v>1218.187912010108</v>
      </c>
      <c r="AP529" s="65" t="s">
        <v>161</v>
      </c>
      <c r="AQ529" s="76">
        <v>16.378937069540601</v>
      </c>
      <c r="AR529" s="76">
        <v>45409.096109724698</v>
      </c>
      <c r="AS529" s="11" t="s">
        <v>186</v>
      </c>
      <c r="AT529" s="30">
        <v>1.2606418369688201E-3</v>
      </c>
      <c r="AU529" s="30">
        <v>38445.536281349399</v>
      </c>
      <c r="BD529" s="21" t="s">
        <v>190</v>
      </c>
    </row>
    <row r="530" spans="1:56" x14ac:dyDescent="0.3">
      <c r="B530" s="11" t="s">
        <v>172</v>
      </c>
      <c r="C530" s="4" t="s">
        <v>195</v>
      </c>
      <c r="D530" s="4"/>
      <c r="E530" s="4"/>
      <c r="F530" s="42"/>
      <c r="G530" s="4"/>
      <c r="H530" s="4"/>
      <c r="I530" s="36" t="e">
        <f t="shared" si="33"/>
        <v>#DIV/0!</v>
      </c>
      <c r="J530" s="4"/>
      <c r="K530" s="4"/>
      <c r="L530" s="4"/>
      <c r="M530" s="4" t="e">
        <f t="shared" si="32"/>
        <v>#DIV/0!</v>
      </c>
      <c r="P530" t="s">
        <v>192</v>
      </c>
      <c r="AJ530" s="26">
        <v>56318.275846762699</v>
      </c>
      <c r="AK530" s="26">
        <v>15.3992652605949</v>
      </c>
      <c r="AL530" s="11">
        <f t="shared" si="34"/>
        <v>1335.5167849121262</v>
      </c>
      <c r="AP530" s="65" t="s">
        <v>161</v>
      </c>
      <c r="AQ530" s="76">
        <v>15.3992652605949</v>
      </c>
      <c r="AR530" s="76">
        <v>56318.275846762699</v>
      </c>
      <c r="AS530" s="11" t="s">
        <v>186</v>
      </c>
      <c r="AT530" s="30">
        <v>1.48455958432071E-3</v>
      </c>
      <c r="AU530" s="30">
        <v>54994.748114616101</v>
      </c>
      <c r="BD530" s="21" t="s">
        <v>190</v>
      </c>
    </row>
    <row r="531" spans="1:56" x14ac:dyDescent="0.3">
      <c r="B531" s="11" t="s">
        <v>173</v>
      </c>
      <c r="C531" s="4" t="s">
        <v>194</v>
      </c>
      <c r="D531" s="4"/>
      <c r="E531" s="4"/>
      <c r="F531" s="42"/>
      <c r="G531" s="4"/>
      <c r="H531" s="4"/>
      <c r="I531" s="36" t="e">
        <f t="shared" si="33"/>
        <v>#DIV/0!</v>
      </c>
      <c r="J531" s="4"/>
      <c r="K531" s="4"/>
      <c r="L531" s="4"/>
      <c r="M531" s="4" t="e">
        <f t="shared" si="32"/>
        <v>#DIV/0!</v>
      </c>
      <c r="P531" t="s">
        <v>196</v>
      </c>
      <c r="AJ531" s="25">
        <v>4.4071298253383403E-3</v>
      </c>
      <c r="AK531" s="25">
        <v>797.60104496016197</v>
      </c>
      <c r="AL531" s="11">
        <f t="shared" si="34"/>
        <v>0.28036724410946778</v>
      </c>
      <c r="AP531" s="65" t="s">
        <v>161</v>
      </c>
      <c r="AQ531" s="66">
        <v>797.60104496016197</v>
      </c>
      <c r="AR531" s="66">
        <v>4.4071298253383403E-3</v>
      </c>
      <c r="AS531" s="11" t="s">
        <v>186</v>
      </c>
      <c r="AT531" s="30">
        <v>2.5602597203496901E-7</v>
      </c>
      <c r="AU531" s="30">
        <v>4.1899473010178897E-3</v>
      </c>
      <c r="BD531" s="21" t="s">
        <v>190</v>
      </c>
    </row>
    <row r="532" spans="1:56" x14ac:dyDescent="0.3">
      <c r="B532" s="11" t="s">
        <v>173</v>
      </c>
      <c r="C532" s="4" t="s">
        <v>194</v>
      </c>
      <c r="D532" s="4"/>
      <c r="E532" s="4"/>
      <c r="F532" s="42"/>
      <c r="G532" s="4"/>
      <c r="H532" s="4"/>
      <c r="I532" s="36" t="e">
        <f t="shared" si="33"/>
        <v>#DIV/0!</v>
      </c>
      <c r="J532" s="4"/>
      <c r="K532" s="4"/>
      <c r="L532" s="4"/>
      <c r="M532" s="4" t="e">
        <f t="shared" si="32"/>
        <v>#DIV/0!</v>
      </c>
      <c r="P532" t="s">
        <v>196</v>
      </c>
      <c r="AJ532" s="25">
        <v>8.4076635596207708E-3</v>
      </c>
      <c r="AK532" s="25">
        <v>930.57204092969903</v>
      </c>
      <c r="AL532" s="11">
        <f t="shared" si="34"/>
        <v>0.72807366854460809</v>
      </c>
      <c r="AP532" s="65" t="s">
        <v>161</v>
      </c>
      <c r="AQ532" s="66">
        <v>930.57204092969903</v>
      </c>
      <c r="AR532" s="66">
        <v>8.4076635596207708E-3</v>
      </c>
      <c r="AS532" s="11" t="s">
        <v>186</v>
      </c>
      <c r="AT532" s="30">
        <v>6.29240355933639E-7</v>
      </c>
      <c r="AU532" s="30">
        <v>7.4050921878270198E-3</v>
      </c>
      <c r="BD532" s="21" t="s">
        <v>190</v>
      </c>
    </row>
    <row r="533" spans="1:56" x14ac:dyDescent="0.3">
      <c r="B533" s="11" t="s">
        <v>174</v>
      </c>
      <c r="C533" s="4" t="s">
        <v>195</v>
      </c>
      <c r="D533" s="4"/>
      <c r="E533" s="4"/>
      <c r="F533" s="42"/>
      <c r="G533" s="4"/>
      <c r="H533" s="4"/>
      <c r="I533" s="36" t="e">
        <f t="shared" si="33"/>
        <v>#DIV/0!</v>
      </c>
      <c r="J533" s="4"/>
      <c r="K533" s="4"/>
      <c r="L533" s="4"/>
      <c r="M533" s="4" t="e">
        <f t="shared" si="32"/>
        <v>#DIV/0!</v>
      </c>
      <c r="P533" t="s">
        <v>196</v>
      </c>
      <c r="AJ533" s="25">
        <v>4.38085058847799E-2</v>
      </c>
      <c r="AK533" s="25">
        <v>10.636180877702399</v>
      </c>
      <c r="AL533" s="11">
        <f t="shared" si="34"/>
        <v>4.955983709104795E-4</v>
      </c>
      <c r="AP533" s="65" t="s">
        <v>161</v>
      </c>
      <c r="AQ533" s="66">
        <v>10.636180877702399</v>
      </c>
      <c r="AR533" s="66">
        <v>4.38085058847799E-2</v>
      </c>
      <c r="AS533" s="11" t="s">
        <v>186</v>
      </c>
      <c r="AT533" s="32">
        <v>5.12931264904333E-10</v>
      </c>
      <c r="AU533" s="32">
        <v>4.30157907201986E-2</v>
      </c>
      <c r="BD533" s="21" t="s">
        <v>190</v>
      </c>
    </row>
    <row r="534" spans="1:56" x14ac:dyDescent="0.3">
      <c r="B534" s="11" t="s">
        <v>174</v>
      </c>
      <c r="C534" s="4" t="s">
        <v>195</v>
      </c>
      <c r="D534" s="4"/>
      <c r="E534" s="4"/>
      <c r="F534" s="42"/>
      <c r="G534" s="4"/>
      <c r="H534" s="4"/>
      <c r="I534" s="36" t="e">
        <f t="shared" si="33"/>
        <v>#DIV/0!</v>
      </c>
      <c r="J534" s="4"/>
      <c r="K534" s="4"/>
      <c r="L534" s="4"/>
      <c r="M534" s="4" t="e">
        <f t="shared" si="32"/>
        <v>#DIV/0!</v>
      </c>
      <c r="P534" t="s">
        <v>196</v>
      </c>
      <c r="AJ534" s="25">
        <v>6.2719501431032998E-2</v>
      </c>
      <c r="AK534" s="25">
        <v>5.9199962084337301</v>
      </c>
      <c r="AL534" s="11">
        <f t="shared" si="34"/>
        <v>2.1980899193405269E-4</v>
      </c>
      <c r="AP534" s="65" t="s">
        <v>161</v>
      </c>
      <c r="AQ534" s="66">
        <v>5.9199962084337301</v>
      </c>
      <c r="AR534" s="66">
        <v>6.2719501431032998E-2</v>
      </c>
      <c r="AS534" s="11" t="s">
        <v>186</v>
      </c>
      <c r="AT534" s="34">
        <v>2.6670766853501998E-10</v>
      </c>
      <c r="AU534" s="32">
        <v>7.1332127368246206E-2</v>
      </c>
      <c r="BD534" s="21" t="s">
        <v>190</v>
      </c>
    </row>
    <row r="535" spans="1:56" x14ac:dyDescent="0.3">
      <c r="B535" s="11" t="s">
        <v>174</v>
      </c>
      <c r="C535" s="4" t="s">
        <v>195</v>
      </c>
      <c r="D535" s="4"/>
      <c r="E535" s="4"/>
      <c r="F535" s="42"/>
      <c r="G535" s="4"/>
      <c r="H535" s="4"/>
      <c r="I535" s="36" t="e">
        <f t="shared" si="33"/>
        <v>#DIV/0!</v>
      </c>
      <c r="J535" s="4"/>
      <c r="K535" s="4"/>
      <c r="L535" s="4"/>
      <c r="M535" s="4" t="e">
        <f t="shared" si="32"/>
        <v>#DIV/0!</v>
      </c>
      <c r="P535" t="s">
        <v>196</v>
      </c>
      <c r="AJ535" s="25">
        <v>8.3575295742648104E-2</v>
      </c>
      <c r="AK535" s="25">
        <v>6.2966150468213504</v>
      </c>
      <c r="AL535" s="11">
        <f t="shared" si="34"/>
        <v>3.3135399249901987E-4</v>
      </c>
      <c r="AP535" s="65" t="s">
        <v>161</v>
      </c>
      <c r="AQ535" s="66">
        <v>6.2966150468213504</v>
      </c>
      <c r="AR535" s="66">
        <v>8.3575295742648104E-2</v>
      </c>
      <c r="AS535" s="11" t="s">
        <v>186</v>
      </c>
      <c r="AT535" s="32">
        <v>1.63311869910004E-10</v>
      </c>
      <c r="AU535" s="32">
        <v>6.6561474015302699E-2</v>
      </c>
      <c r="BD535" s="21" t="s">
        <v>190</v>
      </c>
    </row>
    <row r="536" spans="1:56" x14ac:dyDescent="0.3">
      <c r="B536" s="11" t="s">
        <v>174</v>
      </c>
      <c r="C536" s="4" t="s">
        <v>195</v>
      </c>
      <c r="D536" s="4"/>
      <c r="E536" s="4"/>
      <c r="F536" s="42"/>
      <c r="G536" s="4"/>
      <c r="H536" s="4"/>
      <c r="I536" s="36" t="e">
        <f t="shared" si="33"/>
        <v>#DIV/0!</v>
      </c>
      <c r="J536" s="4"/>
      <c r="K536" s="4"/>
      <c r="L536" s="4"/>
      <c r="M536" s="4" t="e">
        <f t="shared" si="32"/>
        <v>#DIV/0!</v>
      </c>
      <c r="P536" t="s">
        <v>196</v>
      </c>
      <c r="AJ536" s="25">
        <v>1.0303553085422901</v>
      </c>
      <c r="AK536" s="25">
        <v>3.8443367967576898</v>
      </c>
      <c r="AL536" s="11">
        <f t="shared" si="34"/>
        <v>1.5227544247555273E-3</v>
      </c>
      <c r="AP536" s="65" t="s">
        <v>161</v>
      </c>
      <c r="AQ536" s="66">
        <v>3.8443367967576898</v>
      </c>
      <c r="AR536" s="66">
        <v>1.0303553085422901</v>
      </c>
      <c r="AS536" s="11" t="s">
        <v>186</v>
      </c>
      <c r="AT536" s="32">
        <v>1.3680270178135199E-9</v>
      </c>
      <c r="AU536" s="32">
        <v>0.93685953097605501</v>
      </c>
      <c r="BD536" s="21" t="s">
        <v>190</v>
      </c>
    </row>
    <row r="537" spans="1:56" x14ac:dyDescent="0.3">
      <c r="A537" s="87"/>
      <c r="B537" s="11" t="s">
        <v>174</v>
      </c>
      <c r="C537" s="4" t="s">
        <v>195</v>
      </c>
      <c r="D537" s="4"/>
      <c r="E537" s="4"/>
      <c r="F537" s="42"/>
      <c r="G537" s="4"/>
      <c r="H537" s="4"/>
      <c r="I537" s="36" t="e">
        <f t="shared" si="33"/>
        <v>#DIV/0!</v>
      </c>
      <c r="J537" s="4"/>
      <c r="K537" s="4"/>
      <c r="L537" s="4"/>
      <c r="M537" s="4" t="e">
        <f t="shared" si="32"/>
        <v>#DIV/0!</v>
      </c>
      <c r="P537" t="s">
        <v>196</v>
      </c>
      <c r="AJ537" s="25">
        <v>7.1539426543764897</v>
      </c>
      <c r="AK537" s="25">
        <v>3.0038522786645498</v>
      </c>
      <c r="AL537" s="11">
        <f t="shared" si="34"/>
        <v>6.4550943938190813E-3</v>
      </c>
      <c r="AP537" s="65" t="s">
        <v>161</v>
      </c>
      <c r="AQ537" s="66">
        <v>3.0038522786645498</v>
      </c>
      <c r="AR537" s="66">
        <v>7.1539426543764897</v>
      </c>
      <c r="AS537" s="11" t="s">
        <v>186</v>
      </c>
      <c r="AT537" s="32">
        <v>4.6627169588536599E-9</v>
      </c>
      <c r="AU537" s="32">
        <v>6.4634807041786502</v>
      </c>
      <c r="BD537" s="21" t="s">
        <v>190</v>
      </c>
    </row>
    <row r="538" spans="1:56" x14ac:dyDescent="0.3">
      <c r="B538" s="11" t="s">
        <v>175</v>
      </c>
      <c r="C538" s="28" t="s">
        <v>198</v>
      </c>
      <c r="D538" s="28"/>
      <c r="E538" s="28"/>
      <c r="F538" s="41"/>
      <c r="G538" s="28"/>
      <c r="H538" s="37"/>
      <c r="I538" s="36" t="e">
        <f t="shared" si="33"/>
        <v>#DIV/0!</v>
      </c>
      <c r="J538" s="28"/>
      <c r="K538" s="28"/>
      <c r="L538" s="28"/>
      <c r="M538" s="4" t="e">
        <f t="shared" si="32"/>
        <v>#DIV/0!</v>
      </c>
      <c r="AJ538" s="26">
        <v>4.4937143159206102E-5</v>
      </c>
      <c r="AK538" s="26">
        <v>896.15050194660398</v>
      </c>
      <c r="AL538" s="11">
        <f t="shared" si="34"/>
        <v>3.6088378064881412E-3</v>
      </c>
      <c r="AP538" s="65" t="s">
        <v>161</v>
      </c>
      <c r="AQ538" s="76">
        <v>896.15050194660398</v>
      </c>
      <c r="AR538" s="76">
        <v>4.4937143159206102E-5</v>
      </c>
      <c r="BD538" s="21" t="s">
        <v>199</v>
      </c>
    </row>
    <row r="539" spans="1:56" x14ac:dyDescent="0.3">
      <c r="B539" s="11" t="s">
        <v>175</v>
      </c>
      <c r="C539" s="28" t="s">
        <v>198</v>
      </c>
      <c r="D539" s="28"/>
      <c r="E539" s="28"/>
      <c r="F539" s="41"/>
      <c r="G539" s="28"/>
      <c r="H539" s="37"/>
      <c r="I539" s="36" t="e">
        <f t="shared" si="33"/>
        <v>#DIV/0!</v>
      </c>
      <c r="J539" s="28"/>
      <c r="K539" s="28"/>
      <c r="L539" s="28"/>
      <c r="M539" s="4" t="e">
        <f t="shared" si="32"/>
        <v>#DIV/0!</v>
      </c>
      <c r="AJ539" s="26">
        <v>6.1178735492368306E-5</v>
      </c>
      <c r="AK539" s="26">
        <v>929.50978988064799</v>
      </c>
      <c r="AL539" s="11">
        <f t="shared" si="34"/>
        <v>5.2857720819440993E-3</v>
      </c>
      <c r="AP539" s="65" t="s">
        <v>161</v>
      </c>
      <c r="AQ539" s="76">
        <v>929.50978988064799</v>
      </c>
      <c r="AR539" s="76">
        <v>6.1178735492368306E-5</v>
      </c>
      <c r="BD539" s="21" t="s">
        <v>199</v>
      </c>
    </row>
    <row r="540" spans="1:56" x14ac:dyDescent="0.3">
      <c r="B540" s="11" t="s">
        <v>175</v>
      </c>
      <c r="C540" s="28" t="s">
        <v>198</v>
      </c>
      <c r="D540" s="28"/>
      <c r="E540" s="28"/>
      <c r="F540" s="41"/>
      <c r="G540" s="28"/>
      <c r="H540" s="37"/>
      <c r="I540" s="36" t="e">
        <f t="shared" si="33"/>
        <v>#DIV/0!</v>
      </c>
      <c r="J540" s="28"/>
      <c r="K540" s="28"/>
      <c r="L540" s="28"/>
      <c r="M540" s="4" t="e">
        <f t="shared" si="32"/>
        <v>#DIV/0!</v>
      </c>
      <c r="AJ540" s="26">
        <v>3.0123691312065301E-4</v>
      </c>
      <c r="AK540" s="26">
        <v>557.22647955071704</v>
      </c>
      <c r="AL540" s="11">
        <f t="shared" si="34"/>
        <v>9.3534468046938164E-3</v>
      </c>
      <c r="AP540" s="65" t="s">
        <v>161</v>
      </c>
      <c r="AQ540" s="76">
        <v>557.22647955071704</v>
      </c>
      <c r="AR540" s="76">
        <v>3.0123691312065301E-4</v>
      </c>
      <c r="BD540" s="21" t="s">
        <v>199</v>
      </c>
    </row>
    <row r="541" spans="1:56" x14ac:dyDescent="0.3">
      <c r="B541" s="11" t="s">
        <v>175</v>
      </c>
      <c r="C541" s="28" t="s">
        <v>198</v>
      </c>
      <c r="D541" s="28"/>
      <c r="E541" s="28"/>
      <c r="F541" s="41"/>
      <c r="G541" s="28"/>
      <c r="H541" s="37"/>
      <c r="I541" s="36" t="e">
        <f t="shared" si="33"/>
        <v>#DIV/0!</v>
      </c>
      <c r="J541" s="28"/>
      <c r="K541" s="28"/>
      <c r="L541" s="28"/>
      <c r="M541" s="4" t="e">
        <f t="shared" si="32"/>
        <v>#DIV/0!</v>
      </c>
      <c r="AJ541" s="26">
        <v>5.8780160722749202E-4</v>
      </c>
      <c r="AK541" s="26">
        <v>372.759372031493</v>
      </c>
      <c r="AL541" s="11">
        <f t="shared" si="34"/>
        <v>8.1674768482788446E-3</v>
      </c>
      <c r="AP541" s="65" t="s">
        <v>161</v>
      </c>
      <c r="AQ541" s="76">
        <v>372.759372031493</v>
      </c>
      <c r="AR541" s="76">
        <v>5.8780160722749202E-4</v>
      </c>
      <c r="BD541" s="21" t="s">
        <v>199</v>
      </c>
    </row>
    <row r="542" spans="1:56" x14ac:dyDescent="0.3">
      <c r="B542" s="11" t="s">
        <v>175</v>
      </c>
      <c r="C542" s="28" t="s">
        <v>198</v>
      </c>
      <c r="D542" s="28"/>
      <c r="E542" s="28"/>
      <c r="F542" s="41"/>
      <c r="G542" s="28"/>
      <c r="H542" s="37"/>
      <c r="I542" s="36" t="e">
        <f t="shared" si="33"/>
        <v>#DIV/0!</v>
      </c>
      <c r="J542" s="28"/>
      <c r="K542" s="28"/>
      <c r="L542" s="28"/>
      <c r="M542" s="4" t="e">
        <f t="shared" si="32"/>
        <v>#DIV/0!</v>
      </c>
      <c r="AJ542" s="26">
        <v>7.2203922941348002E-4</v>
      </c>
      <c r="AK542" s="26">
        <v>621.80010873209096</v>
      </c>
      <c r="AL542" s="11">
        <f t="shared" si="34"/>
        <v>2.7916590838729185E-2</v>
      </c>
      <c r="AP542" s="65" t="s">
        <v>161</v>
      </c>
      <c r="AQ542" s="76">
        <v>621.80010873209096</v>
      </c>
      <c r="AR542" s="76">
        <v>7.2203922941348002E-4</v>
      </c>
      <c r="BD542" s="21" t="s">
        <v>199</v>
      </c>
    </row>
    <row r="543" spans="1:56" x14ac:dyDescent="0.3">
      <c r="B543" s="11" t="s">
        <v>175</v>
      </c>
      <c r="C543" s="28" t="s">
        <v>198</v>
      </c>
      <c r="D543" s="28"/>
      <c r="E543" s="28"/>
      <c r="F543" s="41"/>
      <c r="G543" s="28"/>
      <c r="H543" s="37"/>
      <c r="I543" s="36" t="e">
        <f t="shared" si="33"/>
        <v>#DIV/0!</v>
      </c>
      <c r="J543" s="28"/>
      <c r="K543" s="28"/>
      <c r="L543" s="28"/>
      <c r="M543" s="4" t="e">
        <f t="shared" si="32"/>
        <v>#DIV/0!</v>
      </c>
      <c r="AJ543" s="26">
        <v>9.830052363342329E-4</v>
      </c>
      <c r="AK543" s="26">
        <v>644.946677103762</v>
      </c>
      <c r="AL543" s="11">
        <f t="shared" si="34"/>
        <v>4.0888713871573695E-2</v>
      </c>
      <c r="AP543" s="65" t="s">
        <v>161</v>
      </c>
      <c r="AQ543" s="76">
        <v>644.946677103762</v>
      </c>
      <c r="AR543" s="76">
        <v>9.830052363342329E-4</v>
      </c>
      <c r="BD543" s="21" t="s">
        <v>199</v>
      </c>
    </row>
    <row r="544" spans="1:56" x14ac:dyDescent="0.3">
      <c r="B544" s="11" t="s">
        <v>175</v>
      </c>
      <c r="C544" s="28" t="s">
        <v>198</v>
      </c>
      <c r="D544" s="28"/>
      <c r="E544" s="28"/>
      <c r="F544" s="41"/>
      <c r="G544" s="28"/>
      <c r="H544" s="37"/>
      <c r="I544" s="36" t="e">
        <f t="shared" si="33"/>
        <v>#DIV/0!</v>
      </c>
      <c r="J544" s="28"/>
      <c r="K544" s="28"/>
      <c r="L544" s="28"/>
      <c r="M544" s="4" t="e">
        <f t="shared" ref="M544:M607" si="35">K544/L544</f>
        <v>#DIV/0!</v>
      </c>
      <c r="AJ544" s="26">
        <v>5.6475624525178696E-3</v>
      </c>
      <c r="AK544" s="26">
        <v>401.02791394951998</v>
      </c>
      <c r="AL544" s="11">
        <f t="shared" si="34"/>
        <v>9.0826012623795707E-2</v>
      </c>
      <c r="AP544" s="65" t="s">
        <v>161</v>
      </c>
      <c r="AQ544" s="76">
        <v>401.02791394951998</v>
      </c>
      <c r="AR544" s="76">
        <v>5.6475624525178696E-3</v>
      </c>
      <c r="BD544" s="21" t="s">
        <v>199</v>
      </c>
    </row>
    <row r="545" spans="2:56" x14ac:dyDescent="0.3">
      <c r="B545" s="11" t="s">
        <v>175</v>
      </c>
      <c r="C545" s="28" t="s">
        <v>198</v>
      </c>
      <c r="D545" s="28"/>
      <c r="E545" s="28"/>
      <c r="F545" s="41"/>
      <c r="G545" s="28"/>
      <c r="H545" s="37"/>
      <c r="I545" s="36" t="e">
        <f t="shared" si="33"/>
        <v>#DIV/0!</v>
      </c>
      <c r="J545" s="28"/>
      <c r="K545" s="28"/>
      <c r="L545" s="28"/>
      <c r="M545" s="4" t="e">
        <f t="shared" si="35"/>
        <v>#DIV/0!</v>
      </c>
      <c r="AJ545" s="26">
        <v>3.08200789505375E-2</v>
      </c>
      <c r="AK545" s="26">
        <v>359.381366380462</v>
      </c>
      <c r="AL545" s="11">
        <f t="shared" si="34"/>
        <v>0.39805662644298817</v>
      </c>
      <c r="AP545" s="65" t="s">
        <v>161</v>
      </c>
      <c r="AQ545" s="76">
        <v>359.381366380462</v>
      </c>
      <c r="AR545" s="76">
        <v>3.08200789505375E-2</v>
      </c>
      <c r="BD545" s="21" t="s">
        <v>199</v>
      </c>
    </row>
    <row r="546" spans="2:56" x14ac:dyDescent="0.3">
      <c r="B546" s="11" t="s">
        <v>175</v>
      </c>
      <c r="C546" s="28" t="s">
        <v>198</v>
      </c>
      <c r="D546" s="28"/>
      <c r="E546" s="28"/>
      <c r="F546" s="41"/>
      <c r="G546" s="28"/>
      <c r="H546" s="37"/>
      <c r="I546" s="36" t="e">
        <f t="shared" si="33"/>
        <v>#DIV/0!</v>
      </c>
      <c r="J546" s="28"/>
      <c r="K546" s="28"/>
      <c r="L546" s="28"/>
      <c r="M546" s="4" t="e">
        <f t="shared" si="35"/>
        <v>#DIV/0!</v>
      </c>
      <c r="AJ546" s="26">
        <v>2.3832588580853801E-2</v>
      </c>
      <c r="AK546" s="26">
        <v>179.460244029731</v>
      </c>
      <c r="AL546" s="11">
        <f t="shared" si="34"/>
        <v>7.6755185181233046E-2</v>
      </c>
      <c r="AP546" s="65" t="s">
        <v>161</v>
      </c>
      <c r="AQ546" s="76">
        <v>179.460244029731</v>
      </c>
      <c r="AR546" s="76">
        <v>2.3832588580853801E-2</v>
      </c>
      <c r="BD546" s="21" t="s">
        <v>199</v>
      </c>
    </row>
    <row r="547" spans="2:56" x14ac:dyDescent="0.3">
      <c r="B547" s="11" t="s">
        <v>175</v>
      </c>
      <c r="C547" s="28" t="s">
        <v>198</v>
      </c>
      <c r="D547" s="28"/>
      <c r="E547" s="28"/>
      <c r="F547" s="41"/>
      <c r="G547" s="28"/>
      <c r="H547" s="37"/>
      <c r="I547" s="36" t="e">
        <f t="shared" si="33"/>
        <v>#DIV/0!</v>
      </c>
      <c r="J547" s="28"/>
      <c r="K547" s="28"/>
      <c r="L547" s="28"/>
      <c r="M547" s="4" t="e">
        <f t="shared" si="35"/>
        <v>#DIV/0!</v>
      </c>
      <c r="AJ547" s="26">
        <v>0.100572996445752</v>
      </c>
      <c r="AK547" s="26">
        <v>166.81005372000499</v>
      </c>
      <c r="AL547" s="11">
        <f t="shared" si="34"/>
        <v>0.27985033686826793</v>
      </c>
      <c r="AP547" s="65" t="s">
        <v>161</v>
      </c>
      <c r="AQ547" s="76">
        <v>166.81005372000499</v>
      </c>
      <c r="AR547" s="76">
        <v>0.100572996445752</v>
      </c>
      <c r="BD547" s="21" t="s">
        <v>199</v>
      </c>
    </row>
    <row r="548" spans="2:56" x14ac:dyDescent="0.3">
      <c r="B548" s="11" t="s">
        <v>175</v>
      </c>
      <c r="C548" s="28" t="s">
        <v>198</v>
      </c>
      <c r="D548" s="28"/>
      <c r="E548" s="28"/>
      <c r="F548" s="41"/>
      <c r="G548" s="28"/>
      <c r="H548" s="37"/>
      <c r="I548" s="36" t="e">
        <f t="shared" si="33"/>
        <v>#DIV/0!</v>
      </c>
      <c r="J548" s="28"/>
      <c r="K548" s="28"/>
      <c r="L548" s="28"/>
      <c r="M548" s="4" t="e">
        <f t="shared" si="35"/>
        <v>#DIV/0!</v>
      </c>
      <c r="AJ548" s="26">
        <v>0.18641096900630999</v>
      </c>
      <c r="AK548" s="26">
        <v>133.96277245180099</v>
      </c>
      <c r="AL548" s="11">
        <f t="shared" si="34"/>
        <v>0.3345335798769084</v>
      </c>
      <c r="AP548" s="65" t="s">
        <v>161</v>
      </c>
      <c r="AQ548" s="76">
        <v>133.96277245180099</v>
      </c>
      <c r="AR548" s="76">
        <v>0.18641096900630999</v>
      </c>
      <c r="BD548" s="21" t="s">
        <v>199</v>
      </c>
    </row>
    <row r="549" spans="2:56" x14ac:dyDescent="0.3">
      <c r="B549" s="11" t="s">
        <v>175</v>
      </c>
      <c r="C549" s="28" t="s">
        <v>198</v>
      </c>
      <c r="D549" s="28"/>
      <c r="E549" s="28"/>
      <c r="F549" s="41"/>
      <c r="G549" s="28"/>
      <c r="H549" s="37"/>
      <c r="I549" s="36" t="e">
        <f t="shared" si="33"/>
        <v>#DIV/0!</v>
      </c>
      <c r="J549" s="28"/>
      <c r="K549" s="28"/>
      <c r="L549" s="28"/>
      <c r="M549" s="4" t="e">
        <f t="shared" si="35"/>
        <v>#DIV/0!</v>
      </c>
      <c r="AJ549" s="26">
        <v>0.21750486862053001</v>
      </c>
      <c r="AK549" s="26">
        <v>120.05080577484</v>
      </c>
      <c r="AL549" s="11">
        <f t="shared" si="34"/>
        <v>0.31347227903766361</v>
      </c>
      <c r="AP549" s="65" t="s">
        <v>161</v>
      </c>
      <c r="AQ549" s="76">
        <v>120.05080577484</v>
      </c>
      <c r="AR549" s="76">
        <v>0.21750486862053001</v>
      </c>
      <c r="BD549" s="21" t="s">
        <v>199</v>
      </c>
    </row>
    <row r="550" spans="2:56" x14ac:dyDescent="0.3">
      <c r="B550" s="11" t="s">
        <v>175</v>
      </c>
      <c r="C550" s="28" t="s">
        <v>198</v>
      </c>
      <c r="D550" s="28"/>
      <c r="E550" s="28"/>
      <c r="F550" s="41"/>
      <c r="G550" s="28"/>
      <c r="H550" s="37"/>
      <c r="I550" s="36" t="e">
        <f t="shared" si="33"/>
        <v>#DIV/0!</v>
      </c>
      <c r="J550" s="28"/>
      <c r="K550" s="28"/>
      <c r="L550" s="28"/>
      <c r="M550" s="4" t="e">
        <f t="shared" si="35"/>
        <v>#DIV/0!</v>
      </c>
      <c r="AJ550" s="26">
        <v>0.22898207619810801</v>
      </c>
      <c r="AK550" s="26">
        <v>124.519708473503</v>
      </c>
      <c r="AL550" s="11">
        <f t="shared" si="34"/>
        <v>0.3550403224440013</v>
      </c>
      <c r="AP550" s="65" t="s">
        <v>161</v>
      </c>
      <c r="AQ550" s="76">
        <v>124.519708473503</v>
      </c>
      <c r="AR550" s="76">
        <v>0.22898207619810801</v>
      </c>
      <c r="BD550" s="21" t="s">
        <v>199</v>
      </c>
    </row>
    <row r="551" spans="2:56" x14ac:dyDescent="0.3">
      <c r="B551" s="11" t="s">
        <v>175</v>
      </c>
      <c r="C551" s="28" t="s">
        <v>198</v>
      </c>
      <c r="D551" s="28"/>
      <c r="E551" s="28"/>
      <c r="F551" s="41"/>
      <c r="G551" s="28"/>
      <c r="H551" s="37"/>
      <c r="I551" s="36" t="e">
        <f t="shared" si="33"/>
        <v>#DIV/0!</v>
      </c>
      <c r="J551" s="28"/>
      <c r="K551" s="28"/>
      <c r="L551" s="28"/>
      <c r="M551" s="4" t="e">
        <f t="shared" si="35"/>
        <v>#DIV/0!</v>
      </c>
      <c r="AJ551" s="26">
        <v>0.28127524629852402</v>
      </c>
      <c r="AK551" s="26">
        <v>107.583589854217</v>
      </c>
      <c r="AL551" s="11">
        <f t="shared" si="34"/>
        <v>0.32555440581007267</v>
      </c>
      <c r="AP551" s="65" t="s">
        <v>161</v>
      </c>
      <c r="AQ551" s="76">
        <v>107.583589854217</v>
      </c>
      <c r="AR551" s="76">
        <v>0.28127524629852402</v>
      </c>
      <c r="BD551" s="21" t="s">
        <v>199</v>
      </c>
    </row>
    <row r="552" spans="2:56" x14ac:dyDescent="0.3">
      <c r="B552" s="11" t="s">
        <v>175</v>
      </c>
      <c r="C552" s="28" t="s">
        <v>198</v>
      </c>
      <c r="D552" s="28"/>
      <c r="E552" s="28"/>
      <c r="F552" s="41"/>
      <c r="G552" s="28"/>
      <c r="H552" s="37"/>
      <c r="I552" s="36" t="e">
        <f t="shared" si="33"/>
        <v>#DIV/0!</v>
      </c>
      <c r="J552" s="28"/>
      <c r="K552" s="28"/>
      <c r="L552" s="28"/>
      <c r="M552" s="4" t="e">
        <f t="shared" si="35"/>
        <v>#DIV/0!</v>
      </c>
      <c r="AJ552" s="26">
        <v>0.28127524629852502</v>
      </c>
      <c r="AK552" s="26">
        <v>100</v>
      </c>
      <c r="AL552" s="11">
        <f t="shared" si="34"/>
        <v>0.28127524629852502</v>
      </c>
      <c r="AP552" s="65" t="s">
        <v>161</v>
      </c>
      <c r="AQ552" s="76">
        <v>100</v>
      </c>
      <c r="AR552" s="76">
        <v>0.28127524629852502</v>
      </c>
      <c r="BD552" s="21" t="s">
        <v>199</v>
      </c>
    </row>
    <row r="553" spans="2:56" x14ac:dyDescent="0.3">
      <c r="B553" s="11" t="s">
        <v>175</v>
      </c>
      <c r="C553" s="28" t="s">
        <v>198</v>
      </c>
      <c r="D553" s="28"/>
      <c r="E553" s="28"/>
      <c r="F553" s="41"/>
      <c r="G553" s="28"/>
      <c r="H553" s="37"/>
      <c r="I553" s="36" t="e">
        <f t="shared" si="33"/>
        <v>#DIV/0!</v>
      </c>
      <c r="J553" s="28"/>
      <c r="K553" s="28"/>
      <c r="L553" s="28"/>
      <c r="M553" s="4" t="e">
        <f t="shared" si="35"/>
        <v>#DIV/0!</v>
      </c>
      <c r="AJ553" s="26">
        <v>0.32819278725114698</v>
      </c>
      <c r="AK553" s="26">
        <v>103.722509540705</v>
      </c>
      <c r="AL553" s="11">
        <f t="shared" si="34"/>
        <v>0.35308158216739499</v>
      </c>
      <c r="AP553" s="65" t="s">
        <v>161</v>
      </c>
      <c r="AQ553" s="76">
        <v>103.722509540705</v>
      </c>
      <c r="AR553" s="76">
        <v>0.32819278725114698</v>
      </c>
      <c r="BD553" s="21" t="s">
        <v>199</v>
      </c>
    </row>
    <row r="554" spans="2:56" x14ac:dyDescent="0.3">
      <c r="B554" s="11" t="s">
        <v>175</v>
      </c>
      <c r="C554" s="28" t="s">
        <v>198</v>
      </c>
      <c r="D554" s="28"/>
      <c r="E554" s="28"/>
      <c r="F554" s="41"/>
      <c r="G554" s="28"/>
      <c r="H554" s="37"/>
      <c r="I554" s="36" t="e">
        <f t="shared" si="33"/>
        <v>#DIV/0!</v>
      </c>
      <c r="J554" s="28"/>
      <c r="K554" s="28"/>
      <c r="L554" s="28"/>
      <c r="M554" s="4" t="e">
        <f t="shared" si="35"/>
        <v>#DIV/0!</v>
      </c>
      <c r="AJ554" s="26">
        <v>0.32819278725114698</v>
      </c>
      <c r="AK554" s="26">
        <v>100</v>
      </c>
      <c r="AL554" s="11">
        <f t="shared" si="34"/>
        <v>0.32819278725114698</v>
      </c>
      <c r="AP554" s="65" t="s">
        <v>161</v>
      </c>
      <c r="AQ554" s="76">
        <v>100</v>
      </c>
      <c r="AR554" s="76">
        <v>0.32819278725114698</v>
      </c>
      <c r="BD554" s="21" t="s">
        <v>199</v>
      </c>
    </row>
    <row r="555" spans="2:56" x14ac:dyDescent="0.3">
      <c r="B555" s="11" t="s">
        <v>175</v>
      </c>
      <c r="C555" s="28" t="s">
        <v>198</v>
      </c>
      <c r="D555" s="28"/>
      <c r="E555" s="28"/>
      <c r="F555" s="41"/>
      <c r="G555" s="28"/>
      <c r="H555" s="37"/>
      <c r="I555" s="36" t="e">
        <f t="shared" si="33"/>
        <v>#DIV/0!</v>
      </c>
      <c r="J555" s="28"/>
      <c r="K555" s="28"/>
      <c r="L555" s="28"/>
      <c r="M555" s="4" t="e">
        <f t="shared" si="35"/>
        <v>#DIV/0!</v>
      </c>
      <c r="AJ555" s="26">
        <v>0.47038837009447199</v>
      </c>
      <c r="AK555" s="26">
        <v>103.722509540705</v>
      </c>
      <c r="AL555" s="11">
        <f t="shared" si="34"/>
        <v>0.50606069480437021</v>
      </c>
      <c r="AP555" s="65" t="s">
        <v>161</v>
      </c>
      <c r="AQ555" s="76">
        <v>103.722509540705</v>
      </c>
      <c r="AR555" s="76">
        <v>0.47038837009447199</v>
      </c>
      <c r="BD555" s="21" t="s">
        <v>199</v>
      </c>
    </row>
    <row r="556" spans="2:56" x14ac:dyDescent="0.3">
      <c r="B556" s="11" t="s">
        <v>175</v>
      </c>
      <c r="C556" s="28" t="s">
        <v>198</v>
      </c>
      <c r="D556" s="28"/>
      <c r="E556" s="28"/>
      <c r="F556" s="41"/>
      <c r="G556" s="28"/>
      <c r="H556" s="37"/>
      <c r="I556" s="36" t="e">
        <f t="shared" si="33"/>
        <v>#DIV/0!</v>
      </c>
      <c r="J556" s="28"/>
      <c r="K556" s="28"/>
      <c r="L556" s="28"/>
      <c r="M556" s="4" t="e">
        <f t="shared" si="35"/>
        <v>#DIV/0!</v>
      </c>
      <c r="AJ556" s="26">
        <v>19.072034441275701</v>
      </c>
      <c r="AK556" s="26">
        <v>64.494667710376206</v>
      </c>
      <c r="AL556" s="11">
        <f t="shared" si="34"/>
        <v>7.9331312834733438</v>
      </c>
      <c r="AP556" s="65" t="s">
        <v>161</v>
      </c>
      <c r="AQ556" s="76">
        <v>64.494667710376206</v>
      </c>
      <c r="AR556" s="76">
        <v>19.072034441275701</v>
      </c>
      <c r="BD556" s="21" t="s">
        <v>199</v>
      </c>
    </row>
    <row r="557" spans="2:56" x14ac:dyDescent="0.3">
      <c r="B557" s="11" t="s">
        <v>175</v>
      </c>
      <c r="C557" s="28" t="s">
        <v>198</v>
      </c>
      <c r="D557" s="28"/>
      <c r="E557" s="28"/>
      <c r="F557" s="41"/>
      <c r="G557" s="28"/>
      <c r="H557" s="37"/>
      <c r="I557" s="36" t="e">
        <f t="shared" si="33"/>
        <v>#DIV/0!</v>
      </c>
      <c r="J557" s="28"/>
      <c r="K557" s="28"/>
      <c r="L557" s="28"/>
      <c r="M557" s="4" t="e">
        <f t="shared" si="35"/>
        <v>#DIV/0!</v>
      </c>
      <c r="AJ557" s="26">
        <v>20.0784197217409</v>
      </c>
      <c r="AK557" s="26">
        <v>62.180010873209099</v>
      </c>
      <c r="AL557" s="11">
        <f t="shared" si="34"/>
        <v>7.7630273429246852</v>
      </c>
      <c r="AP557" s="65" t="s">
        <v>161</v>
      </c>
      <c r="AQ557" s="76">
        <v>62.180010873209099</v>
      </c>
      <c r="AR557" s="76">
        <v>20.0784197217409</v>
      </c>
      <c r="BD557" s="21" t="s">
        <v>199</v>
      </c>
    </row>
    <row r="558" spans="2:56" x14ac:dyDescent="0.3">
      <c r="B558" s="11" t="s">
        <v>175</v>
      </c>
      <c r="C558" s="28" t="s">
        <v>198</v>
      </c>
      <c r="D558" s="28"/>
      <c r="E558" s="28"/>
      <c r="F558" s="41"/>
      <c r="G558" s="28"/>
      <c r="H558" s="37"/>
      <c r="I558" s="36" t="e">
        <f t="shared" si="33"/>
        <v>#DIV/0!</v>
      </c>
      <c r="J558" s="28"/>
      <c r="K558" s="28"/>
      <c r="L558" s="28"/>
      <c r="M558" s="4" t="e">
        <f t="shared" si="35"/>
        <v>#DIV/0!</v>
      </c>
      <c r="AJ558" s="26">
        <v>25.965223161835599</v>
      </c>
      <c r="AK558" s="26">
        <v>55.7226479550717</v>
      </c>
      <c r="AL558" s="11">
        <f t="shared" si="34"/>
        <v>8.0622368321428031</v>
      </c>
      <c r="AP558" s="65" t="s">
        <v>161</v>
      </c>
      <c r="AQ558" s="76">
        <v>55.7226479550717</v>
      </c>
      <c r="AR558" s="76">
        <v>25.965223161835599</v>
      </c>
      <c r="BD558" s="21" t="s">
        <v>199</v>
      </c>
    </row>
    <row r="559" spans="2:56" x14ac:dyDescent="0.3">
      <c r="B559" s="11" t="s">
        <v>175</v>
      </c>
      <c r="C559" s="28" t="s">
        <v>198</v>
      </c>
      <c r="D559" s="28"/>
      <c r="E559" s="28"/>
      <c r="F559" s="41"/>
      <c r="G559" s="28"/>
      <c r="H559" s="37"/>
      <c r="I559" s="36" t="e">
        <f t="shared" si="33"/>
        <v>#DIV/0!</v>
      </c>
      <c r="J559" s="28"/>
      <c r="K559" s="28"/>
      <c r="L559" s="28"/>
      <c r="M559" s="4" t="e">
        <f t="shared" si="35"/>
        <v>#DIV/0!</v>
      </c>
      <c r="AJ559" s="26">
        <v>27.3353453936577</v>
      </c>
      <c r="AK559" s="26">
        <v>57.796928841533102</v>
      </c>
      <c r="AL559" s="11">
        <f t="shared" si="34"/>
        <v>9.1313310806661399</v>
      </c>
      <c r="AP559" s="65" t="s">
        <v>161</v>
      </c>
      <c r="AQ559" s="76">
        <v>57.796928841533102</v>
      </c>
      <c r="AR559" s="76">
        <v>27.3353453936577</v>
      </c>
      <c r="BD559" s="21" t="s">
        <v>199</v>
      </c>
    </row>
    <row r="560" spans="2:56" x14ac:dyDescent="0.3">
      <c r="B560" s="11" t="s">
        <v>175</v>
      </c>
      <c r="C560" s="28" t="s">
        <v>198</v>
      </c>
      <c r="D560" s="28"/>
      <c r="E560" s="28"/>
      <c r="F560" s="41"/>
      <c r="G560" s="28"/>
      <c r="H560" s="37"/>
      <c r="I560" s="36" t="e">
        <f t="shared" si="33"/>
        <v>#DIV/0!</v>
      </c>
      <c r="J560" s="28"/>
      <c r="K560" s="28"/>
      <c r="L560" s="28"/>
      <c r="M560" s="4" t="e">
        <f t="shared" si="35"/>
        <v>#DIV/0!</v>
      </c>
      <c r="AJ560" s="26">
        <v>28.777765672695899</v>
      </c>
      <c r="AK560" s="26">
        <v>59.948425031893997</v>
      </c>
      <c r="AL560" s="11">
        <f t="shared" si="34"/>
        <v>10.342192748830193</v>
      </c>
      <c r="AP560" s="65" t="s">
        <v>161</v>
      </c>
      <c r="AQ560" s="76">
        <v>59.948425031893997</v>
      </c>
      <c r="AR560" s="76">
        <v>28.777765672695899</v>
      </c>
      <c r="BD560" s="21" t="s">
        <v>199</v>
      </c>
    </row>
    <row r="561" spans="2:56" x14ac:dyDescent="0.3">
      <c r="B561" s="11" t="s">
        <v>176</v>
      </c>
      <c r="C561" s="28" t="s">
        <v>187</v>
      </c>
      <c r="D561" s="28"/>
      <c r="E561" s="28"/>
      <c r="F561" s="41"/>
      <c r="G561" s="28"/>
      <c r="H561" s="37"/>
      <c r="I561" s="36" t="e">
        <f t="shared" si="33"/>
        <v>#DIV/0!</v>
      </c>
      <c r="J561" s="28"/>
      <c r="K561" s="28"/>
      <c r="L561" s="28"/>
      <c r="M561" s="4" t="e">
        <f t="shared" si="35"/>
        <v>#DIV/0!</v>
      </c>
      <c r="AJ561" s="25">
        <v>5.5833938392776505E-4</v>
      </c>
      <c r="AK561" s="25">
        <v>719.68567300115205</v>
      </c>
      <c r="AL561" s="11">
        <f t="shared" si="34"/>
        <v>2.8919047014714136E-2</v>
      </c>
      <c r="AP561" s="65" t="s">
        <v>161</v>
      </c>
      <c r="AQ561" s="66">
        <v>719.68567300115205</v>
      </c>
      <c r="AR561" s="66">
        <v>5.5833938392776505E-4</v>
      </c>
      <c r="BD561" s="21" t="s">
        <v>199</v>
      </c>
    </row>
    <row r="562" spans="2:56" x14ac:dyDescent="0.3">
      <c r="B562" s="11" t="s">
        <v>176</v>
      </c>
      <c r="C562" s="28" t="s">
        <v>187</v>
      </c>
      <c r="D562" s="28"/>
      <c r="E562" s="28"/>
      <c r="F562" s="41"/>
      <c r="G562" s="28"/>
      <c r="H562" s="37"/>
      <c r="I562" s="36" t="e">
        <f t="shared" si="33"/>
        <v>#DIV/0!</v>
      </c>
      <c r="J562" s="28"/>
      <c r="K562" s="28"/>
      <c r="L562" s="28"/>
      <c r="M562" s="4" t="e">
        <f t="shared" si="35"/>
        <v>#DIV/0!</v>
      </c>
      <c r="AJ562" s="25">
        <v>5.3644911848838E-3</v>
      </c>
      <c r="AK562" s="25">
        <v>557.22647955071602</v>
      </c>
      <c r="AL562" s="11">
        <f t="shared" si="34"/>
        <v>0.16656817523542472</v>
      </c>
      <c r="AP562" s="65" t="s">
        <v>161</v>
      </c>
      <c r="AQ562" s="66">
        <v>557.22647955071602</v>
      </c>
      <c r="AR562" s="66">
        <v>5.3644911848838E-3</v>
      </c>
      <c r="BD562" s="21" t="s">
        <v>199</v>
      </c>
    </row>
    <row r="563" spans="2:56" x14ac:dyDescent="0.3">
      <c r="B563" s="11" t="s">
        <v>176</v>
      </c>
      <c r="C563" s="28" t="s">
        <v>187</v>
      </c>
      <c r="D563" s="28"/>
      <c r="E563" s="28"/>
      <c r="F563" s="41"/>
      <c r="G563" s="28"/>
      <c r="H563" s="37"/>
      <c r="I563" s="36" t="e">
        <f t="shared" si="33"/>
        <v>#DIV/0!</v>
      </c>
      <c r="J563" s="28"/>
      <c r="K563" s="28"/>
      <c r="L563" s="28"/>
      <c r="M563" s="4" t="e">
        <f t="shared" si="35"/>
        <v>#DIV/0!</v>
      </c>
      <c r="AJ563" s="25">
        <v>5.9455707085443897E-3</v>
      </c>
      <c r="AK563" s="25">
        <v>372.759372031493</v>
      </c>
      <c r="AL563" s="11">
        <f t="shared" si="34"/>
        <v>8.2613437109992888E-2</v>
      </c>
      <c r="AP563" s="65" t="s">
        <v>161</v>
      </c>
      <c r="AQ563" s="66">
        <v>372.759372031493</v>
      </c>
      <c r="AR563" s="66">
        <v>5.9455707085443897E-3</v>
      </c>
      <c r="BD563" s="21" t="s">
        <v>199</v>
      </c>
    </row>
    <row r="564" spans="2:56" x14ac:dyDescent="0.3">
      <c r="B564" s="11" t="s">
        <v>176</v>
      </c>
      <c r="C564" s="28" t="s">
        <v>187</v>
      </c>
      <c r="D564" s="28"/>
      <c r="E564" s="28"/>
      <c r="F564" s="41"/>
      <c r="G564" s="28"/>
      <c r="H564" s="37"/>
      <c r="I564" s="36" t="e">
        <f t="shared" si="33"/>
        <v>#DIV/0!</v>
      </c>
      <c r="J564" s="28"/>
      <c r="K564" s="28"/>
      <c r="L564" s="28"/>
      <c r="M564" s="4" t="e">
        <f t="shared" si="35"/>
        <v>#DIV/0!</v>
      </c>
      <c r="AJ564" s="25">
        <v>6.93730944444717E-3</v>
      </c>
      <c r="AK564" s="25">
        <v>386.63537521924002</v>
      </c>
      <c r="AL564" s="11">
        <f t="shared" si="34"/>
        <v>0.10370369759493567</v>
      </c>
      <c r="AP564" s="65" t="s">
        <v>161</v>
      </c>
      <c r="AQ564" s="66">
        <v>386.63537521924002</v>
      </c>
      <c r="AR564" s="66">
        <v>6.93730944444717E-3</v>
      </c>
      <c r="BD564" s="21" t="s">
        <v>199</v>
      </c>
    </row>
    <row r="565" spans="2:56" x14ac:dyDescent="0.3">
      <c r="B565" s="11" t="s">
        <v>176</v>
      </c>
      <c r="C565" s="28" t="s">
        <v>187</v>
      </c>
      <c r="D565" s="28"/>
      <c r="E565" s="28"/>
      <c r="F565" s="41"/>
      <c r="G565" s="28"/>
      <c r="H565" s="37"/>
      <c r="I565" s="36" t="e">
        <f t="shared" si="33"/>
        <v>#DIV/0!</v>
      </c>
      <c r="J565" s="28"/>
      <c r="K565" s="28"/>
      <c r="L565" s="28"/>
      <c r="M565" s="4" t="e">
        <f t="shared" si="35"/>
        <v>#DIV/0!</v>
      </c>
      <c r="AJ565" s="25">
        <v>8.0944731275088104E-3</v>
      </c>
      <c r="AK565" s="25">
        <v>386.63537521924002</v>
      </c>
      <c r="AL565" s="11">
        <f t="shared" si="34"/>
        <v>0.12100178031951699</v>
      </c>
      <c r="AP565" s="65" t="s">
        <v>161</v>
      </c>
      <c r="AQ565" s="66">
        <v>386.63537521924002</v>
      </c>
      <c r="AR565" s="66">
        <v>8.0944731275088104E-3</v>
      </c>
      <c r="BD565" s="21" t="s">
        <v>199</v>
      </c>
    </row>
    <row r="566" spans="2:56" x14ac:dyDescent="0.3">
      <c r="B566" s="11" t="s">
        <v>176</v>
      </c>
      <c r="C566" s="28" t="s">
        <v>187</v>
      </c>
      <c r="D566" s="28"/>
      <c r="E566" s="28"/>
      <c r="F566" s="41"/>
      <c r="G566" s="28"/>
      <c r="H566" s="37"/>
      <c r="I566" s="36" t="e">
        <f t="shared" si="33"/>
        <v>#DIV/0!</v>
      </c>
      <c r="J566" s="28"/>
      <c r="K566" s="28"/>
      <c r="L566" s="28"/>
      <c r="M566" s="4" t="e">
        <f t="shared" si="35"/>
        <v>#DIV/0!</v>
      </c>
      <c r="AJ566" s="25">
        <v>1.16015530173997E-2</v>
      </c>
      <c r="AK566" s="25">
        <v>431.44022614437699</v>
      </c>
      <c r="AL566" s="11">
        <f t="shared" si="34"/>
        <v>0.21595208370292676</v>
      </c>
      <c r="AP566" s="65" t="s">
        <v>161</v>
      </c>
      <c r="AQ566" s="66">
        <v>431.44022614437699</v>
      </c>
      <c r="AR566" s="66">
        <v>1.16015530173997E-2</v>
      </c>
      <c r="BD566" s="21" t="s">
        <v>199</v>
      </c>
    </row>
    <row r="567" spans="2:56" x14ac:dyDescent="0.3">
      <c r="B567" s="11" t="s">
        <v>176</v>
      </c>
      <c r="C567" s="28" t="s">
        <v>187</v>
      </c>
      <c r="D567" s="28"/>
      <c r="E567" s="28"/>
      <c r="F567" s="41"/>
      <c r="G567" s="28"/>
      <c r="H567" s="37"/>
      <c r="I567" s="36" t="e">
        <f t="shared" si="33"/>
        <v>#DIV/0!</v>
      </c>
      <c r="J567" s="28"/>
      <c r="K567" s="28"/>
      <c r="L567" s="28"/>
      <c r="M567" s="4" t="e">
        <f t="shared" si="35"/>
        <v>#DIV/0!</v>
      </c>
      <c r="AJ567" s="25">
        <v>1.6628140003098701E-2</v>
      </c>
      <c r="AK567" s="25">
        <v>346.48348557303598</v>
      </c>
      <c r="AL567" s="11">
        <f t="shared" si="34"/>
        <v>0.19962216059088533</v>
      </c>
      <c r="AP567" s="65" t="s">
        <v>161</v>
      </c>
      <c r="AQ567" s="66">
        <v>346.48348557303598</v>
      </c>
      <c r="AR567" s="66">
        <v>1.6628140003098701E-2</v>
      </c>
      <c r="BD567" s="21" t="s">
        <v>199</v>
      </c>
    </row>
    <row r="568" spans="2:56" x14ac:dyDescent="0.3">
      <c r="B568" s="11" t="s">
        <v>176</v>
      </c>
      <c r="C568" s="28" t="s">
        <v>187</v>
      </c>
      <c r="D568" s="28"/>
      <c r="E568" s="28"/>
      <c r="F568" s="41"/>
      <c r="G568" s="28"/>
      <c r="H568" s="37"/>
      <c r="I568" s="36" t="e">
        <f t="shared" si="33"/>
        <v>#DIV/0!</v>
      </c>
      <c r="J568" s="28"/>
      <c r="K568" s="28"/>
      <c r="L568" s="28"/>
      <c r="M568" s="4" t="e">
        <f t="shared" si="35"/>
        <v>#DIV/0!</v>
      </c>
      <c r="AJ568" s="25">
        <v>1.94017628150162E-2</v>
      </c>
      <c r="AK568" s="25">
        <v>207.711392596645</v>
      </c>
      <c r="AL568" s="11">
        <f t="shared" si="34"/>
        <v>8.3707009365101323E-2</v>
      </c>
      <c r="AP568" s="65" t="s">
        <v>161</v>
      </c>
      <c r="AQ568" s="66">
        <v>207.711392596645</v>
      </c>
      <c r="AR568" s="66">
        <v>1.94017628150162E-2</v>
      </c>
      <c r="BD568" s="21" t="s">
        <v>199</v>
      </c>
    </row>
    <row r="569" spans="2:56" x14ac:dyDescent="0.3">
      <c r="B569" s="11" t="s">
        <v>176</v>
      </c>
      <c r="C569" s="28" t="s">
        <v>187</v>
      </c>
      <c r="D569" s="28"/>
      <c r="E569" s="28"/>
      <c r="F569" s="41"/>
      <c r="G569" s="28"/>
      <c r="H569" s="37"/>
      <c r="I569" s="36" t="e">
        <f t="shared" si="33"/>
        <v>#DIV/0!</v>
      </c>
      <c r="J569" s="28"/>
      <c r="K569" s="28"/>
      <c r="L569" s="28"/>
      <c r="M569" s="4" t="e">
        <f t="shared" si="35"/>
        <v>#DIV/0!</v>
      </c>
      <c r="AJ569" s="25">
        <v>3.5960959050559502E-2</v>
      </c>
      <c r="AK569" s="25">
        <v>278.25594022071198</v>
      </c>
      <c r="AL569" s="11">
        <f t="shared" si="34"/>
        <v>0.27843264587231309</v>
      </c>
      <c r="AP569" s="65" t="s">
        <v>161</v>
      </c>
      <c r="AQ569" s="66">
        <v>278.25594022071198</v>
      </c>
      <c r="AR569" s="66">
        <v>3.5960959050559502E-2</v>
      </c>
      <c r="BD569" s="21" t="s">
        <v>199</v>
      </c>
    </row>
    <row r="570" spans="2:56" x14ac:dyDescent="0.3">
      <c r="B570" s="11" t="s">
        <v>176</v>
      </c>
      <c r="C570" s="28" t="s">
        <v>187</v>
      </c>
      <c r="D570" s="28"/>
      <c r="E570" s="28"/>
      <c r="F570" s="41"/>
      <c r="G570" s="28"/>
      <c r="H570" s="37"/>
      <c r="I570" s="36" t="e">
        <f t="shared" ref="I570:I633" si="36">((K570)*1000)/H570</f>
        <v>#DIV/0!</v>
      </c>
      <c r="J570" s="28"/>
      <c r="K570" s="28"/>
      <c r="L570" s="28"/>
      <c r="M570" s="4" t="e">
        <f t="shared" si="35"/>
        <v>#DIV/0!</v>
      </c>
      <c r="AJ570" s="25">
        <v>0.26717696209304198</v>
      </c>
      <c r="AK570" s="25">
        <v>138.94954943731301</v>
      </c>
      <c r="AL570" s="11">
        <f t="shared" ref="AL570:AL633" si="37">((AK570)^2*AJ570)/10000</f>
        <v>0.51583795392295684</v>
      </c>
      <c r="AP570" s="65" t="s">
        <v>161</v>
      </c>
      <c r="AQ570" s="66">
        <v>138.94954943731301</v>
      </c>
      <c r="AR570" s="66">
        <v>0.26717696209304198</v>
      </c>
      <c r="BD570" s="21" t="s">
        <v>199</v>
      </c>
    </row>
    <row r="571" spans="2:56" x14ac:dyDescent="0.3">
      <c r="B571" s="11" t="s">
        <v>176</v>
      </c>
      <c r="C571" s="28" t="s">
        <v>187</v>
      </c>
      <c r="D571" s="28"/>
      <c r="E571" s="28"/>
      <c r="F571" s="41"/>
      <c r="G571" s="28"/>
      <c r="H571" s="37"/>
      <c r="I571" s="36" t="e">
        <f t="shared" si="36"/>
        <v>#DIV/0!</v>
      </c>
      <c r="J571" s="28"/>
      <c r="K571" s="28"/>
      <c r="L571" s="28"/>
      <c r="M571" s="4" t="e">
        <f t="shared" si="35"/>
        <v>#DIV/0!</v>
      </c>
      <c r="AJ571" s="25">
        <v>2.0897736824080102</v>
      </c>
      <c r="AK571" s="25">
        <v>48.143724207843398</v>
      </c>
      <c r="AL571" s="11">
        <f t="shared" si="37"/>
        <v>0.48437154344265493</v>
      </c>
      <c r="AP571" s="65" t="s">
        <v>161</v>
      </c>
      <c r="AQ571" s="66">
        <v>48.143724207843398</v>
      </c>
      <c r="AR571" s="66">
        <v>2.0897736824080102</v>
      </c>
      <c r="BD571" s="21" t="s">
        <v>199</v>
      </c>
    </row>
    <row r="572" spans="2:56" x14ac:dyDescent="0.3">
      <c r="B572" s="11" t="s">
        <v>176</v>
      </c>
      <c r="C572" s="28" t="s">
        <v>187</v>
      </c>
      <c r="D572" s="28"/>
      <c r="E572" s="28"/>
      <c r="F572" s="41"/>
      <c r="G572" s="28"/>
      <c r="H572" s="37"/>
      <c r="I572" s="36" t="e">
        <f t="shared" si="36"/>
        <v>#DIV/0!</v>
      </c>
      <c r="J572" s="28"/>
      <c r="K572" s="28"/>
      <c r="L572" s="28"/>
      <c r="M572" s="4" t="e">
        <f t="shared" si="35"/>
        <v>#DIV/0!</v>
      </c>
      <c r="AJ572" s="25">
        <v>3.3196462865076302</v>
      </c>
      <c r="AK572" s="25">
        <v>64.494667710376206</v>
      </c>
      <c r="AL572" s="11">
        <f t="shared" si="37"/>
        <v>1.380827508813909</v>
      </c>
      <c r="AP572" s="65" t="s">
        <v>161</v>
      </c>
      <c r="AQ572" s="66">
        <v>64.494667710376206</v>
      </c>
      <c r="AR572" s="66">
        <v>3.3196462865076302</v>
      </c>
      <c r="BD572" s="21" t="s">
        <v>199</v>
      </c>
    </row>
    <row r="573" spans="2:56" x14ac:dyDescent="0.3">
      <c r="B573" s="11" t="s">
        <v>176</v>
      </c>
      <c r="C573" s="28" t="s">
        <v>187</v>
      </c>
      <c r="D573" s="28"/>
      <c r="E573" s="28"/>
      <c r="F573" s="41"/>
      <c r="G573" s="28"/>
      <c r="H573" s="37"/>
      <c r="I573" s="36" t="e">
        <f t="shared" si="36"/>
        <v>#DIV/0!</v>
      </c>
      <c r="J573" s="28"/>
      <c r="K573" s="28"/>
      <c r="L573" s="28"/>
      <c r="M573" s="4" t="e">
        <f t="shared" si="35"/>
        <v>#DIV/0!</v>
      </c>
      <c r="AJ573" s="25">
        <v>439.21776811360002</v>
      </c>
      <c r="AK573" s="25">
        <v>24.935920049841499</v>
      </c>
      <c r="AL573" s="11">
        <f t="shared" si="37"/>
        <v>27.310565597010118</v>
      </c>
      <c r="AP573" s="65" t="s">
        <v>161</v>
      </c>
      <c r="AQ573" s="66">
        <v>24.935920049841499</v>
      </c>
      <c r="AR573" s="66">
        <v>439.21776811360002</v>
      </c>
      <c r="BD573" s="21" t="s">
        <v>199</v>
      </c>
    </row>
    <row r="574" spans="2:56" x14ac:dyDescent="0.3">
      <c r="B574" s="11" t="s">
        <v>176</v>
      </c>
      <c r="C574" s="28" t="s">
        <v>187</v>
      </c>
      <c r="D574" s="28"/>
      <c r="E574" s="28"/>
      <c r="F574" s="41"/>
      <c r="G574" s="28"/>
      <c r="H574" s="37"/>
      <c r="I574" s="36" t="e">
        <f t="shared" si="36"/>
        <v>#DIV/0!</v>
      </c>
      <c r="J574" s="28"/>
      <c r="K574" s="28"/>
      <c r="L574" s="28"/>
      <c r="M574" s="4" t="e">
        <f t="shared" si="35"/>
        <v>#DIV/0!</v>
      </c>
      <c r="AJ574" s="25">
        <v>597.96386173840096</v>
      </c>
      <c r="AK574" s="25">
        <v>20.771139259664501</v>
      </c>
      <c r="AL574" s="11">
        <f t="shared" si="37"/>
        <v>25.798566373458009</v>
      </c>
      <c r="AP574" s="65" t="s">
        <v>161</v>
      </c>
      <c r="AQ574" s="66">
        <v>20.771139259664501</v>
      </c>
      <c r="AR574" s="66">
        <v>597.96386173840096</v>
      </c>
      <c r="BD574" s="21" t="s">
        <v>199</v>
      </c>
    </row>
    <row r="575" spans="2:56" x14ac:dyDescent="0.3">
      <c r="B575" s="11" t="s">
        <v>177</v>
      </c>
      <c r="C575" s="28" t="s">
        <v>200</v>
      </c>
      <c r="D575" s="28"/>
      <c r="E575" s="28"/>
      <c r="F575" s="41"/>
      <c r="G575" s="28"/>
      <c r="H575" s="37"/>
      <c r="I575" s="36" t="e">
        <f t="shared" si="36"/>
        <v>#DIV/0!</v>
      </c>
      <c r="J575" s="28"/>
      <c r="K575" s="28"/>
      <c r="L575" s="28"/>
      <c r="M575" s="4" t="e">
        <f t="shared" si="35"/>
        <v>#DIV/0!</v>
      </c>
      <c r="AJ575" s="25">
        <v>7.6013949892786295E-4</v>
      </c>
      <c r="AK575" s="25">
        <v>622.35135834515199</v>
      </c>
      <c r="AL575" s="11">
        <f t="shared" si="37"/>
        <v>2.9441815295186712E-2</v>
      </c>
      <c r="AP575" s="65" t="s">
        <v>161</v>
      </c>
      <c r="AQ575" s="66">
        <v>622.35135834515199</v>
      </c>
      <c r="AR575" s="66">
        <v>7.6013949892786295E-4</v>
      </c>
      <c r="BD575" s="21" t="s">
        <v>199</v>
      </c>
    </row>
    <row r="576" spans="2:56" x14ac:dyDescent="0.3">
      <c r="B576" s="11" t="s">
        <v>177</v>
      </c>
      <c r="C576" s="28" t="s">
        <v>200</v>
      </c>
      <c r="D576" s="28"/>
      <c r="E576" s="28"/>
      <c r="F576" s="41"/>
      <c r="G576" s="28"/>
      <c r="H576" s="37"/>
      <c r="I576" s="36" t="e">
        <f t="shared" si="36"/>
        <v>#DIV/0!</v>
      </c>
      <c r="J576" s="28"/>
      <c r="K576" s="28"/>
      <c r="L576" s="28"/>
      <c r="M576" s="4" t="e">
        <f t="shared" si="35"/>
        <v>#DIV/0!</v>
      </c>
      <c r="AJ576" s="25">
        <v>5.6475624525178696E-3</v>
      </c>
      <c r="AK576" s="25">
        <v>402.01376197790597</v>
      </c>
      <c r="AL576" s="11">
        <f t="shared" si="37"/>
        <v>9.1273117183657521E-2</v>
      </c>
      <c r="AP576" s="65" t="s">
        <v>161</v>
      </c>
      <c r="AQ576" s="66">
        <v>402.01376197790597</v>
      </c>
      <c r="AR576" s="66">
        <v>5.6475624525178696E-3</v>
      </c>
      <c r="BD576" s="21" t="s">
        <v>199</v>
      </c>
    </row>
    <row r="577" spans="2:56" x14ac:dyDescent="0.3">
      <c r="B577" s="11" t="s">
        <v>177</v>
      </c>
      <c r="C577" s="28" t="s">
        <v>200</v>
      </c>
      <c r="D577" s="28"/>
      <c r="E577" s="28"/>
      <c r="F577" s="41"/>
      <c r="G577" s="28"/>
      <c r="H577" s="37"/>
      <c r="I577" s="36" t="e">
        <f t="shared" si="36"/>
        <v>#DIV/0!</v>
      </c>
      <c r="J577" s="28"/>
      <c r="K577" s="28"/>
      <c r="L577" s="28"/>
      <c r="M577" s="4" t="e">
        <f t="shared" si="35"/>
        <v>#DIV/0!</v>
      </c>
      <c r="AJ577" s="25">
        <v>3.08200789505374E-2</v>
      </c>
      <c r="AK577" s="25">
        <v>351.12646861820502</v>
      </c>
      <c r="AL577" s="11">
        <f t="shared" si="37"/>
        <v>0.37998012762351852</v>
      </c>
      <c r="AP577" s="65" t="s">
        <v>161</v>
      </c>
      <c r="AQ577" s="66">
        <v>351.12646861820502</v>
      </c>
      <c r="AR577" s="66">
        <v>3.08200789505374E-2</v>
      </c>
      <c r="BD577" s="21" t="s">
        <v>199</v>
      </c>
    </row>
    <row r="578" spans="2:56" x14ac:dyDescent="0.3">
      <c r="B578" s="11" t="s">
        <v>177</v>
      </c>
      <c r="C578" s="28" t="s">
        <v>200</v>
      </c>
      <c r="D578" s="28"/>
      <c r="E578" s="28"/>
      <c r="F578" s="41"/>
      <c r="G578" s="28"/>
      <c r="H578" s="37"/>
      <c r="I578" s="36" t="e">
        <f t="shared" si="36"/>
        <v>#DIV/0!</v>
      </c>
      <c r="J578" s="28"/>
      <c r="K578" s="28"/>
      <c r="L578" s="28"/>
      <c r="M578" s="4" t="e">
        <f t="shared" si="35"/>
        <v>#DIV/0!</v>
      </c>
      <c r="AJ578" s="25">
        <v>2.3832588580853801E-2</v>
      </c>
      <c r="AK578" s="25">
        <v>189.00047338720799</v>
      </c>
      <c r="AL578" s="11">
        <f t="shared" si="37"/>
        <v>8.5132816131410993E-2</v>
      </c>
      <c r="AP578" s="65" t="s">
        <v>161</v>
      </c>
      <c r="AQ578" s="66">
        <v>189.00047338720799</v>
      </c>
      <c r="AR578" s="66">
        <v>2.3832588580853801E-2</v>
      </c>
      <c r="BD578" s="21" t="s">
        <v>199</v>
      </c>
    </row>
    <row r="579" spans="2:56" x14ac:dyDescent="0.3">
      <c r="B579" s="11" t="s">
        <v>177</v>
      </c>
      <c r="C579" s="28" t="s">
        <v>200</v>
      </c>
      <c r="D579" s="28"/>
      <c r="E579" s="28"/>
      <c r="F579" s="41"/>
      <c r="G579" s="28"/>
      <c r="H579" s="37"/>
      <c r="I579" s="36" t="e">
        <f t="shared" si="36"/>
        <v>#DIV/0!</v>
      </c>
      <c r="J579" s="28"/>
      <c r="K579" s="28"/>
      <c r="L579" s="28"/>
      <c r="M579" s="4" t="e">
        <f t="shared" si="35"/>
        <v>#DIV/0!</v>
      </c>
      <c r="AJ579" s="25">
        <v>0.22898207619810801</v>
      </c>
      <c r="AK579" s="25">
        <v>122.061285143809</v>
      </c>
      <c r="AL579" s="11">
        <f t="shared" si="37"/>
        <v>0.34115941828298413</v>
      </c>
      <c r="AP579" s="65" t="s">
        <v>161</v>
      </c>
      <c r="AQ579" s="66">
        <v>122.061285143809</v>
      </c>
      <c r="AR579" s="66">
        <v>0.22898207619810801</v>
      </c>
      <c r="BD579" s="21" t="s">
        <v>199</v>
      </c>
    </row>
    <row r="580" spans="2:56" x14ac:dyDescent="0.3">
      <c r="B580" s="11" t="s">
        <v>178</v>
      </c>
      <c r="C580" s="28" t="s">
        <v>201</v>
      </c>
      <c r="D580" s="28"/>
      <c r="E580" s="28"/>
      <c r="F580" s="41"/>
      <c r="G580" s="28"/>
      <c r="H580" s="37"/>
      <c r="I580" s="36" t="e">
        <f t="shared" si="36"/>
        <v>#DIV/0!</v>
      </c>
      <c r="J580" s="28"/>
      <c r="K580" s="28"/>
      <c r="L580" s="28"/>
      <c r="M580" s="4" t="e">
        <f t="shared" si="35"/>
        <v>#DIV/0!</v>
      </c>
      <c r="AJ580" s="25">
        <v>5.6475624525178696E-3</v>
      </c>
      <c r="AK580" s="25">
        <v>839.92579745051603</v>
      </c>
      <c r="AL580" s="11">
        <f t="shared" si="37"/>
        <v>0.39842160708578483</v>
      </c>
      <c r="AP580" s="65" t="s">
        <v>161</v>
      </c>
      <c r="AQ580" s="66">
        <v>839.92579745051603</v>
      </c>
      <c r="AR580" s="66">
        <v>5.6475624525178696E-3</v>
      </c>
      <c r="BD580" s="21" t="s">
        <v>199</v>
      </c>
    </row>
    <row r="581" spans="2:56" x14ac:dyDescent="0.3">
      <c r="B581" s="11" t="s">
        <v>178</v>
      </c>
      <c r="C581" s="28" t="s">
        <v>201</v>
      </c>
      <c r="D581" s="28"/>
      <c r="E581" s="28"/>
      <c r="F581" s="41"/>
      <c r="G581" s="28"/>
      <c r="H581" s="37"/>
      <c r="I581" s="36" t="e">
        <f t="shared" si="36"/>
        <v>#DIV/0!</v>
      </c>
      <c r="J581" s="28"/>
      <c r="K581" s="28"/>
      <c r="L581" s="28"/>
      <c r="M581" s="4" t="e">
        <f t="shared" si="35"/>
        <v>#DIV/0!</v>
      </c>
      <c r="AJ581" s="25">
        <v>2.7807934671431798E-2</v>
      </c>
      <c r="AK581" s="25">
        <v>652.51510673984501</v>
      </c>
      <c r="AL581" s="11">
        <f t="shared" si="37"/>
        <v>1.1839950206141228</v>
      </c>
      <c r="AP581" s="65" t="s">
        <v>161</v>
      </c>
      <c r="AQ581" s="66">
        <v>652.51510673984501</v>
      </c>
      <c r="AR581" s="66">
        <v>2.7807934671431798E-2</v>
      </c>
      <c r="BD581" s="21" t="s">
        <v>199</v>
      </c>
    </row>
    <row r="582" spans="2:56" x14ac:dyDescent="0.3">
      <c r="B582" s="11" t="s">
        <v>178</v>
      </c>
      <c r="C582" s="28" t="s">
        <v>201</v>
      </c>
      <c r="D582" s="28"/>
      <c r="E582" s="28"/>
      <c r="F582" s="41"/>
      <c r="G582" s="28"/>
      <c r="H582" s="37"/>
      <c r="I582" s="36" t="e">
        <f t="shared" si="36"/>
        <v>#DIV/0!</v>
      </c>
      <c r="J582" s="28"/>
      <c r="K582" s="28"/>
      <c r="L582" s="28"/>
      <c r="M582" s="4" t="e">
        <f t="shared" si="35"/>
        <v>#DIV/0!</v>
      </c>
      <c r="AJ582" s="25">
        <v>8.1875009758845402E-2</v>
      </c>
      <c r="AK582" s="25">
        <v>401.14603503065001</v>
      </c>
      <c r="AL582" s="11">
        <f t="shared" si="37"/>
        <v>1.3175174399204204</v>
      </c>
      <c r="AP582" s="65" t="s">
        <v>161</v>
      </c>
      <c r="AQ582" s="66">
        <v>401.14603503065001</v>
      </c>
      <c r="AR582" s="66">
        <v>8.1875009758845402E-2</v>
      </c>
      <c r="BD582" s="21" t="s">
        <v>199</v>
      </c>
    </row>
    <row r="583" spans="2:56" x14ac:dyDescent="0.3">
      <c r="B583" s="11" t="s">
        <v>178</v>
      </c>
      <c r="C583" s="28" t="s">
        <v>201</v>
      </c>
      <c r="D583" s="28"/>
      <c r="E583" s="28"/>
      <c r="F583" s="41"/>
      <c r="G583" s="28"/>
      <c r="H583" s="37"/>
      <c r="I583" s="36" t="e">
        <f t="shared" si="36"/>
        <v>#DIV/0!</v>
      </c>
      <c r="J583" s="28"/>
      <c r="K583" s="28"/>
      <c r="L583" s="28"/>
      <c r="M583" s="4" t="e">
        <f t="shared" si="35"/>
        <v>#DIV/0!</v>
      </c>
      <c r="AJ583" s="25">
        <v>0.25378532242935098</v>
      </c>
      <c r="AK583" s="25">
        <v>296.48067497835001</v>
      </c>
      <c r="AL583" s="11">
        <f t="shared" si="37"/>
        <v>2.2307930493255195</v>
      </c>
      <c r="AP583" s="65" t="s">
        <v>161</v>
      </c>
      <c r="AQ583" s="66">
        <v>296.48067497835001</v>
      </c>
      <c r="AR583" s="66">
        <v>0.25378532242935098</v>
      </c>
      <c r="BD583" s="21" t="s">
        <v>199</v>
      </c>
    </row>
    <row r="584" spans="2:56" x14ac:dyDescent="0.3">
      <c r="B584" s="11" t="s">
        <v>178</v>
      </c>
      <c r="C584" s="28" t="s">
        <v>201</v>
      </c>
      <c r="D584" s="28"/>
      <c r="E584" s="28"/>
      <c r="F584" s="41"/>
      <c r="G584" s="28"/>
      <c r="H584" s="37"/>
      <c r="I584" s="36" t="e">
        <f t="shared" si="36"/>
        <v>#DIV/0!</v>
      </c>
      <c r="J584" s="28"/>
      <c r="K584" s="28"/>
      <c r="L584" s="28"/>
      <c r="M584" s="4" t="e">
        <f t="shared" si="35"/>
        <v>#DIV/0!</v>
      </c>
      <c r="AJ584" s="25">
        <v>0.29611746297476099</v>
      </c>
      <c r="AK584" s="25">
        <v>188.616036676351</v>
      </c>
      <c r="AL584" s="11">
        <f t="shared" si="37"/>
        <v>1.0534677614163901</v>
      </c>
      <c r="AP584" s="65" t="s">
        <v>161</v>
      </c>
      <c r="AQ584" s="66">
        <v>188.616036676351</v>
      </c>
      <c r="AR584" s="66">
        <v>0.29611746297476099</v>
      </c>
      <c r="BD584" s="21" t="s">
        <v>199</v>
      </c>
    </row>
    <row r="585" spans="2:56" x14ac:dyDescent="0.3">
      <c r="B585" s="11" t="s">
        <v>178</v>
      </c>
      <c r="C585" s="28" t="s">
        <v>201</v>
      </c>
      <c r="D585" s="28"/>
      <c r="E585" s="28"/>
      <c r="F585" s="41"/>
      <c r="G585" s="28"/>
      <c r="H585" s="37"/>
      <c r="I585" s="36" t="e">
        <f t="shared" si="36"/>
        <v>#DIV/0!</v>
      </c>
      <c r="J585" s="28"/>
      <c r="K585" s="28"/>
      <c r="L585" s="28"/>
      <c r="M585" s="4" t="e">
        <f t="shared" si="35"/>
        <v>#DIV/0!</v>
      </c>
      <c r="AJ585" s="25">
        <v>0.136923006552298</v>
      </c>
      <c r="AK585" s="25">
        <v>167.85729532420299</v>
      </c>
      <c r="AL585" s="11">
        <f t="shared" si="37"/>
        <v>0.38579524354225814</v>
      </c>
      <c r="AP585" s="65" t="s">
        <v>161</v>
      </c>
      <c r="AQ585" s="66">
        <v>167.85729532420299</v>
      </c>
      <c r="AR585" s="66">
        <v>0.136923006552298</v>
      </c>
      <c r="BD585" s="21" t="s">
        <v>199</v>
      </c>
    </row>
    <row r="586" spans="2:56" x14ac:dyDescent="0.3">
      <c r="B586" s="11" t="s">
        <v>178</v>
      </c>
      <c r="C586" s="28" t="s">
        <v>201</v>
      </c>
      <c r="D586" s="28"/>
      <c r="E586" s="28"/>
      <c r="F586" s="41"/>
      <c r="G586" s="28"/>
      <c r="H586" s="37"/>
      <c r="I586" s="36" t="e">
        <f t="shared" si="36"/>
        <v>#DIV/0!</v>
      </c>
      <c r="J586" s="28"/>
      <c r="K586" s="28"/>
      <c r="L586" s="28"/>
      <c r="M586" s="4" t="e">
        <f t="shared" si="35"/>
        <v>#DIV/0!</v>
      </c>
      <c r="AJ586" s="25">
        <v>1.70125427985258</v>
      </c>
      <c r="AK586" s="25">
        <v>119.839889139332</v>
      </c>
      <c r="AL586" s="11">
        <f t="shared" si="37"/>
        <v>2.4432731813489372</v>
      </c>
      <c r="AP586" s="65" t="s">
        <v>161</v>
      </c>
      <c r="AQ586" s="66">
        <v>119.839889139332</v>
      </c>
      <c r="AR586" s="66">
        <v>1.70125427985258</v>
      </c>
      <c r="BD586" s="21" t="s">
        <v>199</v>
      </c>
    </row>
    <row r="587" spans="2:56" x14ac:dyDescent="0.3">
      <c r="B587" s="11" t="s">
        <v>178</v>
      </c>
      <c r="C587" s="28" t="s">
        <v>201</v>
      </c>
      <c r="D587" s="28"/>
      <c r="E587" s="28"/>
      <c r="F587" s="41"/>
      <c r="G587" s="28"/>
      <c r="H587" s="37"/>
      <c r="I587" s="36" t="e">
        <f t="shared" si="36"/>
        <v>#DIV/0!</v>
      </c>
      <c r="J587" s="28"/>
      <c r="K587" s="28"/>
      <c r="L587" s="28"/>
      <c r="M587" s="4" t="e">
        <f t="shared" si="35"/>
        <v>#DIV/0!</v>
      </c>
      <c r="AJ587" s="25">
        <v>4.0777616412804898</v>
      </c>
      <c r="AK587" s="25">
        <v>128.05174989468301</v>
      </c>
      <c r="AL587" s="11">
        <f t="shared" si="37"/>
        <v>6.6864079727478165</v>
      </c>
      <c r="AP587" s="65" t="s">
        <v>161</v>
      </c>
      <c r="AQ587" s="66">
        <v>128.05174989468301</v>
      </c>
      <c r="AR587" s="66">
        <v>4.0777616412804898</v>
      </c>
      <c r="BD587" s="21" t="s">
        <v>199</v>
      </c>
    </row>
    <row r="588" spans="2:56" x14ac:dyDescent="0.3">
      <c r="B588" s="11" t="s">
        <v>178</v>
      </c>
      <c r="C588" s="28" t="s">
        <v>201</v>
      </c>
      <c r="D588" s="28"/>
      <c r="E588" s="28"/>
      <c r="F588" s="41"/>
      <c r="G588" s="28"/>
      <c r="H588" s="37"/>
      <c r="I588" s="36" t="e">
        <f t="shared" si="36"/>
        <v>#DIV/0!</v>
      </c>
      <c r="J588" s="28"/>
      <c r="K588" s="28"/>
      <c r="L588" s="28"/>
      <c r="M588" s="4" t="e">
        <f t="shared" si="35"/>
        <v>#DIV/0!</v>
      </c>
      <c r="AJ588" s="25">
        <v>8.3767764006828909</v>
      </c>
      <c r="AK588" s="25">
        <v>127.977277524063</v>
      </c>
      <c r="AL588" s="11">
        <f t="shared" si="37"/>
        <v>13.719638155215984</v>
      </c>
      <c r="AP588" s="65" t="s">
        <v>161</v>
      </c>
      <c r="AQ588" s="66">
        <v>127.977277524063</v>
      </c>
      <c r="AR588" s="66">
        <v>8.3767764006828909</v>
      </c>
      <c r="BD588" s="21" t="s">
        <v>199</v>
      </c>
    </row>
    <row r="589" spans="2:56" x14ac:dyDescent="0.3">
      <c r="B589" s="11" t="s">
        <v>178</v>
      </c>
      <c r="C589" s="28" t="s">
        <v>201</v>
      </c>
      <c r="D589" s="28"/>
      <c r="E589" s="28"/>
      <c r="F589" s="41"/>
      <c r="G589" s="28"/>
      <c r="H589" s="37"/>
      <c r="I589" s="36" t="e">
        <f t="shared" si="36"/>
        <v>#DIV/0!</v>
      </c>
      <c r="J589" s="28"/>
      <c r="K589" s="28"/>
      <c r="L589" s="28"/>
      <c r="M589" s="4" t="e">
        <f t="shared" si="35"/>
        <v>#DIV/0!</v>
      </c>
      <c r="AJ589" s="25">
        <v>5.0090095654714997</v>
      </c>
      <c r="AK589" s="25">
        <v>102.98355444419801</v>
      </c>
      <c r="AL589" s="11">
        <f t="shared" si="37"/>
        <v>5.3123614389863096</v>
      </c>
      <c r="AP589" s="65" t="s">
        <v>161</v>
      </c>
      <c r="AQ589" s="66">
        <v>102.98355444419801</v>
      </c>
      <c r="AR589" s="66">
        <v>5.0090095654714997</v>
      </c>
      <c r="BD589" s="21" t="s">
        <v>199</v>
      </c>
    </row>
    <row r="590" spans="2:56" x14ac:dyDescent="0.3">
      <c r="B590" s="11" t="s">
        <v>178</v>
      </c>
      <c r="C590" s="28" t="s">
        <v>201</v>
      </c>
      <c r="D590" s="28"/>
      <c r="E590" s="28"/>
      <c r="F590" s="41"/>
      <c r="G590" s="28"/>
      <c r="H590" s="37"/>
      <c r="I590" s="36" t="e">
        <f t="shared" si="36"/>
        <v>#DIV/0!</v>
      </c>
      <c r="J590" s="28"/>
      <c r="K590" s="28"/>
      <c r="L590" s="28"/>
      <c r="M590" s="4" t="e">
        <f t="shared" si="35"/>
        <v>#DIV/0!</v>
      </c>
      <c r="AJ590" s="25">
        <v>9.7740474190251199</v>
      </c>
      <c r="AK590" s="25">
        <v>76.141982845131395</v>
      </c>
      <c r="AL590" s="11">
        <f t="shared" si="37"/>
        <v>5.6666032481837494</v>
      </c>
      <c r="AP590" s="65" t="s">
        <v>161</v>
      </c>
      <c r="AQ590" s="66">
        <v>76.141982845131395</v>
      </c>
      <c r="AR590" s="66">
        <v>9.7740474190251199</v>
      </c>
      <c r="BD590" s="21" t="s">
        <v>199</v>
      </c>
    </row>
    <row r="591" spans="2:56" x14ac:dyDescent="0.3">
      <c r="B591" s="11" t="s">
        <v>178</v>
      </c>
      <c r="C591" s="28" t="s">
        <v>201</v>
      </c>
      <c r="D591" s="28"/>
      <c r="E591" s="28"/>
      <c r="F591" s="41"/>
      <c r="G591" s="28"/>
      <c r="H591" s="37"/>
      <c r="I591" s="36" t="e">
        <f t="shared" si="36"/>
        <v>#DIV/0!</v>
      </c>
      <c r="J591" s="28"/>
      <c r="K591" s="28"/>
      <c r="L591" s="28"/>
      <c r="M591" s="4" t="e">
        <f t="shared" si="35"/>
        <v>#DIV/0!</v>
      </c>
      <c r="AJ591" s="25">
        <v>14.0088338722174</v>
      </c>
      <c r="AK591" s="25">
        <v>73.612641550237498</v>
      </c>
      <c r="AL591" s="11">
        <f t="shared" si="37"/>
        <v>7.5911363116300183</v>
      </c>
      <c r="AP591" s="65" t="s">
        <v>161</v>
      </c>
      <c r="AQ591" s="66">
        <v>73.612641550237498</v>
      </c>
      <c r="AR591" s="66">
        <v>14.0088338722174</v>
      </c>
      <c r="BD591" s="21" t="s">
        <v>199</v>
      </c>
    </row>
    <row r="592" spans="2:56" x14ac:dyDescent="0.3">
      <c r="B592" s="11" t="s">
        <v>178</v>
      </c>
      <c r="C592" s="28" t="s">
        <v>201</v>
      </c>
      <c r="D592" s="28"/>
      <c r="E592" s="28"/>
      <c r="F592" s="41"/>
      <c r="G592" s="28"/>
      <c r="H592" s="37"/>
      <c r="I592" s="36" t="e">
        <f t="shared" si="36"/>
        <v>#DIV/0!</v>
      </c>
      <c r="J592" s="28"/>
      <c r="K592" s="28"/>
      <c r="L592" s="28"/>
      <c r="M592" s="4" t="e">
        <f t="shared" si="35"/>
        <v>#DIV/0!</v>
      </c>
      <c r="AJ592" s="25">
        <v>24.6637752014779</v>
      </c>
      <c r="AK592" s="25">
        <v>66.545321504086701</v>
      </c>
      <c r="AL592" s="11">
        <f t="shared" si="37"/>
        <v>10.921809786376731</v>
      </c>
      <c r="AP592" s="65" t="s">
        <v>161</v>
      </c>
      <c r="AQ592" s="66">
        <v>66.545321504086701</v>
      </c>
      <c r="AR592" s="66">
        <v>24.6637752014779</v>
      </c>
      <c r="BD592" s="21" t="s">
        <v>199</v>
      </c>
    </row>
    <row r="593" spans="2:56" x14ac:dyDescent="0.3">
      <c r="B593" s="11" t="s">
        <v>178</v>
      </c>
      <c r="C593" s="28" t="s">
        <v>201</v>
      </c>
      <c r="D593" s="28"/>
      <c r="E593" s="28"/>
      <c r="F593" s="41"/>
      <c r="G593" s="28"/>
      <c r="H593" s="37"/>
      <c r="I593" s="36" t="e">
        <f t="shared" si="36"/>
        <v>#DIV/0!</v>
      </c>
      <c r="J593" s="28"/>
      <c r="K593" s="28"/>
      <c r="L593" s="28"/>
      <c r="M593" s="4" t="e">
        <f t="shared" si="35"/>
        <v>#DIV/0!</v>
      </c>
      <c r="AJ593" s="25">
        <v>14.7480462645236</v>
      </c>
      <c r="AK593" s="25">
        <v>57.258958846493798</v>
      </c>
      <c r="AL593" s="11">
        <f t="shared" si="37"/>
        <v>4.8352772936313499</v>
      </c>
      <c r="AP593" s="65" t="s">
        <v>161</v>
      </c>
      <c r="AQ593" s="66">
        <v>57.258958846493798</v>
      </c>
      <c r="AR593" s="66">
        <v>14.7480462645236</v>
      </c>
      <c r="BD593" s="21" t="s">
        <v>199</v>
      </c>
    </row>
    <row r="594" spans="2:56" x14ac:dyDescent="0.3">
      <c r="B594" s="11" t="s">
        <v>178</v>
      </c>
      <c r="C594" s="28" t="s">
        <v>201</v>
      </c>
      <c r="D594" s="28"/>
      <c r="E594" s="28"/>
      <c r="F594" s="41"/>
      <c r="G594" s="28"/>
      <c r="H594" s="37"/>
      <c r="I594" s="36" t="e">
        <f t="shared" si="36"/>
        <v>#DIV/0!</v>
      </c>
      <c r="J594" s="28"/>
      <c r="K594" s="28"/>
      <c r="L594" s="28"/>
      <c r="M594" s="4" t="e">
        <f t="shared" si="35"/>
        <v>#DIV/0!</v>
      </c>
      <c r="AJ594" s="25">
        <v>25.965223161835599</v>
      </c>
      <c r="AK594" s="25">
        <v>60.181515155884597</v>
      </c>
      <c r="AL594" s="11">
        <f t="shared" si="37"/>
        <v>9.4041228661912601</v>
      </c>
      <c r="AP594" s="65" t="s">
        <v>161</v>
      </c>
      <c r="AQ594" s="66">
        <v>60.181515155884597</v>
      </c>
      <c r="AR594" s="66">
        <v>25.965223161835599</v>
      </c>
      <c r="BD594" s="21" t="s">
        <v>199</v>
      </c>
    </row>
    <row r="595" spans="2:56" x14ac:dyDescent="0.3">
      <c r="B595" s="11" t="s">
        <v>178</v>
      </c>
      <c r="C595" s="28" t="s">
        <v>201</v>
      </c>
      <c r="D595" s="28"/>
      <c r="E595" s="28"/>
      <c r="F595" s="41"/>
      <c r="G595" s="28"/>
      <c r="H595" s="37"/>
      <c r="I595" s="36" t="e">
        <f t="shared" si="36"/>
        <v>#DIV/0!</v>
      </c>
      <c r="J595" s="28"/>
      <c r="K595" s="28"/>
      <c r="L595" s="28"/>
      <c r="M595" s="4" t="e">
        <f t="shared" si="35"/>
        <v>#DIV/0!</v>
      </c>
      <c r="AJ595" s="25">
        <v>37.215135361547901</v>
      </c>
      <c r="AK595" s="25">
        <v>58.182360605593097</v>
      </c>
      <c r="AL595" s="11">
        <f t="shared" si="37"/>
        <v>12.598019561622934</v>
      </c>
      <c r="AP595" s="65" t="s">
        <v>161</v>
      </c>
      <c r="AQ595" s="66">
        <v>58.182360605593097</v>
      </c>
      <c r="AR595" s="66">
        <v>37.215135361547901</v>
      </c>
      <c r="BD595" s="21" t="s">
        <v>199</v>
      </c>
    </row>
    <row r="596" spans="2:56" x14ac:dyDescent="0.3">
      <c r="B596" s="11" t="s">
        <v>178</v>
      </c>
      <c r="C596" s="28" t="s">
        <v>201</v>
      </c>
      <c r="D596" s="28"/>
      <c r="E596" s="28"/>
      <c r="F596" s="41"/>
      <c r="G596" s="28"/>
      <c r="H596" s="37"/>
      <c r="I596" s="36" t="e">
        <f t="shared" si="36"/>
        <v>#DIV/0!</v>
      </c>
      <c r="J596" s="28"/>
      <c r="K596" s="28"/>
      <c r="L596" s="28"/>
      <c r="M596" s="4" t="e">
        <f t="shared" si="35"/>
        <v>#DIV/0!</v>
      </c>
      <c r="AJ596" s="25">
        <v>24.6637752014779</v>
      </c>
      <c r="AK596" s="25">
        <v>50.904232200013098</v>
      </c>
      <c r="AL596" s="11">
        <f t="shared" si="37"/>
        <v>6.3909781962133172</v>
      </c>
      <c r="AP596" s="65" t="s">
        <v>161</v>
      </c>
      <c r="AQ596" s="66">
        <v>50.904232200013098</v>
      </c>
      <c r="AR596" s="66">
        <v>24.6637752014779</v>
      </c>
      <c r="BD596" s="21" t="s">
        <v>199</v>
      </c>
    </row>
    <row r="597" spans="2:56" x14ac:dyDescent="0.3">
      <c r="B597" s="11" t="s">
        <v>178</v>
      </c>
      <c r="C597" s="28" t="s">
        <v>201</v>
      </c>
      <c r="D597" s="28"/>
      <c r="E597" s="28"/>
      <c r="F597" s="41"/>
      <c r="G597" s="28"/>
      <c r="H597" s="37"/>
      <c r="I597" s="36" t="e">
        <f t="shared" si="36"/>
        <v>#DIV/0!</v>
      </c>
      <c r="J597" s="28"/>
      <c r="K597" s="28"/>
      <c r="L597" s="28"/>
      <c r="M597" s="4" t="e">
        <f t="shared" si="35"/>
        <v>#DIV/0!</v>
      </c>
      <c r="AJ597" s="25">
        <v>50.665769172965</v>
      </c>
      <c r="AK597" s="25">
        <v>69.933144889398093</v>
      </c>
      <c r="AL597" s="11">
        <f t="shared" si="37"/>
        <v>24.778827821929443</v>
      </c>
      <c r="AP597" s="65" t="s">
        <v>161</v>
      </c>
      <c r="AQ597" s="66">
        <v>69.933144889398093</v>
      </c>
      <c r="AR597" s="66">
        <v>50.665769172965</v>
      </c>
      <c r="BD597" s="21" t="s">
        <v>199</v>
      </c>
    </row>
    <row r="598" spans="2:56" x14ac:dyDescent="0.3">
      <c r="B598" s="11" t="s">
        <v>178</v>
      </c>
      <c r="C598" s="28" t="s">
        <v>201</v>
      </c>
      <c r="D598" s="28"/>
      <c r="E598" s="28"/>
      <c r="F598" s="41"/>
      <c r="G598" s="28"/>
      <c r="H598" s="37"/>
      <c r="I598" s="36" t="e">
        <f t="shared" si="36"/>
        <v>#DIV/0!</v>
      </c>
      <c r="J598" s="28"/>
      <c r="K598" s="28"/>
      <c r="L598" s="28"/>
      <c r="M598" s="4" t="e">
        <f t="shared" si="35"/>
        <v>#DIV/0!</v>
      </c>
      <c r="AJ598" s="25">
        <v>65.520495211962</v>
      </c>
      <c r="AK598" s="25">
        <v>49.188723670108097</v>
      </c>
      <c r="AL598" s="11">
        <f t="shared" si="37"/>
        <v>15.852883891846345</v>
      </c>
      <c r="AP598" s="65" t="s">
        <v>161</v>
      </c>
      <c r="AQ598" s="66">
        <v>49.188723670108097</v>
      </c>
      <c r="AR598" s="66">
        <v>65.520495211962</v>
      </c>
      <c r="BD598" s="21" t="s">
        <v>199</v>
      </c>
    </row>
    <row r="599" spans="2:56" x14ac:dyDescent="0.3">
      <c r="B599" s="11" t="s">
        <v>178</v>
      </c>
      <c r="C599" s="28" t="s">
        <v>201</v>
      </c>
      <c r="D599" s="28"/>
      <c r="E599" s="28"/>
      <c r="F599" s="41"/>
      <c r="G599" s="28"/>
      <c r="H599" s="37"/>
      <c r="I599" s="36" t="e">
        <f t="shared" si="36"/>
        <v>#DIV/0!</v>
      </c>
      <c r="J599" s="28"/>
      <c r="K599" s="28"/>
      <c r="L599" s="28"/>
      <c r="M599" s="4" t="e">
        <f t="shared" si="35"/>
        <v>#DIV/0!</v>
      </c>
      <c r="AJ599" s="25">
        <v>72.617648853495297</v>
      </c>
      <c r="AK599" s="25">
        <v>53.480209174196403</v>
      </c>
      <c r="AL599" s="11">
        <f t="shared" si="37"/>
        <v>20.76961174070205</v>
      </c>
      <c r="AP599" s="65" t="s">
        <v>161</v>
      </c>
      <c r="AQ599" s="66">
        <v>53.480209174196403</v>
      </c>
      <c r="AR599" s="66">
        <v>72.617648853495297</v>
      </c>
      <c r="BD599" s="21" t="s">
        <v>199</v>
      </c>
    </row>
    <row r="600" spans="2:56" x14ac:dyDescent="0.3">
      <c r="B600" s="11" t="s">
        <v>178</v>
      </c>
      <c r="C600" s="28" t="s">
        <v>201</v>
      </c>
      <c r="D600" s="28"/>
      <c r="E600" s="28"/>
      <c r="F600" s="41"/>
      <c r="G600" s="28"/>
      <c r="H600" s="37"/>
      <c r="I600" s="36" t="e">
        <f t="shared" si="36"/>
        <v>#DIV/0!</v>
      </c>
      <c r="J600" s="28"/>
      <c r="K600" s="28"/>
      <c r="L600" s="28"/>
      <c r="M600" s="4" t="e">
        <f t="shared" si="35"/>
        <v>#DIV/0!</v>
      </c>
      <c r="AJ600" s="25">
        <v>84.730486932218597</v>
      </c>
      <c r="AK600" s="25">
        <v>30.7708120691007</v>
      </c>
      <c r="AL600" s="11">
        <f t="shared" si="37"/>
        <v>8.0226457880258799</v>
      </c>
      <c r="AP600" s="65" t="s">
        <v>161</v>
      </c>
      <c r="AQ600" s="66">
        <v>30.7708120691007</v>
      </c>
      <c r="AR600" s="66">
        <v>84.730486932218597</v>
      </c>
      <c r="BD600" s="21" t="s">
        <v>199</v>
      </c>
    </row>
    <row r="601" spans="2:56" x14ac:dyDescent="0.3">
      <c r="B601" s="11" t="s">
        <v>202</v>
      </c>
      <c r="C601" s="28" t="s">
        <v>162</v>
      </c>
      <c r="D601" s="28"/>
      <c r="E601" s="28"/>
      <c r="F601" s="41"/>
      <c r="G601" s="28"/>
      <c r="H601" s="37"/>
      <c r="I601" s="36" t="e">
        <f t="shared" si="36"/>
        <v>#DIV/0!</v>
      </c>
      <c r="J601" s="28"/>
      <c r="K601" s="28"/>
      <c r="L601" s="28"/>
      <c r="M601" s="4" t="e">
        <f t="shared" si="35"/>
        <v>#DIV/0!</v>
      </c>
      <c r="AJ601" s="25">
        <v>2.35617984528975E-3</v>
      </c>
      <c r="AK601" s="25">
        <v>415.99984125409202</v>
      </c>
      <c r="AL601" s="11">
        <f t="shared" si="37"/>
        <v>4.0775074811031015E-2</v>
      </c>
      <c r="AP601" s="65" t="s">
        <v>161</v>
      </c>
      <c r="AQ601" s="66">
        <v>415.99984125409202</v>
      </c>
      <c r="AR601" s="66">
        <v>2.35617984528975E-3</v>
      </c>
      <c r="BD601" s="21" t="s">
        <v>199</v>
      </c>
    </row>
    <row r="602" spans="2:56" x14ac:dyDescent="0.3">
      <c r="B602" s="11" t="s">
        <v>202</v>
      </c>
      <c r="C602" s="28" t="s">
        <v>162</v>
      </c>
      <c r="D602" s="28"/>
      <c r="E602" s="28"/>
      <c r="F602" s="41"/>
      <c r="G602" s="28"/>
      <c r="H602" s="37"/>
      <c r="I602" s="36" t="e">
        <f t="shared" si="36"/>
        <v>#DIV/0!</v>
      </c>
      <c r="J602" s="28"/>
      <c r="K602" s="28"/>
      <c r="L602" s="28"/>
      <c r="M602" s="4" t="e">
        <f t="shared" si="35"/>
        <v>#DIV/0!</v>
      </c>
      <c r="AJ602" s="25">
        <v>3.3770382535163899E-3</v>
      </c>
      <c r="AK602" s="25">
        <v>402.18084760779601</v>
      </c>
      <c r="AL602" s="11">
        <f t="shared" si="37"/>
        <v>5.4623402671901931E-2</v>
      </c>
      <c r="AP602" s="65" t="s">
        <v>161</v>
      </c>
      <c r="AQ602" s="66">
        <v>402.18084760779601</v>
      </c>
      <c r="AR602" s="66">
        <v>3.3770382535163899E-3</v>
      </c>
      <c r="BD602" s="21" t="s">
        <v>199</v>
      </c>
    </row>
    <row r="603" spans="2:56" x14ac:dyDescent="0.3">
      <c r="B603" s="11" t="s">
        <v>202</v>
      </c>
      <c r="C603" s="28" t="s">
        <v>162</v>
      </c>
      <c r="D603" s="28"/>
      <c r="E603" s="28"/>
      <c r="F603" s="41"/>
      <c r="G603" s="28"/>
      <c r="H603" s="37"/>
      <c r="I603" s="36" t="e">
        <f t="shared" si="36"/>
        <v>#DIV/0!</v>
      </c>
      <c r="J603" s="28"/>
      <c r="K603" s="28"/>
      <c r="L603" s="28"/>
      <c r="M603" s="4" t="e">
        <f t="shared" si="35"/>
        <v>#DIV/0!</v>
      </c>
      <c r="AJ603" s="25">
        <v>8.9712631952173598E-3</v>
      </c>
      <c r="AK603" s="25">
        <v>369.58545033014798</v>
      </c>
      <c r="AL603" s="11">
        <f t="shared" si="37"/>
        <v>0.12254153878448121</v>
      </c>
      <c r="AP603" s="65" t="s">
        <v>161</v>
      </c>
      <c r="AQ603" s="66">
        <v>369.58545033014798</v>
      </c>
      <c r="AR603" s="66">
        <v>8.9712631952173598E-3</v>
      </c>
      <c r="BD603" s="21" t="s">
        <v>199</v>
      </c>
    </row>
    <row r="604" spans="2:56" x14ac:dyDescent="0.3">
      <c r="B604" s="11" t="s">
        <v>202</v>
      </c>
      <c r="C604" s="28" t="s">
        <v>162</v>
      </c>
      <c r="D604" s="28"/>
      <c r="E604" s="28"/>
      <c r="F604" s="41"/>
      <c r="G604" s="28"/>
      <c r="H604" s="37"/>
      <c r="I604" s="36" t="e">
        <f t="shared" si="36"/>
        <v>#DIV/0!</v>
      </c>
      <c r="J604" s="28"/>
      <c r="K604" s="28"/>
      <c r="L604" s="28"/>
      <c r="M604" s="4" t="e">
        <f t="shared" si="35"/>
        <v>#DIV/0!</v>
      </c>
      <c r="AJ604" s="25">
        <v>8.61953566475301E-2</v>
      </c>
      <c r="AK604" s="25">
        <v>230.82585743214301</v>
      </c>
      <c r="AL604" s="11">
        <f t="shared" si="37"/>
        <v>0.45925382902939821</v>
      </c>
      <c r="AP604" s="65" t="s">
        <v>161</v>
      </c>
      <c r="AQ604" s="66">
        <v>230.82585743214301</v>
      </c>
      <c r="AR604" s="66">
        <v>8.61953566475301E-2</v>
      </c>
      <c r="BD604" s="21" t="s">
        <v>199</v>
      </c>
    </row>
    <row r="605" spans="2:56" x14ac:dyDescent="0.3">
      <c r="B605" s="11" t="s">
        <v>202</v>
      </c>
      <c r="C605" s="28" t="s">
        <v>162</v>
      </c>
      <c r="D605" s="28"/>
      <c r="E605" s="28"/>
      <c r="F605" s="41"/>
      <c r="G605" s="28"/>
      <c r="H605" s="37"/>
      <c r="I605" s="36" t="e">
        <f t="shared" si="36"/>
        <v>#DIV/0!</v>
      </c>
      <c r="J605" s="28"/>
      <c r="K605" s="28"/>
      <c r="L605" s="28"/>
      <c r="M605" s="4" t="e">
        <f t="shared" si="35"/>
        <v>#DIV/0!</v>
      </c>
      <c r="AJ605" s="25">
        <v>5.7124685403199101E-2</v>
      </c>
      <c r="AK605" s="25">
        <v>130.664046003735</v>
      </c>
      <c r="AL605" s="11">
        <f t="shared" si="37"/>
        <v>9.7529506180411688E-2</v>
      </c>
      <c r="AP605" s="65" t="s">
        <v>161</v>
      </c>
      <c r="AQ605" s="66">
        <v>130.664046003735</v>
      </c>
      <c r="AR605" s="66">
        <v>5.7124685403199101E-2</v>
      </c>
      <c r="BD605" s="21" t="s">
        <v>199</v>
      </c>
    </row>
    <row r="606" spans="2:56" x14ac:dyDescent="0.3">
      <c r="B606" s="11" t="s">
        <v>202</v>
      </c>
      <c r="C606" s="28" t="s">
        <v>162</v>
      </c>
      <c r="D606" s="28"/>
      <c r="E606" s="28"/>
      <c r="F606" s="41"/>
      <c r="G606" s="28"/>
      <c r="H606" s="37"/>
      <c r="I606" s="36" t="e">
        <f t="shared" si="36"/>
        <v>#DIV/0!</v>
      </c>
      <c r="J606" s="28"/>
      <c r="K606" s="28"/>
      <c r="L606" s="28"/>
      <c r="M606" s="4" t="e">
        <f t="shared" si="35"/>
        <v>#DIV/0!</v>
      </c>
      <c r="AJ606" s="25">
        <v>7.0170382867038E-2</v>
      </c>
      <c r="AK606" s="25">
        <v>170.784146021277</v>
      </c>
      <c r="AL606" s="11">
        <f t="shared" si="37"/>
        <v>0.20466753125945206</v>
      </c>
      <c r="AP606" s="65" t="s">
        <v>161</v>
      </c>
      <c r="AQ606" s="66">
        <v>170.784146021277</v>
      </c>
      <c r="AR606" s="66">
        <v>7.0170382867038E-2</v>
      </c>
      <c r="BD606" s="21" t="s">
        <v>199</v>
      </c>
    </row>
    <row r="607" spans="2:56" x14ac:dyDescent="0.3">
      <c r="B607" s="11" t="s">
        <v>202</v>
      </c>
      <c r="C607" s="28" t="s">
        <v>162</v>
      </c>
      <c r="D607" s="28"/>
      <c r="E607" s="28"/>
      <c r="F607" s="41"/>
      <c r="G607" s="28"/>
      <c r="H607" s="37"/>
      <c r="I607" s="36" t="e">
        <f t="shared" si="36"/>
        <v>#DIV/0!</v>
      </c>
      <c r="J607" s="28"/>
      <c r="K607" s="28"/>
      <c r="L607" s="28"/>
      <c r="M607" s="4" t="e">
        <f t="shared" si="35"/>
        <v>#DIV/0!</v>
      </c>
      <c r="AJ607" s="25">
        <v>0.100572996445752</v>
      </c>
      <c r="AK607" s="25">
        <v>182.562736217599</v>
      </c>
      <c r="AL607" s="11">
        <f t="shared" si="37"/>
        <v>0.33520127515370512</v>
      </c>
      <c r="AP607" s="65" t="s">
        <v>161</v>
      </c>
      <c r="AQ607" s="66">
        <v>182.562736217599</v>
      </c>
      <c r="AR607" s="66">
        <v>0.100572996445752</v>
      </c>
      <c r="BD607" s="21" t="s">
        <v>199</v>
      </c>
    </row>
    <row r="608" spans="2:56" x14ac:dyDescent="0.3">
      <c r="B608" s="11" t="s">
        <v>202</v>
      </c>
      <c r="C608" s="28" t="s">
        <v>162</v>
      </c>
      <c r="D608" s="28"/>
      <c r="E608" s="28"/>
      <c r="F608" s="41"/>
      <c r="G608" s="28"/>
      <c r="H608" s="37"/>
      <c r="I608" s="36" t="e">
        <f t="shared" si="36"/>
        <v>#DIV/0!</v>
      </c>
      <c r="J608" s="28"/>
      <c r="K608" s="28"/>
      <c r="L608" s="28"/>
      <c r="M608" s="4" t="e">
        <f t="shared" ref="M608:M671" si="38">K608/L608</f>
        <v>#DIV/0!</v>
      </c>
      <c r="AJ608" s="25">
        <v>0.82815979711259902</v>
      </c>
      <c r="AK608" s="25">
        <v>115.960103585233</v>
      </c>
      <c r="AL608" s="11">
        <f t="shared" si="37"/>
        <v>1.1136054127380806</v>
      </c>
      <c r="AP608" s="65" t="s">
        <v>161</v>
      </c>
      <c r="AQ608" s="66">
        <v>115.960103585233</v>
      </c>
      <c r="AR608" s="66">
        <v>0.82815979711259902</v>
      </c>
      <c r="BD608" s="21" t="s">
        <v>199</v>
      </c>
    </row>
    <row r="609" spans="2:56" x14ac:dyDescent="0.3">
      <c r="B609" s="11" t="s">
        <v>202</v>
      </c>
      <c r="C609" s="28" t="s">
        <v>162</v>
      </c>
      <c r="D609" s="28"/>
      <c r="E609" s="28"/>
      <c r="F609" s="41"/>
      <c r="G609" s="28"/>
      <c r="H609" s="37"/>
      <c r="I609" s="36" t="e">
        <f t="shared" si="36"/>
        <v>#DIV/0!</v>
      </c>
      <c r="J609" s="28"/>
      <c r="K609" s="28"/>
      <c r="L609" s="28"/>
      <c r="M609" s="4" t="e">
        <f t="shared" si="38"/>
        <v>#DIV/0!</v>
      </c>
      <c r="AJ609" s="25">
        <v>1.18697531534554</v>
      </c>
      <c r="AK609" s="25">
        <v>87.205907462688401</v>
      </c>
      <c r="AL609" s="11">
        <f t="shared" si="37"/>
        <v>0.9026793318220605</v>
      </c>
      <c r="AP609" s="65" t="s">
        <v>161</v>
      </c>
      <c r="AQ609" s="66">
        <v>87.205907462688401</v>
      </c>
      <c r="AR609" s="66">
        <v>1.18697531534554</v>
      </c>
      <c r="BD609" s="21" t="s">
        <v>199</v>
      </c>
    </row>
    <row r="610" spans="2:56" x14ac:dyDescent="0.3">
      <c r="B610" s="11" t="s">
        <v>202</v>
      </c>
      <c r="C610" s="28" t="s">
        <v>162</v>
      </c>
      <c r="D610" s="28"/>
      <c r="E610" s="28"/>
      <c r="F610" s="41"/>
      <c r="G610" s="28"/>
      <c r="H610" s="37"/>
      <c r="I610" s="36" t="e">
        <f t="shared" si="36"/>
        <v>#DIV/0!</v>
      </c>
      <c r="J610" s="28"/>
      <c r="K610" s="28"/>
      <c r="L610" s="28"/>
      <c r="M610" s="4" t="e">
        <f t="shared" si="38"/>
        <v>#DIV/0!</v>
      </c>
      <c r="AJ610" s="25">
        <v>1.70125427985258</v>
      </c>
      <c r="AK610" s="25">
        <v>141.68656493137601</v>
      </c>
      <c r="AL610" s="11">
        <f t="shared" si="37"/>
        <v>3.4152820331237135</v>
      </c>
      <c r="AP610" s="65" t="s">
        <v>161</v>
      </c>
      <c r="AQ610" s="66">
        <v>141.68656493137601</v>
      </c>
      <c r="AR610" s="66">
        <v>1.70125427985258</v>
      </c>
      <c r="BD610" s="21" t="s">
        <v>199</v>
      </c>
    </row>
    <row r="611" spans="2:56" x14ac:dyDescent="0.3">
      <c r="B611" s="11" t="s">
        <v>202</v>
      </c>
      <c r="C611" s="28" t="s">
        <v>162</v>
      </c>
      <c r="D611" s="28"/>
      <c r="E611" s="28"/>
      <c r="F611" s="41"/>
      <c r="G611" s="28"/>
      <c r="H611" s="37"/>
      <c r="I611" s="36" t="e">
        <f t="shared" si="36"/>
        <v>#DIV/0!</v>
      </c>
      <c r="J611" s="28"/>
      <c r="K611" s="28"/>
      <c r="L611" s="28"/>
      <c r="M611" s="4" t="e">
        <f t="shared" si="38"/>
        <v>#DIV/0!</v>
      </c>
      <c r="AJ611" s="25">
        <v>3.3196462865076302</v>
      </c>
      <c r="AK611" s="25">
        <v>70.087330978249796</v>
      </c>
      <c r="AL611" s="11">
        <f t="shared" si="37"/>
        <v>1.6306879235903091</v>
      </c>
      <c r="AP611" s="65" t="s">
        <v>161</v>
      </c>
      <c r="AQ611" s="66">
        <v>70.087330978249796</v>
      </c>
      <c r="AR611" s="66">
        <v>3.3196462865076302</v>
      </c>
      <c r="BD611" s="21" t="s">
        <v>199</v>
      </c>
    </row>
    <row r="612" spans="2:56" x14ac:dyDescent="0.3">
      <c r="B612" s="11" t="s">
        <v>202</v>
      </c>
      <c r="C612" s="28" t="s">
        <v>162</v>
      </c>
      <c r="D612" s="28"/>
      <c r="E612" s="28"/>
      <c r="F612" s="41"/>
      <c r="G612" s="28"/>
      <c r="H612" s="37"/>
      <c r="I612" s="36" t="e">
        <f t="shared" si="36"/>
        <v>#DIV/0!</v>
      </c>
      <c r="J612" s="28"/>
      <c r="K612" s="28"/>
      <c r="L612" s="28"/>
      <c r="M612" s="4" t="e">
        <f t="shared" si="38"/>
        <v>#DIV/0!</v>
      </c>
      <c r="AJ612" s="25">
        <v>50.665769172965</v>
      </c>
      <c r="AK612" s="25">
        <v>63.247985180492101</v>
      </c>
      <c r="AL612" s="11">
        <f t="shared" si="37"/>
        <v>20.267866297161316</v>
      </c>
      <c r="AP612" s="65" t="s">
        <v>161</v>
      </c>
      <c r="AQ612" s="66">
        <v>63.247985180492101</v>
      </c>
      <c r="AR612" s="66">
        <v>50.665769172965</v>
      </c>
      <c r="BD612" s="21" t="s">
        <v>199</v>
      </c>
    </row>
    <row r="613" spans="2:56" x14ac:dyDescent="0.3">
      <c r="B613" s="11" t="s">
        <v>202</v>
      </c>
      <c r="C613" s="28" t="s">
        <v>162</v>
      </c>
      <c r="D613" s="28"/>
      <c r="E613" s="28"/>
      <c r="F613" s="41"/>
      <c r="G613" s="28"/>
      <c r="H613" s="37"/>
      <c r="I613" s="36" t="e">
        <f t="shared" si="36"/>
        <v>#DIV/0!</v>
      </c>
      <c r="J613" s="28"/>
      <c r="K613" s="28"/>
      <c r="L613" s="28"/>
      <c r="M613" s="4" t="e">
        <f t="shared" si="38"/>
        <v>#DIV/0!</v>
      </c>
      <c r="AJ613" s="25">
        <v>89.201510467636197</v>
      </c>
      <c r="AK613" s="25">
        <v>49.176461407568603</v>
      </c>
      <c r="AL613" s="11">
        <f t="shared" si="37"/>
        <v>21.571818540672595</v>
      </c>
      <c r="AP613" s="65" t="s">
        <v>161</v>
      </c>
      <c r="AQ613" s="66">
        <v>49.176461407568603</v>
      </c>
      <c r="AR613" s="66">
        <v>89.201510467636197</v>
      </c>
      <c r="BD613" s="21" t="s">
        <v>199</v>
      </c>
    </row>
    <row r="614" spans="2:56" x14ac:dyDescent="0.3">
      <c r="B614" s="11" t="s">
        <v>202</v>
      </c>
      <c r="C614" s="28" t="s">
        <v>162</v>
      </c>
      <c r="D614" s="28"/>
      <c r="E614" s="28"/>
      <c r="F614" s="41"/>
      <c r="G614" s="28"/>
      <c r="H614" s="37"/>
      <c r="I614" s="36" t="e">
        <f t="shared" si="36"/>
        <v>#DIV/0!</v>
      </c>
      <c r="J614" s="28"/>
      <c r="K614" s="28"/>
      <c r="L614" s="28"/>
      <c r="M614" s="4" t="e">
        <f t="shared" si="38"/>
        <v>#DIV/0!</v>
      </c>
      <c r="AJ614" s="25">
        <v>115.354552687086</v>
      </c>
      <c r="AK614" s="25">
        <v>43.001660337642399</v>
      </c>
      <c r="AL614" s="11">
        <f t="shared" si="37"/>
        <v>21.330703960194249</v>
      </c>
      <c r="AP614" s="65" t="s">
        <v>161</v>
      </c>
      <c r="AQ614" s="66">
        <v>43.001660337642399</v>
      </c>
      <c r="AR614" s="66">
        <v>115.354552687086</v>
      </c>
      <c r="BD614" s="21" t="s">
        <v>199</v>
      </c>
    </row>
    <row r="615" spans="2:56" x14ac:dyDescent="0.3">
      <c r="B615" s="11" t="s">
        <v>202</v>
      </c>
      <c r="C615" s="28" t="s">
        <v>162</v>
      </c>
      <c r="D615" s="28"/>
      <c r="E615" s="28"/>
      <c r="F615" s="41"/>
      <c r="G615" s="28"/>
      <c r="H615" s="37"/>
      <c r="I615" s="36" t="e">
        <f t="shared" si="36"/>
        <v>#DIV/0!</v>
      </c>
      <c r="J615" s="28"/>
      <c r="K615" s="28"/>
      <c r="L615" s="28"/>
      <c r="M615" s="4" t="e">
        <f t="shared" si="38"/>
        <v>#DIV/0!</v>
      </c>
      <c r="AJ615" s="25">
        <v>165.33404184758001</v>
      </c>
      <c r="AK615" s="25">
        <v>38.234006377252797</v>
      </c>
      <c r="AL615" s="11">
        <f t="shared" si="37"/>
        <v>24.169179068502402</v>
      </c>
      <c r="AP615" s="65" t="s">
        <v>161</v>
      </c>
      <c r="AQ615" s="66">
        <v>38.234006377252797</v>
      </c>
      <c r="AR615" s="66">
        <v>165.33404184758001</v>
      </c>
      <c r="BD615" s="21" t="s">
        <v>199</v>
      </c>
    </row>
    <row r="616" spans="2:56" x14ac:dyDescent="0.3">
      <c r="B616" s="11" t="s">
        <v>202</v>
      </c>
      <c r="C616" s="28" t="s">
        <v>162</v>
      </c>
      <c r="D616" s="28"/>
      <c r="E616" s="28"/>
      <c r="F616" s="41"/>
      <c r="G616" s="28"/>
      <c r="H616" s="37"/>
      <c r="I616" s="36" t="e">
        <f t="shared" si="36"/>
        <v>#DIV/0!</v>
      </c>
      <c r="J616" s="28"/>
      <c r="K616" s="28"/>
      <c r="L616" s="28"/>
      <c r="M616" s="4" t="e">
        <f t="shared" si="38"/>
        <v>#DIV/0!</v>
      </c>
      <c r="AJ616" s="25">
        <v>249.47230085282499</v>
      </c>
      <c r="AK616" s="25">
        <v>35.151333102082297</v>
      </c>
      <c r="AL616" s="11">
        <f t="shared" si="37"/>
        <v>30.825202108846202</v>
      </c>
      <c r="AP616" s="65" t="s">
        <v>161</v>
      </c>
      <c r="AQ616" s="66">
        <v>35.151333102082297</v>
      </c>
      <c r="AR616" s="66">
        <v>249.47230085282499</v>
      </c>
      <c r="BD616" s="21" t="s">
        <v>199</v>
      </c>
    </row>
    <row r="617" spans="2:56" x14ac:dyDescent="0.3">
      <c r="B617" s="11" t="s">
        <v>202</v>
      </c>
      <c r="C617" s="28" t="s">
        <v>162</v>
      </c>
      <c r="D617" s="28"/>
      <c r="E617" s="28"/>
      <c r="F617" s="41"/>
      <c r="G617" s="28"/>
      <c r="H617" s="37"/>
      <c r="I617" s="36" t="e">
        <f t="shared" si="36"/>
        <v>#DIV/0!</v>
      </c>
      <c r="J617" s="28"/>
      <c r="K617" s="28"/>
      <c r="L617" s="28"/>
      <c r="M617" s="4" t="e">
        <f t="shared" si="38"/>
        <v>#DIV/0!</v>
      </c>
      <c r="AJ617" s="25">
        <v>93.908459136710306</v>
      </c>
      <c r="AK617" s="25">
        <v>34.594890139670497</v>
      </c>
      <c r="AL617" s="11">
        <f t="shared" si="37"/>
        <v>11.239024714170878</v>
      </c>
      <c r="AP617" s="65" t="s">
        <v>161</v>
      </c>
      <c r="AQ617" s="66">
        <v>34.594890139670497</v>
      </c>
      <c r="AR617" s="66">
        <v>93.908459136710306</v>
      </c>
      <c r="BD617" s="21" t="s">
        <v>199</v>
      </c>
    </row>
    <row r="618" spans="2:56" x14ac:dyDescent="0.3">
      <c r="B618" s="11" t="s">
        <v>202</v>
      </c>
      <c r="C618" s="28" t="s">
        <v>162</v>
      </c>
      <c r="D618" s="28"/>
      <c r="E618" s="28"/>
      <c r="F618" s="41"/>
      <c r="G618" s="28"/>
      <c r="H618" s="37"/>
      <c r="I618" s="36" t="e">
        <f t="shared" si="36"/>
        <v>#DIV/0!</v>
      </c>
      <c r="J618" s="28"/>
      <c r="K618" s="28"/>
      <c r="L618" s="28"/>
      <c r="M618" s="4" t="e">
        <f t="shared" si="38"/>
        <v>#DIV/0!</v>
      </c>
      <c r="AJ618" s="25">
        <v>115.354552687086</v>
      </c>
      <c r="AK618" s="25">
        <v>34.589140458022499</v>
      </c>
      <c r="AL618" s="11">
        <f t="shared" si="37"/>
        <v>13.80111832241758</v>
      </c>
      <c r="AP618" s="65" t="s">
        <v>161</v>
      </c>
      <c r="AQ618" s="66">
        <v>34.589140458022499</v>
      </c>
      <c r="AR618" s="66">
        <v>115.354552687086</v>
      </c>
      <c r="BD618" s="21" t="s">
        <v>199</v>
      </c>
    </row>
    <row r="619" spans="2:56" x14ac:dyDescent="0.3">
      <c r="B619" s="11" t="s">
        <v>202</v>
      </c>
      <c r="C619" s="28" t="s">
        <v>162</v>
      </c>
      <c r="D619" s="28"/>
      <c r="E619" s="28"/>
      <c r="F619" s="41"/>
      <c r="G619" s="28"/>
      <c r="H619" s="37"/>
      <c r="I619" s="36" t="e">
        <f t="shared" si="36"/>
        <v>#DIV/0!</v>
      </c>
      <c r="J619" s="28"/>
      <c r="K619" s="28"/>
      <c r="L619" s="28"/>
      <c r="M619" s="4" t="e">
        <f t="shared" si="38"/>
        <v>#DIV/0!</v>
      </c>
      <c r="AJ619" s="25">
        <v>134.59603241553501</v>
      </c>
      <c r="AK619" s="25">
        <v>34.0104911142706</v>
      </c>
      <c r="AL619" s="11">
        <f t="shared" si="37"/>
        <v>15.5689048526704</v>
      </c>
      <c r="AP619" s="65" t="s">
        <v>161</v>
      </c>
      <c r="AQ619" s="66">
        <v>34.0104911142706</v>
      </c>
      <c r="AR619" s="66">
        <v>134.59603241553501</v>
      </c>
      <c r="BD619" s="21" t="s">
        <v>199</v>
      </c>
    </row>
    <row r="620" spans="2:56" x14ac:dyDescent="0.3">
      <c r="B620" s="11" t="s">
        <v>202</v>
      </c>
      <c r="C620" s="28" t="s">
        <v>162</v>
      </c>
      <c r="D620" s="28"/>
      <c r="E620" s="28"/>
      <c r="F620" s="41"/>
      <c r="G620" s="28"/>
      <c r="H620" s="37"/>
      <c r="I620" s="36" t="e">
        <f t="shared" si="36"/>
        <v>#DIV/0!</v>
      </c>
      <c r="J620" s="28"/>
      <c r="K620" s="28"/>
      <c r="L620" s="28"/>
      <c r="M620" s="4" t="e">
        <f t="shared" si="38"/>
        <v>#DIV/0!</v>
      </c>
      <c r="AJ620" s="25">
        <v>165.33404184758101</v>
      </c>
      <c r="AK620" s="25">
        <v>31.801661328707301</v>
      </c>
      <c r="AL620" s="11">
        <f t="shared" si="37"/>
        <v>16.720986621275692</v>
      </c>
      <c r="AP620" s="65" t="s">
        <v>161</v>
      </c>
      <c r="AQ620" s="66">
        <v>31.801661328707301</v>
      </c>
      <c r="AR620" s="66">
        <v>165.33404184758101</v>
      </c>
      <c r="BD620" s="21" t="s">
        <v>199</v>
      </c>
    </row>
    <row r="621" spans="2:56" x14ac:dyDescent="0.3">
      <c r="B621" s="11" t="s">
        <v>202</v>
      </c>
      <c r="C621" s="28" t="s">
        <v>162</v>
      </c>
      <c r="D621" s="28"/>
      <c r="E621" s="28"/>
      <c r="F621" s="41"/>
      <c r="G621" s="28"/>
      <c r="H621" s="37"/>
      <c r="I621" s="36" t="e">
        <f t="shared" si="36"/>
        <v>#DIV/0!</v>
      </c>
      <c r="J621" s="28"/>
      <c r="K621" s="28"/>
      <c r="L621" s="28"/>
      <c r="M621" s="4" t="e">
        <f t="shared" si="38"/>
        <v>#DIV/0!</v>
      </c>
      <c r="AJ621" s="25">
        <v>203.091762090472</v>
      </c>
      <c r="AK621" s="25">
        <v>32.333323662527498</v>
      </c>
      <c r="AL621" s="11">
        <f t="shared" si="37"/>
        <v>21.232102738065791</v>
      </c>
      <c r="AP621" s="65" t="s">
        <v>161</v>
      </c>
      <c r="AQ621" s="66">
        <v>32.333323662527498</v>
      </c>
      <c r="AR621" s="66">
        <v>203.091762090472</v>
      </c>
      <c r="BD621" s="21" t="s">
        <v>199</v>
      </c>
    </row>
    <row r="622" spans="2:56" x14ac:dyDescent="0.3">
      <c r="B622" s="11" t="s">
        <v>202</v>
      </c>
      <c r="C622" s="28" t="s">
        <v>162</v>
      </c>
      <c r="D622" s="28"/>
      <c r="E622" s="28"/>
      <c r="F622" s="41"/>
      <c r="G622" s="28"/>
      <c r="H622" s="37"/>
      <c r="I622" s="36" t="e">
        <f t="shared" si="36"/>
        <v>#DIV/0!</v>
      </c>
      <c r="J622" s="28"/>
      <c r="K622" s="28"/>
      <c r="L622" s="28"/>
      <c r="M622" s="4" t="e">
        <f t="shared" si="38"/>
        <v>#DIV/0!</v>
      </c>
      <c r="AJ622" s="25">
        <v>174.058320664691</v>
      </c>
      <c r="AK622" s="25">
        <v>22.749780792561701</v>
      </c>
      <c r="AL622" s="11">
        <f t="shared" si="37"/>
        <v>9.008432355040723</v>
      </c>
      <c r="AP622" s="65" t="s">
        <v>161</v>
      </c>
      <c r="AQ622" s="66">
        <v>22.749780792561701</v>
      </c>
      <c r="AR622" s="66">
        <v>174.058320664691</v>
      </c>
      <c r="BD622" s="21" t="s">
        <v>199</v>
      </c>
    </row>
    <row r="623" spans="2:56" x14ac:dyDescent="0.3">
      <c r="B623" s="11" t="s">
        <v>202</v>
      </c>
      <c r="C623" s="28" t="s">
        <v>162</v>
      </c>
      <c r="D623" s="28"/>
      <c r="E623" s="28"/>
      <c r="F623" s="41"/>
      <c r="G623" s="28"/>
      <c r="H623" s="37"/>
      <c r="I623" s="36" t="e">
        <f t="shared" si="36"/>
        <v>#DIV/0!</v>
      </c>
      <c r="J623" s="28"/>
      <c r="K623" s="28"/>
      <c r="L623" s="28"/>
      <c r="M623" s="4" t="e">
        <f t="shared" si="38"/>
        <v>#DIV/0!</v>
      </c>
      <c r="AJ623" s="25">
        <v>192.912247826694</v>
      </c>
      <c r="AK623" s="25">
        <v>23.919896998861201</v>
      </c>
      <c r="AL623" s="11">
        <f t="shared" si="37"/>
        <v>11.037695576748469</v>
      </c>
      <c r="AP623" s="65" t="s">
        <v>161</v>
      </c>
      <c r="AQ623" s="66">
        <v>23.919896998861201</v>
      </c>
      <c r="AR623" s="66">
        <v>192.912247826694</v>
      </c>
      <c r="BD623" s="21" t="s">
        <v>199</v>
      </c>
    </row>
    <row r="624" spans="2:56" x14ac:dyDescent="0.3">
      <c r="B624" s="11" t="s">
        <v>202</v>
      </c>
      <c r="C624" s="28" t="s">
        <v>162</v>
      </c>
      <c r="D624" s="28"/>
      <c r="E624" s="28"/>
      <c r="F624" s="41"/>
      <c r="G624" s="28"/>
      <c r="H624" s="37"/>
      <c r="I624" s="36" t="e">
        <f t="shared" si="36"/>
        <v>#DIV/0!</v>
      </c>
      <c r="J624" s="28"/>
      <c r="K624" s="28"/>
      <c r="L624" s="28"/>
      <c r="M624" s="4" t="e">
        <f t="shared" si="38"/>
        <v>#DIV/0!</v>
      </c>
      <c r="AJ624" s="25">
        <v>291.08501667419802</v>
      </c>
      <c r="AK624" s="25">
        <v>15.998139481354301</v>
      </c>
      <c r="AL624" s="11">
        <f t="shared" si="37"/>
        <v>7.4500435064961916</v>
      </c>
      <c r="AP624" s="65" t="s">
        <v>161</v>
      </c>
      <c r="AQ624" s="66">
        <v>15.998139481354301</v>
      </c>
      <c r="AR624" s="66">
        <v>291.08501667419802</v>
      </c>
      <c r="BD624" s="21" t="s">
        <v>199</v>
      </c>
    </row>
    <row r="625" spans="2:56" x14ac:dyDescent="0.3">
      <c r="B625" s="11" t="s">
        <v>202</v>
      </c>
      <c r="C625" s="28" t="s">
        <v>162</v>
      </c>
      <c r="D625" s="28"/>
      <c r="E625" s="28"/>
      <c r="F625" s="41"/>
      <c r="G625" s="28"/>
      <c r="H625" s="37"/>
      <c r="I625" s="36" t="e">
        <f t="shared" si="36"/>
        <v>#DIV/0!</v>
      </c>
      <c r="J625" s="28"/>
      <c r="K625" s="28"/>
      <c r="L625" s="28"/>
      <c r="M625" s="4" t="e">
        <f t="shared" si="38"/>
        <v>#DIV/0!</v>
      </c>
      <c r="AJ625" s="25">
        <v>203.091762090473</v>
      </c>
      <c r="AK625" s="25">
        <v>18.920084727722902</v>
      </c>
      <c r="AL625" s="11">
        <f t="shared" si="37"/>
        <v>7.2700678078537226</v>
      </c>
      <c r="AP625" s="65" t="s">
        <v>161</v>
      </c>
      <c r="AQ625" s="66">
        <v>18.920084727722902</v>
      </c>
      <c r="AR625" s="66">
        <v>203.091762090473</v>
      </c>
      <c r="BD625" s="21" t="s">
        <v>199</v>
      </c>
    </row>
    <row r="626" spans="2:56" x14ac:dyDescent="0.3">
      <c r="B626" s="11" t="s">
        <v>202</v>
      </c>
      <c r="C626" s="28" t="s">
        <v>162</v>
      </c>
      <c r="D626" s="28"/>
      <c r="E626" s="28"/>
      <c r="F626" s="41"/>
      <c r="G626" s="28"/>
      <c r="H626" s="37"/>
      <c r="I626" s="36" t="e">
        <f t="shared" si="36"/>
        <v>#DIV/0!</v>
      </c>
      <c r="J626" s="28"/>
      <c r="K626" s="28"/>
      <c r="L626" s="28"/>
      <c r="M626" s="4" t="e">
        <f t="shared" si="38"/>
        <v>#DIV/0!</v>
      </c>
      <c r="AJ626" s="25">
        <v>192.912247826694</v>
      </c>
      <c r="AK626" s="25">
        <v>18.920870940404299</v>
      </c>
      <c r="AL626" s="11">
        <f t="shared" si="37"/>
        <v>6.9062460707051638</v>
      </c>
      <c r="AP626" s="65" t="s">
        <v>161</v>
      </c>
      <c r="AQ626" s="66">
        <v>18.920870940404299</v>
      </c>
      <c r="AR626" s="66">
        <v>192.912247826694</v>
      </c>
      <c r="BD626" s="21" t="s">
        <v>199</v>
      </c>
    </row>
    <row r="627" spans="2:56" x14ac:dyDescent="0.3">
      <c r="B627" s="11" t="s">
        <v>202</v>
      </c>
      <c r="C627" s="28" t="s">
        <v>162</v>
      </c>
      <c r="D627" s="28"/>
      <c r="E627" s="28"/>
      <c r="F627" s="41"/>
      <c r="G627" s="28"/>
      <c r="H627" s="37"/>
      <c r="I627" s="36" t="e">
        <f t="shared" si="36"/>
        <v>#DIV/0!</v>
      </c>
      <c r="J627" s="28"/>
      <c r="K627" s="28"/>
      <c r="L627" s="28"/>
      <c r="M627" s="4" t="e">
        <f t="shared" si="38"/>
        <v>#DIV/0!</v>
      </c>
      <c r="AJ627" s="25">
        <v>35.3498110503009</v>
      </c>
      <c r="AK627" s="25">
        <v>52.6226870520142</v>
      </c>
      <c r="AL627" s="11">
        <f t="shared" si="37"/>
        <v>9.7888830027969984</v>
      </c>
      <c r="AP627" s="65" t="s">
        <v>161</v>
      </c>
      <c r="AQ627" s="66">
        <v>52.6226870520142</v>
      </c>
      <c r="AR627" s="66">
        <v>35.3498110503009</v>
      </c>
      <c r="BD627" s="21" t="s">
        <v>199</v>
      </c>
    </row>
    <row r="628" spans="2:56" x14ac:dyDescent="0.3">
      <c r="B628" s="11" t="s">
        <v>202</v>
      </c>
      <c r="C628" s="28" t="s">
        <v>162</v>
      </c>
      <c r="D628" s="28"/>
      <c r="E628" s="28"/>
      <c r="F628" s="41"/>
      <c r="G628" s="28"/>
      <c r="H628" s="37"/>
      <c r="I628" s="36" t="e">
        <f t="shared" si="36"/>
        <v>#DIV/0!</v>
      </c>
      <c r="J628" s="28"/>
      <c r="K628" s="28"/>
      <c r="L628" s="28"/>
      <c r="M628" s="4" t="e">
        <f t="shared" si="38"/>
        <v>#DIV/0!</v>
      </c>
      <c r="AJ628" s="25">
        <v>35.3498110503009</v>
      </c>
      <c r="AK628" s="25">
        <v>43.0427780132392</v>
      </c>
      <c r="AL628" s="11">
        <f t="shared" si="37"/>
        <v>6.549191406361035</v>
      </c>
      <c r="AP628" s="65" t="s">
        <v>161</v>
      </c>
      <c r="AQ628" s="66">
        <v>43.0427780132392</v>
      </c>
      <c r="AR628" s="66">
        <v>35.3498110503009</v>
      </c>
      <c r="BD628" s="21" t="s">
        <v>199</v>
      </c>
    </row>
    <row r="629" spans="2:56" x14ac:dyDescent="0.3">
      <c r="B629" s="11" t="s">
        <v>202</v>
      </c>
      <c r="C629" s="28" t="s">
        <v>162</v>
      </c>
      <c r="D629" s="28"/>
      <c r="E629" s="28"/>
      <c r="F629" s="41"/>
      <c r="G629" s="28"/>
      <c r="H629" s="37"/>
      <c r="I629" s="36" t="e">
        <f t="shared" si="36"/>
        <v>#DIV/0!</v>
      </c>
      <c r="J629" s="28"/>
      <c r="K629" s="28"/>
      <c r="L629" s="28"/>
      <c r="M629" s="4" t="e">
        <f t="shared" si="38"/>
        <v>#DIV/0!</v>
      </c>
      <c r="AJ629" s="25">
        <v>23.427559370378699</v>
      </c>
      <c r="AK629" s="25">
        <v>60.186516872754702</v>
      </c>
      <c r="AL629" s="11">
        <f t="shared" si="37"/>
        <v>8.4864384957243697</v>
      </c>
      <c r="AP629" s="65" t="s">
        <v>161</v>
      </c>
      <c r="AQ629" s="66">
        <v>60.186516872754702</v>
      </c>
      <c r="AR629" s="66">
        <v>23.427559370378699</v>
      </c>
      <c r="BD629" s="21" t="s">
        <v>199</v>
      </c>
    </row>
    <row r="630" spans="2:56" x14ac:dyDescent="0.3">
      <c r="B630" s="11" t="s">
        <v>202</v>
      </c>
      <c r="C630" s="28" t="s">
        <v>162</v>
      </c>
      <c r="D630" s="28"/>
      <c r="E630" s="28"/>
      <c r="F630" s="41"/>
      <c r="G630" s="28"/>
      <c r="H630" s="37"/>
      <c r="I630" s="36" t="e">
        <f t="shared" si="36"/>
        <v>#DIV/0!</v>
      </c>
      <c r="J630" s="28"/>
      <c r="K630" s="28"/>
      <c r="L630" s="28"/>
      <c r="M630" s="4" t="e">
        <f t="shared" si="38"/>
        <v>#DIV/0!</v>
      </c>
      <c r="AJ630" s="25">
        <v>5.5515834633496501</v>
      </c>
      <c r="AK630" s="25">
        <v>106.482254796193</v>
      </c>
      <c r="AL630" s="11">
        <f t="shared" si="37"/>
        <v>6.2946465807586369</v>
      </c>
      <c r="AP630" s="65" t="s">
        <v>161</v>
      </c>
      <c r="AQ630" s="66">
        <v>106.482254796193</v>
      </c>
      <c r="AR630" s="66">
        <v>5.5515834633496501</v>
      </c>
      <c r="BD630" s="21" t="s">
        <v>199</v>
      </c>
    </row>
    <row r="631" spans="2:56" x14ac:dyDescent="0.3">
      <c r="B631" s="11" t="s">
        <v>203</v>
      </c>
      <c r="C631" s="28" t="s">
        <v>89</v>
      </c>
      <c r="D631" s="28"/>
      <c r="E631" s="28"/>
      <c r="F631" s="41"/>
      <c r="G631" s="28"/>
      <c r="H631" s="37"/>
      <c r="I631" s="36" t="e">
        <f t="shared" si="36"/>
        <v>#DIV/0!</v>
      </c>
      <c r="J631" s="28"/>
      <c r="K631" s="28"/>
      <c r="L631" s="28"/>
      <c r="M631" s="4" t="e">
        <f t="shared" si="38"/>
        <v>#DIV/0!</v>
      </c>
      <c r="AJ631" s="25">
        <v>3.0469895709035002E-3</v>
      </c>
      <c r="AK631" s="25">
        <v>388.96634275170999</v>
      </c>
      <c r="AL631" s="11">
        <f t="shared" si="37"/>
        <v>4.6099372585498954E-2</v>
      </c>
      <c r="AP631" s="65" t="s">
        <v>161</v>
      </c>
      <c r="AQ631" s="66">
        <v>388.96634275170999</v>
      </c>
      <c r="AR631" s="66">
        <v>3.0469895709035002E-3</v>
      </c>
      <c r="BD631" s="21" t="s">
        <v>199</v>
      </c>
    </row>
    <row r="632" spans="2:56" x14ac:dyDescent="0.3">
      <c r="B632" s="11" t="s">
        <v>203</v>
      </c>
      <c r="C632" s="28" t="s">
        <v>89</v>
      </c>
      <c r="D632" s="28"/>
      <c r="E632" s="28"/>
      <c r="F632" s="41"/>
      <c r="G632" s="28"/>
      <c r="H632" s="37"/>
      <c r="I632" s="36" t="e">
        <f t="shared" si="36"/>
        <v>#DIV/0!</v>
      </c>
      <c r="J632" s="28"/>
      <c r="K632" s="28"/>
      <c r="L632" s="28"/>
      <c r="M632" s="4" t="e">
        <f t="shared" si="38"/>
        <v>#DIV/0!</v>
      </c>
      <c r="AJ632" s="25">
        <v>3.74283767644516E-3</v>
      </c>
      <c r="AK632" s="25">
        <v>269.05423822828601</v>
      </c>
      <c r="AL632" s="11">
        <f t="shared" si="37"/>
        <v>2.7094470474364436E-2</v>
      </c>
      <c r="AP632" s="65" t="s">
        <v>161</v>
      </c>
      <c r="AQ632" s="66">
        <v>269.05423822828601</v>
      </c>
      <c r="AR632" s="66">
        <v>3.74283767644516E-3</v>
      </c>
      <c r="BD632" s="21" t="s">
        <v>199</v>
      </c>
    </row>
    <row r="633" spans="2:56" x14ac:dyDescent="0.3">
      <c r="B633" s="11" t="s">
        <v>203</v>
      </c>
      <c r="C633" s="28" t="s">
        <v>89</v>
      </c>
      <c r="D633" s="28"/>
      <c r="E633" s="28"/>
      <c r="F633" s="41"/>
      <c r="G633" s="28"/>
      <c r="H633" s="37"/>
      <c r="I633" s="36" t="e">
        <f t="shared" si="36"/>
        <v>#DIV/0!</v>
      </c>
      <c r="J633" s="28"/>
      <c r="K633" s="28"/>
      <c r="L633" s="28"/>
      <c r="M633" s="4" t="e">
        <f t="shared" si="38"/>
        <v>#DIV/0!</v>
      </c>
      <c r="AJ633" s="25">
        <v>2.15033539456892E-2</v>
      </c>
      <c r="AK633" s="25">
        <v>282.51690471661402</v>
      </c>
      <c r="AL633" s="11">
        <f t="shared" si="37"/>
        <v>0.17163074290523173</v>
      </c>
      <c r="AP633" s="65" t="s">
        <v>161</v>
      </c>
      <c r="AQ633" s="66">
        <v>282.51690471661402</v>
      </c>
      <c r="AR633" s="66">
        <v>2.15033539456892E-2</v>
      </c>
      <c r="BD633" s="21" t="s">
        <v>199</v>
      </c>
    </row>
    <row r="634" spans="2:56" x14ac:dyDescent="0.3">
      <c r="B634" s="11" t="s">
        <v>203</v>
      </c>
      <c r="C634" s="28" t="s">
        <v>89</v>
      </c>
      <c r="D634" s="28"/>
      <c r="E634" s="28"/>
      <c r="F634" s="41"/>
      <c r="G634" s="28"/>
      <c r="H634" s="37"/>
      <c r="I634" s="36" t="e">
        <f t="shared" ref="I634:I697" si="39">((K634)*1000)/H634</f>
        <v>#DIV/0!</v>
      </c>
      <c r="J634" s="28"/>
      <c r="K634" s="28"/>
      <c r="L634" s="28"/>
      <c r="M634" s="4" t="e">
        <f t="shared" si="38"/>
        <v>#DIV/0!</v>
      </c>
      <c r="AJ634" s="25">
        <v>1.22137390022351E-2</v>
      </c>
      <c r="AK634" s="25">
        <v>157.28869024767499</v>
      </c>
      <c r="AL634" s="11">
        <f t="shared" ref="AL634:AL697" si="40">((AK634)^2*AJ634)/10000</f>
        <v>3.02164630608255E-2</v>
      </c>
      <c r="AP634" s="65" t="s">
        <v>161</v>
      </c>
      <c r="AQ634" s="66">
        <v>157.28869024767499</v>
      </c>
      <c r="AR634" s="66">
        <v>1.22137390022351E-2</v>
      </c>
      <c r="BD634" s="21" t="s">
        <v>199</v>
      </c>
    </row>
    <row r="635" spans="2:56" x14ac:dyDescent="0.3">
      <c r="B635" s="11" t="s">
        <v>203</v>
      </c>
      <c r="C635" s="28" t="s">
        <v>89</v>
      </c>
      <c r="D635" s="28"/>
      <c r="E635" s="28"/>
      <c r="F635" s="41"/>
      <c r="G635" s="28"/>
      <c r="H635" s="37"/>
      <c r="I635" s="36" t="e">
        <f t="shared" si="39"/>
        <v>#DIV/0!</v>
      </c>
      <c r="J635" s="28"/>
      <c r="K635" s="28"/>
      <c r="L635" s="28"/>
      <c r="M635" s="4" t="e">
        <f t="shared" si="38"/>
        <v>#DIV/0!</v>
      </c>
      <c r="AJ635" s="25">
        <v>3.2446380218716299E-2</v>
      </c>
      <c r="AK635" s="25">
        <v>176.71104862221199</v>
      </c>
      <c r="AL635" s="11">
        <f t="shared" si="40"/>
        <v>0.10131964540154757</v>
      </c>
      <c r="AP635" s="65" t="s">
        <v>161</v>
      </c>
      <c r="AQ635" s="66">
        <v>176.71104862221199</v>
      </c>
      <c r="AR635" s="66">
        <v>3.2446380218716299E-2</v>
      </c>
      <c r="BD635" s="21" t="s">
        <v>199</v>
      </c>
    </row>
    <row r="636" spans="2:56" x14ac:dyDescent="0.3">
      <c r="B636" s="11" t="s">
        <v>203</v>
      </c>
      <c r="C636" s="28" t="s">
        <v>89</v>
      </c>
      <c r="D636" s="28"/>
      <c r="E636" s="28"/>
      <c r="F636" s="41"/>
      <c r="G636" s="28"/>
      <c r="H636" s="37"/>
      <c r="I636" s="36" t="e">
        <f t="shared" si="39"/>
        <v>#DIV/0!</v>
      </c>
      <c r="J636" s="28"/>
      <c r="K636" s="28"/>
      <c r="L636" s="28"/>
      <c r="M636" s="4" t="e">
        <f t="shared" si="38"/>
        <v>#DIV/0!</v>
      </c>
      <c r="AJ636" s="25">
        <v>0.100572996445752</v>
      </c>
      <c r="AK636" s="25">
        <v>154.41335655139</v>
      </c>
      <c r="AL636" s="11">
        <f t="shared" si="40"/>
        <v>0.23980107001234924</v>
      </c>
      <c r="AP636" s="65" t="s">
        <v>161</v>
      </c>
      <c r="AQ636" s="66">
        <v>154.41335655139</v>
      </c>
      <c r="AR636" s="66">
        <v>0.100572996445752</v>
      </c>
      <c r="BD636" s="21" t="s">
        <v>199</v>
      </c>
    </row>
    <row r="637" spans="2:56" x14ac:dyDescent="0.3">
      <c r="B637" s="11" t="s">
        <v>203</v>
      </c>
      <c r="C637" s="28" t="s">
        <v>89</v>
      </c>
      <c r="D637" s="28"/>
      <c r="E637" s="28"/>
      <c r="F637" s="41"/>
      <c r="G637" s="28"/>
      <c r="H637" s="37"/>
      <c r="I637" s="36" t="e">
        <f t="shared" si="39"/>
        <v>#DIV/0!</v>
      </c>
      <c r="J637" s="28"/>
      <c r="K637" s="28"/>
      <c r="L637" s="28"/>
      <c r="M637" s="4" t="e">
        <f t="shared" si="38"/>
        <v>#DIV/0!</v>
      </c>
      <c r="AJ637" s="25">
        <v>3.1532565404323898</v>
      </c>
      <c r="AK637" s="25">
        <v>106.530937773194</v>
      </c>
      <c r="AL637" s="11">
        <f t="shared" si="40"/>
        <v>3.5785806172543353</v>
      </c>
      <c r="AP637" s="65" t="s">
        <v>161</v>
      </c>
      <c r="AQ637" s="66">
        <v>106.530937773194</v>
      </c>
      <c r="AR637" s="66">
        <v>3.1532565404323898</v>
      </c>
      <c r="BD637" s="21" t="s">
        <v>199</v>
      </c>
    </row>
    <row r="638" spans="2:56" x14ac:dyDescent="0.3">
      <c r="B638" s="11" t="s">
        <v>203</v>
      </c>
      <c r="C638" s="28" t="s">
        <v>89</v>
      </c>
      <c r="D638" s="28"/>
      <c r="E638" s="28"/>
      <c r="F638" s="41"/>
      <c r="G638" s="28"/>
      <c r="H638" s="37"/>
      <c r="I638" s="36" t="e">
        <f t="shared" si="39"/>
        <v>#DIV/0!</v>
      </c>
      <c r="J638" s="28"/>
      <c r="K638" s="28"/>
      <c r="L638" s="28"/>
      <c r="M638" s="4" t="e">
        <f t="shared" si="38"/>
        <v>#DIV/0!</v>
      </c>
      <c r="AJ638" s="25">
        <v>0.15976216802068999</v>
      </c>
      <c r="AK638" s="25">
        <v>124.158652566039</v>
      </c>
      <c r="AL638" s="11">
        <f t="shared" si="40"/>
        <v>0.24627930929239047</v>
      </c>
      <c r="AP638" s="65" t="s">
        <v>161</v>
      </c>
      <c r="AQ638" s="66">
        <v>124.158652566039</v>
      </c>
      <c r="AR638" s="66">
        <v>0.15976216802068999</v>
      </c>
      <c r="BD638" s="21" t="s">
        <v>199</v>
      </c>
    </row>
    <row r="639" spans="2:56" x14ac:dyDescent="0.3">
      <c r="B639" s="11" t="s">
        <v>203</v>
      </c>
      <c r="C639" s="28" t="s">
        <v>89</v>
      </c>
      <c r="D639" s="28"/>
      <c r="E639" s="28"/>
      <c r="F639" s="41"/>
      <c r="G639" s="28"/>
      <c r="H639" s="37"/>
      <c r="I639" s="36" t="e">
        <f t="shared" si="39"/>
        <v>#DIV/0!</v>
      </c>
      <c r="J639" s="28"/>
      <c r="K639" s="28"/>
      <c r="L639" s="28"/>
      <c r="M639" s="4" t="e">
        <f t="shared" si="38"/>
        <v>#DIV/0!</v>
      </c>
      <c r="AJ639" s="25">
        <v>0.15175445145238201</v>
      </c>
      <c r="AK639" s="25">
        <v>98.214781636051995</v>
      </c>
      <c r="AL639" s="11">
        <f t="shared" si="40"/>
        <v>0.14638451899509985</v>
      </c>
      <c r="AP639" s="65" t="s">
        <v>161</v>
      </c>
      <c r="AQ639" s="66">
        <v>98.214781636051995</v>
      </c>
      <c r="AR639" s="66">
        <v>0.15175445145238201</v>
      </c>
      <c r="BD639" s="21" t="s">
        <v>199</v>
      </c>
    </row>
    <row r="640" spans="2:56" x14ac:dyDescent="0.3">
      <c r="B640" s="11" t="s">
        <v>203</v>
      </c>
      <c r="C640" s="28" t="s">
        <v>89</v>
      </c>
      <c r="D640" s="28"/>
      <c r="E640" s="28"/>
      <c r="F640" s="41"/>
      <c r="G640" s="28"/>
      <c r="H640" s="37"/>
      <c r="I640" s="36" t="e">
        <f t="shared" si="39"/>
        <v>#DIV/0!</v>
      </c>
      <c r="J640" s="28"/>
      <c r="K640" s="28"/>
      <c r="L640" s="28"/>
      <c r="M640" s="4" t="e">
        <f t="shared" si="38"/>
        <v>#DIV/0!</v>
      </c>
      <c r="AJ640" s="25">
        <v>5.4261440021455498E-2</v>
      </c>
      <c r="AK640" s="25">
        <v>162.449957842765</v>
      </c>
      <c r="AL640" s="11">
        <f t="shared" si="40"/>
        <v>0.1431958794607168</v>
      </c>
      <c r="AP640" s="65" t="s">
        <v>161</v>
      </c>
      <c r="AQ640" s="66">
        <v>162.449957842765</v>
      </c>
      <c r="AR640" s="66">
        <v>5.4261440021455498E-2</v>
      </c>
      <c r="BD640" s="21" t="s">
        <v>199</v>
      </c>
    </row>
    <row r="641" spans="2:56" x14ac:dyDescent="0.3">
      <c r="B641" s="11" t="s">
        <v>203</v>
      </c>
      <c r="C641" s="28" t="s">
        <v>89</v>
      </c>
      <c r="D641" s="28"/>
      <c r="E641" s="28"/>
      <c r="F641" s="41"/>
      <c r="G641" s="28"/>
      <c r="H641" s="37"/>
      <c r="I641" s="36" t="e">
        <f t="shared" si="39"/>
        <v>#DIV/0!</v>
      </c>
      <c r="J641" s="28"/>
      <c r="K641" s="28"/>
      <c r="L641" s="28"/>
      <c r="M641" s="4" t="e">
        <f t="shared" si="38"/>
        <v>#DIV/0!</v>
      </c>
      <c r="AJ641" s="25">
        <v>10.2898003390066</v>
      </c>
      <c r="AK641" s="25">
        <v>65.486471449077897</v>
      </c>
      <c r="AL641" s="11">
        <f t="shared" si="40"/>
        <v>4.4127581790169463</v>
      </c>
      <c r="AP641" s="65" t="s">
        <v>161</v>
      </c>
      <c r="AQ641" s="66">
        <v>65.486471449077897</v>
      </c>
      <c r="AR641" s="66">
        <v>10.2898003390066</v>
      </c>
      <c r="BD641" s="21" t="s">
        <v>199</v>
      </c>
    </row>
    <row r="642" spans="2:56" x14ac:dyDescent="0.3">
      <c r="B642" s="11" t="s">
        <v>203</v>
      </c>
      <c r="C642" s="28" t="s">
        <v>89</v>
      </c>
      <c r="D642" s="28"/>
      <c r="E642" s="28"/>
      <c r="F642" s="41"/>
      <c r="G642" s="28"/>
      <c r="H642" s="37"/>
      <c r="I642" s="36" t="e">
        <f t="shared" si="39"/>
        <v>#DIV/0!</v>
      </c>
      <c r="J642" s="28"/>
      <c r="K642" s="28"/>
      <c r="L642" s="28"/>
      <c r="M642" s="4" t="e">
        <f t="shared" si="38"/>
        <v>#DIV/0!</v>
      </c>
      <c r="AJ642" s="25">
        <v>13.306672825637699</v>
      </c>
      <c r="AK642" s="25">
        <v>65.472866891479597</v>
      </c>
      <c r="AL642" s="11">
        <f t="shared" si="40"/>
        <v>5.7041665153524024</v>
      </c>
      <c r="AP642" s="65" t="s">
        <v>161</v>
      </c>
      <c r="AQ642" s="66">
        <v>65.472866891479597</v>
      </c>
      <c r="AR642" s="66">
        <v>13.306672825637699</v>
      </c>
      <c r="BD642" s="21" t="s">
        <v>199</v>
      </c>
    </row>
    <row r="643" spans="2:56" x14ac:dyDescent="0.3">
      <c r="B643" s="11" t="s">
        <v>203</v>
      </c>
      <c r="C643" s="28" t="s">
        <v>89</v>
      </c>
      <c r="D643" s="28"/>
      <c r="E643" s="28"/>
      <c r="F643" s="41"/>
      <c r="G643" s="28"/>
      <c r="H643" s="37"/>
      <c r="I643" s="36" t="e">
        <f t="shared" si="39"/>
        <v>#DIV/0!</v>
      </c>
      <c r="J643" s="28"/>
      <c r="K643" s="28"/>
      <c r="L643" s="28"/>
      <c r="M643" s="4" t="e">
        <f t="shared" si="38"/>
        <v>#DIV/0!</v>
      </c>
      <c r="AJ643" s="25">
        <v>10.8327682972487</v>
      </c>
      <c r="AK643" s="25">
        <v>58.240413930654498</v>
      </c>
      <c r="AL643" s="11">
        <f t="shared" si="40"/>
        <v>3.6744163088702231</v>
      </c>
      <c r="AP643" s="65" t="s">
        <v>161</v>
      </c>
      <c r="AQ643" s="66">
        <v>58.240413930654498</v>
      </c>
      <c r="AR643" s="66">
        <v>10.8327682972487</v>
      </c>
      <c r="BD643" s="21" t="s">
        <v>199</v>
      </c>
    </row>
    <row r="644" spans="2:56" x14ac:dyDescent="0.3">
      <c r="B644" s="11" t="s">
        <v>203</v>
      </c>
      <c r="C644" s="28" t="s">
        <v>89</v>
      </c>
      <c r="D644" s="28"/>
      <c r="E644" s="28"/>
      <c r="F644" s="41"/>
      <c r="G644" s="28"/>
      <c r="H644" s="37"/>
      <c r="I644" s="36" t="e">
        <f t="shared" si="39"/>
        <v>#DIV/0!</v>
      </c>
      <c r="J644" s="28"/>
      <c r="K644" s="28"/>
      <c r="L644" s="28"/>
      <c r="M644" s="4" t="e">
        <f t="shared" si="38"/>
        <v>#DIV/0!</v>
      </c>
      <c r="AJ644" s="25">
        <v>31.894961655089698</v>
      </c>
      <c r="AK644" s="25">
        <v>42.331500109309196</v>
      </c>
      <c r="AL644" s="11">
        <f t="shared" si="40"/>
        <v>5.7154364766095949</v>
      </c>
      <c r="AP644" s="65" t="s">
        <v>161</v>
      </c>
      <c r="AQ644" s="66">
        <v>42.331500109309196</v>
      </c>
      <c r="AR644" s="66">
        <v>31.894961655089698</v>
      </c>
      <c r="BD644" s="21" t="s">
        <v>199</v>
      </c>
    </row>
    <row r="645" spans="2:56" x14ac:dyDescent="0.3">
      <c r="B645" s="11" t="s">
        <v>203</v>
      </c>
      <c r="C645" s="28" t="s">
        <v>89</v>
      </c>
      <c r="D645" s="28"/>
      <c r="E645" s="28"/>
      <c r="F645" s="41"/>
      <c r="G645" s="28"/>
      <c r="H645" s="37"/>
      <c r="I645" s="36" t="e">
        <f t="shared" si="39"/>
        <v>#DIV/0!</v>
      </c>
      <c r="J645" s="28"/>
      <c r="K645" s="28"/>
      <c r="L645" s="28"/>
      <c r="M645" s="4" t="e">
        <f t="shared" si="38"/>
        <v>#DIV/0!</v>
      </c>
      <c r="AJ645" s="25">
        <v>48.126262328015699</v>
      </c>
      <c r="AK645" s="25">
        <v>35.198105377500497</v>
      </c>
      <c r="AL645" s="11">
        <f t="shared" si="40"/>
        <v>5.9623945098258915</v>
      </c>
      <c r="AP645" s="65" t="s">
        <v>161</v>
      </c>
      <c r="AQ645" s="66">
        <v>35.198105377500497</v>
      </c>
      <c r="AR645" s="66">
        <v>48.126262328015699</v>
      </c>
      <c r="BD645" s="21" t="s">
        <v>199</v>
      </c>
    </row>
    <row r="646" spans="2:56" x14ac:dyDescent="0.3">
      <c r="B646" s="11" t="s">
        <v>203</v>
      </c>
      <c r="C646" s="28" t="s">
        <v>89</v>
      </c>
      <c r="D646" s="28"/>
      <c r="E646" s="28"/>
      <c r="F646" s="41"/>
      <c r="G646" s="28"/>
      <c r="H646" s="37"/>
      <c r="I646" s="36" t="e">
        <f t="shared" si="39"/>
        <v>#DIV/0!</v>
      </c>
      <c r="J646" s="28"/>
      <c r="K646" s="28"/>
      <c r="L646" s="28"/>
      <c r="M646" s="4" t="e">
        <f t="shared" si="38"/>
        <v>#DIV/0!</v>
      </c>
      <c r="AJ646" s="25">
        <v>141.69834057511301</v>
      </c>
      <c r="AK646" s="25">
        <v>29.744935983011899</v>
      </c>
      <c r="AL646" s="11">
        <f t="shared" si="40"/>
        <v>12.536919620218162</v>
      </c>
      <c r="AP646" s="65" t="s">
        <v>161</v>
      </c>
      <c r="AQ646" s="66">
        <v>29.744935983011899</v>
      </c>
      <c r="AR646" s="66">
        <v>141.69834057511301</v>
      </c>
      <c r="BD646" s="21" t="s">
        <v>199</v>
      </c>
    </row>
    <row r="647" spans="2:56" x14ac:dyDescent="0.3">
      <c r="B647" s="11" t="s">
        <v>203</v>
      </c>
      <c r="C647" s="28" t="s">
        <v>89</v>
      </c>
      <c r="D647" s="28"/>
      <c r="E647" s="28"/>
      <c r="F647" s="41"/>
      <c r="G647" s="28"/>
      <c r="H647" s="37"/>
      <c r="I647" s="36" t="e">
        <f t="shared" si="39"/>
        <v>#DIV/0!</v>
      </c>
      <c r="J647" s="28"/>
      <c r="K647" s="28"/>
      <c r="L647" s="28"/>
      <c r="M647" s="4" t="e">
        <f t="shared" si="38"/>
        <v>#DIV/0!</v>
      </c>
      <c r="AJ647" s="25">
        <v>192.912247826694</v>
      </c>
      <c r="AK647" s="25">
        <v>27.810823616245901</v>
      </c>
      <c r="AL647" s="11">
        <f t="shared" si="40"/>
        <v>14.920641746274335</v>
      </c>
      <c r="AP647" s="65" t="s">
        <v>161</v>
      </c>
      <c r="AQ647" s="66">
        <v>27.810823616245901</v>
      </c>
      <c r="AR647" s="66">
        <v>192.912247826694</v>
      </c>
      <c r="BD647" s="21" t="s">
        <v>199</v>
      </c>
    </row>
    <row r="648" spans="2:56" x14ac:dyDescent="0.3">
      <c r="B648" s="11" t="s">
        <v>203</v>
      </c>
      <c r="C648" s="28" t="s">
        <v>89</v>
      </c>
      <c r="D648" s="28"/>
      <c r="E648" s="28"/>
      <c r="F648" s="41"/>
      <c r="G648" s="28"/>
      <c r="H648" s="37"/>
      <c r="I648" s="36" t="e">
        <f t="shared" si="39"/>
        <v>#DIV/0!</v>
      </c>
      <c r="J648" s="28"/>
      <c r="K648" s="28"/>
      <c r="L648" s="28"/>
      <c r="M648" s="4" t="e">
        <f t="shared" si="38"/>
        <v>#DIV/0!</v>
      </c>
      <c r="AJ648" s="25">
        <v>127.84971135495201</v>
      </c>
      <c r="AK648" s="25">
        <v>26.456966085032601</v>
      </c>
      <c r="AL648" s="11">
        <f t="shared" si="40"/>
        <v>8.9491097265002075</v>
      </c>
      <c r="AP648" s="65" t="s">
        <v>161</v>
      </c>
      <c r="AQ648" s="66">
        <v>26.456966085032601</v>
      </c>
      <c r="AR648" s="66">
        <v>127.84971135495201</v>
      </c>
      <c r="BD648" s="21" t="s">
        <v>199</v>
      </c>
    </row>
    <row r="649" spans="2:56" x14ac:dyDescent="0.3">
      <c r="B649" s="11" t="s">
        <v>203</v>
      </c>
      <c r="C649" s="28" t="s">
        <v>89</v>
      </c>
      <c r="D649" s="28"/>
      <c r="E649" s="28"/>
      <c r="F649" s="41"/>
      <c r="G649" s="28"/>
      <c r="H649" s="37"/>
      <c r="I649" s="36" t="e">
        <f t="shared" si="39"/>
        <v>#DIV/0!</v>
      </c>
      <c r="J649" s="28"/>
      <c r="K649" s="28"/>
      <c r="L649" s="28"/>
      <c r="M649" s="4" t="e">
        <f t="shared" si="38"/>
        <v>#DIV/0!</v>
      </c>
      <c r="AJ649" s="25">
        <v>98.863782139998904</v>
      </c>
      <c r="AK649" s="25">
        <v>25.165878246248699</v>
      </c>
      <c r="AL649" s="11">
        <f t="shared" si="40"/>
        <v>6.2612551672994279</v>
      </c>
      <c r="AP649" s="65" t="s">
        <v>161</v>
      </c>
      <c r="AQ649" s="66">
        <v>25.165878246248699</v>
      </c>
      <c r="AR649" s="66">
        <v>98.863782139998904</v>
      </c>
      <c r="BD649" s="21" t="s">
        <v>199</v>
      </c>
    </row>
    <row r="650" spans="2:56" x14ac:dyDescent="0.3">
      <c r="B650" s="11" t="s">
        <v>203</v>
      </c>
      <c r="C650" s="28" t="s">
        <v>89</v>
      </c>
      <c r="D650" s="28"/>
      <c r="E650" s="28"/>
      <c r="F650" s="41"/>
      <c r="G650" s="28"/>
      <c r="H650" s="37"/>
      <c r="I650" s="36" t="e">
        <f t="shared" si="39"/>
        <v>#DIV/0!</v>
      </c>
      <c r="J650" s="28"/>
      <c r="K650" s="28"/>
      <c r="L650" s="28"/>
      <c r="M650" s="4" t="e">
        <f t="shared" si="38"/>
        <v>#DIV/0!</v>
      </c>
      <c r="AJ650" s="25">
        <v>115.354552687086</v>
      </c>
      <c r="AK650" s="25">
        <v>23.141649703686198</v>
      </c>
      <c r="AL650" s="11">
        <f t="shared" si="40"/>
        <v>6.1776510076394819</v>
      </c>
      <c r="AP650" s="65" t="s">
        <v>161</v>
      </c>
      <c r="AQ650" s="66">
        <v>23.141649703686198</v>
      </c>
      <c r="AR650" s="66">
        <v>115.354552687086</v>
      </c>
      <c r="BD650" s="21" t="s">
        <v>199</v>
      </c>
    </row>
    <row r="651" spans="2:56" x14ac:dyDescent="0.3">
      <c r="B651" s="11" t="s">
        <v>203</v>
      </c>
      <c r="C651" s="28" t="s">
        <v>89</v>
      </c>
      <c r="D651" s="28"/>
      <c r="E651" s="28"/>
      <c r="F651" s="41"/>
      <c r="G651" s="28"/>
      <c r="H651" s="37"/>
      <c r="I651" s="36" t="e">
        <f t="shared" si="39"/>
        <v>#DIV/0!</v>
      </c>
      <c r="J651" s="28"/>
      <c r="K651" s="28"/>
      <c r="L651" s="28"/>
      <c r="M651" s="4" t="e">
        <f t="shared" si="38"/>
        <v>#DIV/0!</v>
      </c>
      <c r="AJ651" s="25">
        <v>134.596032415536</v>
      </c>
      <c r="AK651" s="25">
        <v>22.754507952343001</v>
      </c>
      <c r="AL651" s="11">
        <f t="shared" si="40"/>
        <v>6.9689469001012938</v>
      </c>
      <c r="AP651" s="65" t="s">
        <v>161</v>
      </c>
      <c r="AQ651" s="66">
        <v>22.754507952343001</v>
      </c>
      <c r="AR651" s="66">
        <v>134.596032415536</v>
      </c>
      <c r="BD651" s="21" t="s">
        <v>199</v>
      </c>
    </row>
    <row r="652" spans="2:56" x14ac:dyDescent="0.3">
      <c r="B652" s="11" t="s">
        <v>203</v>
      </c>
      <c r="C652" s="28" t="s">
        <v>89</v>
      </c>
      <c r="D652" s="28"/>
      <c r="E652" s="28"/>
      <c r="F652" s="41"/>
      <c r="G652" s="28"/>
      <c r="H652" s="37"/>
      <c r="I652" s="36" t="e">
        <f t="shared" si="39"/>
        <v>#DIV/0!</v>
      </c>
      <c r="J652" s="28"/>
      <c r="K652" s="28"/>
      <c r="L652" s="28"/>
      <c r="M652" s="4" t="e">
        <f t="shared" si="38"/>
        <v>#DIV/0!</v>
      </c>
      <c r="AJ652" s="25">
        <v>149.17542041472001</v>
      </c>
      <c r="AK652" s="25">
        <v>23.527555701685198</v>
      </c>
      <c r="AL652" s="11">
        <f t="shared" si="40"/>
        <v>8.2575438964450854</v>
      </c>
      <c r="AP652" s="65" t="s">
        <v>161</v>
      </c>
      <c r="AQ652" s="66">
        <v>23.527555701685198</v>
      </c>
      <c r="AR652" s="66">
        <v>149.17542041472001</v>
      </c>
      <c r="BD652" s="21" t="s">
        <v>199</v>
      </c>
    </row>
    <row r="653" spans="2:56" x14ac:dyDescent="0.3">
      <c r="B653" s="11" t="s">
        <v>203</v>
      </c>
      <c r="C653" s="28" t="s">
        <v>89</v>
      </c>
      <c r="D653" s="28"/>
      <c r="E653" s="28"/>
      <c r="F653" s="41"/>
      <c r="G653" s="28"/>
      <c r="H653" s="37"/>
      <c r="I653" s="36" t="e">
        <f t="shared" si="39"/>
        <v>#DIV/0!</v>
      </c>
      <c r="J653" s="28"/>
      <c r="K653" s="28"/>
      <c r="L653" s="28"/>
      <c r="M653" s="4" t="e">
        <f t="shared" si="38"/>
        <v>#DIV/0!</v>
      </c>
      <c r="AJ653" s="25">
        <v>339.63885626807502</v>
      </c>
      <c r="AK653" s="25">
        <v>19.231596546754002</v>
      </c>
      <c r="AL653" s="11">
        <f t="shared" si="40"/>
        <v>12.561689338637851</v>
      </c>
      <c r="AP653" s="65" t="s">
        <v>161</v>
      </c>
      <c r="AQ653" s="66">
        <v>19.231596546754002</v>
      </c>
      <c r="AR653" s="66">
        <v>339.63885626807502</v>
      </c>
      <c r="BD653" s="21" t="s">
        <v>199</v>
      </c>
    </row>
    <row r="654" spans="2:56" x14ac:dyDescent="0.3">
      <c r="B654" s="11" t="s">
        <v>203</v>
      </c>
      <c r="C654" s="28" t="s">
        <v>89</v>
      </c>
      <c r="D654" s="28"/>
      <c r="E654" s="28"/>
      <c r="F654" s="41"/>
      <c r="G654" s="28"/>
      <c r="H654" s="37"/>
      <c r="I654" s="36" t="e">
        <f t="shared" si="39"/>
        <v>#DIV/0!</v>
      </c>
      <c r="J654" s="28"/>
      <c r="K654" s="28"/>
      <c r="L654" s="28"/>
      <c r="M654" s="4" t="e">
        <f t="shared" si="38"/>
        <v>#DIV/0!</v>
      </c>
      <c r="AJ654" s="25">
        <v>203.091762090473</v>
      </c>
      <c r="AK654" s="25">
        <v>21.273167901183601</v>
      </c>
      <c r="AL654" s="11">
        <f t="shared" si="40"/>
        <v>9.1908704248517559</v>
      </c>
      <c r="AP654" s="65" t="s">
        <v>161</v>
      </c>
      <c r="AQ654" s="66">
        <v>21.273167901183601</v>
      </c>
      <c r="AR654" s="66">
        <v>203.091762090473</v>
      </c>
      <c r="BD654" s="21" t="s">
        <v>199</v>
      </c>
    </row>
    <row r="655" spans="2:56" x14ac:dyDescent="0.3">
      <c r="B655" s="11" t="s">
        <v>203</v>
      </c>
      <c r="C655" s="28" t="s">
        <v>89</v>
      </c>
      <c r="D655" s="28"/>
      <c r="E655" s="28"/>
      <c r="F655" s="41"/>
      <c r="G655" s="28"/>
      <c r="H655" s="37"/>
      <c r="I655" s="36" t="e">
        <f t="shared" si="39"/>
        <v>#DIV/0!</v>
      </c>
      <c r="J655" s="28"/>
      <c r="K655" s="28"/>
      <c r="L655" s="28"/>
      <c r="M655" s="4" t="e">
        <f t="shared" si="38"/>
        <v>#DIV/0!</v>
      </c>
      <c r="AJ655" s="25">
        <v>141.69834057511301</v>
      </c>
      <c r="AK655" s="25">
        <v>16.277768089150499</v>
      </c>
      <c r="AL655" s="11">
        <f t="shared" si="40"/>
        <v>3.7545204811989219</v>
      </c>
      <c r="AP655" s="65" t="s">
        <v>161</v>
      </c>
      <c r="AQ655" s="66">
        <v>16.277768089150499</v>
      </c>
      <c r="AR655" s="66">
        <v>141.69834057511301</v>
      </c>
      <c r="BD655" s="21" t="s">
        <v>199</v>
      </c>
    </row>
    <row r="656" spans="2:56" x14ac:dyDescent="0.3">
      <c r="B656" s="11" t="s">
        <v>203</v>
      </c>
      <c r="C656" s="28" t="s">
        <v>89</v>
      </c>
      <c r="D656" s="28"/>
      <c r="E656" s="28"/>
      <c r="F656" s="41"/>
      <c r="G656" s="28"/>
      <c r="H656" s="37"/>
      <c r="I656" s="36" t="e">
        <f t="shared" si="39"/>
        <v>#DIV/0!</v>
      </c>
      <c r="J656" s="28"/>
      <c r="K656" s="28"/>
      <c r="L656" s="28"/>
      <c r="M656" s="4" t="e">
        <f t="shared" si="38"/>
        <v>#DIV/0!</v>
      </c>
      <c r="AJ656" s="25">
        <v>183.24295864334101</v>
      </c>
      <c r="AK656" s="25">
        <v>15.219967158425201</v>
      </c>
      <c r="AL656" s="11">
        <f t="shared" si="40"/>
        <v>4.244775499365935</v>
      </c>
      <c r="AP656" s="65" t="s">
        <v>161</v>
      </c>
      <c r="AQ656" s="66">
        <v>15.219967158425201</v>
      </c>
      <c r="AR656" s="66">
        <v>183.24295864334101</v>
      </c>
      <c r="BD656" s="21" t="s">
        <v>199</v>
      </c>
    </row>
    <row r="657" spans="2:56" x14ac:dyDescent="0.3">
      <c r="B657" s="11" t="s">
        <v>203</v>
      </c>
      <c r="C657" s="28" t="s">
        <v>89</v>
      </c>
      <c r="D657" s="28"/>
      <c r="E657" s="28"/>
      <c r="F657" s="41"/>
      <c r="G657" s="28"/>
      <c r="H657" s="37"/>
      <c r="I657" s="36" t="e">
        <f t="shared" si="39"/>
        <v>#DIV/0!</v>
      </c>
      <c r="J657" s="28"/>
      <c r="K657" s="28"/>
      <c r="L657" s="28"/>
      <c r="M657" s="4" t="e">
        <f t="shared" si="38"/>
        <v>#DIV/0!</v>
      </c>
      <c r="AJ657" s="25">
        <v>262.63635276533302</v>
      </c>
      <c r="AK657" s="25">
        <v>12.445566300876299</v>
      </c>
      <c r="AL657" s="11">
        <f t="shared" si="40"/>
        <v>4.0680301613211016</v>
      </c>
      <c r="AP657" s="65" t="s">
        <v>161</v>
      </c>
      <c r="AQ657" s="66">
        <v>12.445566300876299</v>
      </c>
      <c r="AR657" s="66">
        <v>262.63635276533302</v>
      </c>
      <c r="BD657" s="21" t="s">
        <v>199</v>
      </c>
    </row>
    <row r="658" spans="2:56" x14ac:dyDescent="0.3">
      <c r="B658" s="11" t="s">
        <v>203</v>
      </c>
      <c r="C658" s="28" t="s">
        <v>89</v>
      </c>
      <c r="D658" s="28"/>
      <c r="E658" s="28"/>
      <c r="F658" s="41"/>
      <c r="G658" s="28"/>
      <c r="H658" s="37"/>
      <c r="I658" s="36" t="e">
        <f t="shared" si="39"/>
        <v>#DIV/0!</v>
      </c>
      <c r="J658" s="28"/>
      <c r="K658" s="28"/>
      <c r="L658" s="28"/>
      <c r="M658" s="4" t="e">
        <f t="shared" si="38"/>
        <v>#DIV/0!</v>
      </c>
      <c r="AJ658" s="25">
        <v>76.449507123947797</v>
      </c>
      <c r="AK658" s="25">
        <v>34.026040484068098</v>
      </c>
      <c r="AL658" s="11">
        <f t="shared" si="40"/>
        <v>8.8511055263929794</v>
      </c>
      <c r="AP658" s="65" t="s">
        <v>161</v>
      </c>
      <c r="AQ658" s="66">
        <v>34.026040484068098</v>
      </c>
      <c r="AR658" s="66">
        <v>76.449507123947797</v>
      </c>
      <c r="BD658" s="21" t="s">
        <v>199</v>
      </c>
    </row>
    <row r="659" spans="2:56" x14ac:dyDescent="0.3">
      <c r="B659" s="11" t="s">
        <v>204</v>
      </c>
      <c r="C659" s="28" t="s">
        <v>205</v>
      </c>
      <c r="D659" s="28"/>
      <c r="E659" s="28"/>
      <c r="F659" s="41"/>
      <c r="G659" s="28"/>
      <c r="H659" s="37"/>
      <c r="I659" s="36" t="e">
        <f t="shared" si="39"/>
        <v>#DIV/0!</v>
      </c>
      <c r="J659" s="28"/>
      <c r="K659" s="28"/>
      <c r="L659" s="28"/>
      <c r="M659" s="4" t="e">
        <f t="shared" si="38"/>
        <v>#DIV/0!</v>
      </c>
      <c r="AJ659" s="25">
        <v>1.5003019027163301E-2</v>
      </c>
      <c r="AK659" s="25">
        <v>369.43190642537502</v>
      </c>
      <c r="AL659" s="11">
        <f t="shared" si="40"/>
        <v>0.20476110389027424</v>
      </c>
      <c r="AP659" s="65" t="s">
        <v>161</v>
      </c>
      <c r="AQ659" s="66">
        <v>369.43190642537502</v>
      </c>
      <c r="AR659" s="66">
        <v>1.5003019027163301E-2</v>
      </c>
      <c r="BD659" s="21" t="s">
        <v>199</v>
      </c>
    </row>
    <row r="660" spans="2:56" x14ac:dyDescent="0.3">
      <c r="B660" s="11" t="s">
        <v>204</v>
      </c>
      <c r="C660" s="28" t="s">
        <v>205</v>
      </c>
      <c r="D660" s="28"/>
      <c r="E660" s="28"/>
      <c r="F660" s="41"/>
      <c r="G660" s="28"/>
      <c r="H660" s="37"/>
      <c r="I660" s="36" t="e">
        <f t="shared" si="39"/>
        <v>#DIV/0!</v>
      </c>
      <c r="J660" s="28"/>
      <c r="K660" s="28"/>
      <c r="L660" s="28"/>
      <c r="M660" s="4" t="e">
        <f t="shared" si="38"/>
        <v>#DIV/0!</v>
      </c>
      <c r="AJ660" s="25">
        <v>1.28582285656921E-2</v>
      </c>
      <c r="AK660" s="25">
        <v>255.61629780465699</v>
      </c>
      <c r="AL660" s="11">
        <f t="shared" si="40"/>
        <v>8.4015269033364703E-2</v>
      </c>
      <c r="AP660" s="65" t="s">
        <v>161</v>
      </c>
      <c r="AQ660" s="66">
        <v>255.61629780465699</v>
      </c>
      <c r="AR660" s="66">
        <v>1.28582285656921E-2</v>
      </c>
      <c r="BD660" s="21" t="s">
        <v>199</v>
      </c>
    </row>
    <row r="661" spans="2:56" x14ac:dyDescent="0.3">
      <c r="B661" s="11" t="s">
        <v>204</v>
      </c>
      <c r="C661" s="28" t="s">
        <v>205</v>
      </c>
      <c r="D661" s="28"/>
      <c r="E661" s="28"/>
      <c r="F661" s="41"/>
      <c r="G661" s="28"/>
      <c r="H661" s="37"/>
      <c r="I661" s="36" t="e">
        <f t="shared" si="39"/>
        <v>#DIV/0!</v>
      </c>
      <c r="J661" s="28"/>
      <c r="K661" s="28"/>
      <c r="L661" s="28"/>
      <c r="M661" s="4" t="e">
        <f t="shared" si="38"/>
        <v>#DIV/0!</v>
      </c>
      <c r="AJ661" s="25">
        <v>8.9712631952173702E-3</v>
      </c>
      <c r="AK661" s="25">
        <v>302.30277826291098</v>
      </c>
      <c r="AL661" s="11">
        <f t="shared" si="40"/>
        <v>8.1985655820002071E-2</v>
      </c>
      <c r="AP661" s="65" t="s">
        <v>161</v>
      </c>
      <c r="AQ661" s="66">
        <v>302.30277826291098</v>
      </c>
      <c r="AR661" s="66">
        <v>8.9712631952173702E-3</v>
      </c>
      <c r="BD661" s="21" t="s">
        <v>199</v>
      </c>
    </row>
    <row r="662" spans="2:56" x14ac:dyDescent="0.3">
      <c r="B662" s="11" t="s">
        <v>204</v>
      </c>
      <c r="C662" s="28" t="s">
        <v>205</v>
      </c>
      <c r="D662" s="28"/>
      <c r="E662" s="28"/>
      <c r="F662" s="41"/>
      <c r="G662" s="28"/>
      <c r="H662" s="37"/>
      <c r="I662" s="36" t="e">
        <f t="shared" si="39"/>
        <v>#DIV/0!</v>
      </c>
      <c r="J662" s="28"/>
      <c r="K662" s="28"/>
      <c r="L662" s="28"/>
      <c r="M662" s="4" t="e">
        <f t="shared" si="38"/>
        <v>#DIV/0!</v>
      </c>
      <c r="AJ662" s="25">
        <v>7.0170382867038E-2</v>
      </c>
      <c r="AK662" s="25">
        <v>162.41620950116999</v>
      </c>
      <c r="AL662" s="11">
        <f t="shared" si="40"/>
        <v>0.1851026291538648</v>
      </c>
      <c r="AP662" s="65" t="s">
        <v>161</v>
      </c>
      <c r="AQ662" s="66">
        <v>162.41620950116999</v>
      </c>
      <c r="AR662" s="66">
        <v>7.0170382867038E-2</v>
      </c>
      <c r="BD662" s="21" t="s">
        <v>199</v>
      </c>
    </row>
    <row r="663" spans="2:56" x14ac:dyDescent="0.3">
      <c r="B663" s="11" t="s">
        <v>204</v>
      </c>
      <c r="C663" s="28" t="s">
        <v>205</v>
      </c>
      <c r="D663" s="28"/>
      <c r="E663" s="28"/>
      <c r="F663" s="41"/>
      <c r="G663" s="28"/>
      <c r="H663" s="37"/>
      <c r="I663" s="36" t="e">
        <f t="shared" si="39"/>
        <v>#DIV/0!</v>
      </c>
      <c r="J663" s="28"/>
      <c r="K663" s="28"/>
      <c r="L663" s="28"/>
      <c r="M663" s="4" t="e">
        <f t="shared" si="38"/>
        <v>#DIV/0!</v>
      </c>
      <c r="AJ663" s="25">
        <v>0.100572996445752</v>
      </c>
      <c r="AK663" s="25">
        <v>144.408898193195</v>
      </c>
      <c r="AL663" s="11">
        <f t="shared" si="40"/>
        <v>0.2097342215436952</v>
      </c>
      <c r="AP663" s="65" t="s">
        <v>161</v>
      </c>
      <c r="AQ663" s="66">
        <v>144.408898193195</v>
      </c>
      <c r="AR663" s="66">
        <v>0.100572996445752</v>
      </c>
      <c r="BD663" s="21" t="s">
        <v>199</v>
      </c>
    </row>
    <row r="664" spans="2:56" x14ac:dyDescent="0.3">
      <c r="B664" s="11" t="s">
        <v>204</v>
      </c>
      <c r="C664" s="28" t="s">
        <v>205</v>
      </c>
      <c r="D664" s="28"/>
      <c r="E664" s="28"/>
      <c r="F664" s="41"/>
      <c r="G664" s="28"/>
      <c r="H664" s="37"/>
      <c r="I664" s="36" t="e">
        <f t="shared" si="39"/>
        <v>#DIV/0!</v>
      </c>
      <c r="J664" s="28"/>
      <c r="K664" s="28"/>
      <c r="L664" s="28"/>
      <c r="M664" s="4" t="e">
        <f t="shared" si="38"/>
        <v>#DIV/0!</v>
      </c>
      <c r="AJ664" s="25">
        <v>0.54885053805262196</v>
      </c>
      <c r="AK664" s="25">
        <v>115.998658408252</v>
      </c>
      <c r="AL664" s="11">
        <f t="shared" si="40"/>
        <v>0.7385162011686105</v>
      </c>
      <c r="AP664" s="65" t="s">
        <v>161</v>
      </c>
      <c r="AQ664" s="66">
        <v>115.998658408252</v>
      </c>
      <c r="AR664" s="66">
        <v>0.54885053805262196</v>
      </c>
      <c r="BD664" s="21" t="s">
        <v>199</v>
      </c>
    </row>
    <row r="665" spans="2:56" x14ac:dyDescent="0.3">
      <c r="B665" s="11" t="s">
        <v>204</v>
      </c>
      <c r="C665" s="28" t="s">
        <v>205</v>
      </c>
      <c r="D665" s="28"/>
      <c r="E665" s="28"/>
      <c r="F665" s="41"/>
      <c r="G665" s="28"/>
      <c r="H665" s="37"/>
      <c r="I665" s="36" t="e">
        <f t="shared" si="39"/>
        <v>#DIV/0!</v>
      </c>
      <c r="J665" s="28"/>
      <c r="K665" s="28"/>
      <c r="L665" s="28"/>
      <c r="M665" s="4" t="e">
        <f t="shared" si="38"/>
        <v>#DIV/0!</v>
      </c>
      <c r="AJ665" s="25">
        <v>1.45804763288648</v>
      </c>
      <c r="AK665" s="25">
        <v>104.827135831829</v>
      </c>
      <c r="AL665" s="11">
        <f t="shared" si="40"/>
        <v>1.6022089441828249</v>
      </c>
      <c r="AP665" s="65" t="s">
        <v>161</v>
      </c>
      <c r="AQ665" s="66">
        <v>104.827135831829</v>
      </c>
      <c r="AR665" s="66">
        <v>1.45804763288648</v>
      </c>
      <c r="BD665" s="21" t="s">
        <v>199</v>
      </c>
    </row>
    <row r="666" spans="2:56" x14ac:dyDescent="0.3">
      <c r="B666" s="11" t="s">
        <v>204</v>
      </c>
      <c r="C666" s="28" t="s">
        <v>205</v>
      </c>
      <c r="D666" s="28"/>
      <c r="E666" s="28"/>
      <c r="F666" s="41"/>
      <c r="G666" s="28"/>
      <c r="H666" s="37"/>
      <c r="I666" s="36" t="e">
        <f t="shared" si="39"/>
        <v>#DIV/0!</v>
      </c>
      <c r="J666" s="28"/>
      <c r="K666" s="28"/>
      <c r="L666" s="28"/>
      <c r="M666" s="4" t="e">
        <f t="shared" si="38"/>
        <v>#DIV/0!</v>
      </c>
      <c r="AJ666" s="25">
        <v>2.56702016588816</v>
      </c>
      <c r="AK666" s="25">
        <v>94.763009577927207</v>
      </c>
      <c r="AL666" s="11">
        <f t="shared" si="40"/>
        <v>2.3051912925851661</v>
      </c>
      <c r="AP666" s="65" t="s">
        <v>161</v>
      </c>
      <c r="AQ666" s="66">
        <v>94.763009577927207</v>
      </c>
      <c r="AR666" s="66">
        <v>2.56702016588816</v>
      </c>
      <c r="BD666" s="21" t="s">
        <v>199</v>
      </c>
    </row>
    <row r="667" spans="2:56" x14ac:dyDescent="0.3">
      <c r="B667" s="11" t="s">
        <v>204</v>
      </c>
      <c r="C667" s="28" t="s">
        <v>205</v>
      </c>
      <c r="D667" s="28"/>
      <c r="E667" s="28"/>
      <c r="F667" s="41"/>
      <c r="G667" s="28"/>
      <c r="H667" s="37"/>
      <c r="I667" s="36" t="e">
        <f t="shared" si="39"/>
        <v>#DIV/0!</v>
      </c>
      <c r="J667" s="28"/>
      <c r="K667" s="28"/>
      <c r="L667" s="28"/>
      <c r="M667" s="4" t="e">
        <f t="shared" si="38"/>
        <v>#DIV/0!</v>
      </c>
      <c r="AJ667" s="25">
        <v>4.51946313923309</v>
      </c>
      <c r="AK667" s="25">
        <v>74.9242064798554</v>
      </c>
      <c r="AL667" s="11">
        <f t="shared" si="40"/>
        <v>2.5370624217881903</v>
      </c>
      <c r="AP667" s="65" t="s">
        <v>161</v>
      </c>
      <c r="AQ667" s="66">
        <v>74.9242064798554</v>
      </c>
      <c r="AR667" s="66">
        <v>4.51946313923309</v>
      </c>
      <c r="BD667" s="21" t="s">
        <v>199</v>
      </c>
    </row>
    <row r="668" spans="2:56" x14ac:dyDescent="0.3">
      <c r="B668" s="11" t="s">
        <v>204</v>
      </c>
      <c r="C668" s="28" t="s">
        <v>205</v>
      </c>
      <c r="D668" s="28"/>
      <c r="E668" s="28"/>
      <c r="F668" s="41"/>
      <c r="G668" s="28"/>
      <c r="H668" s="37"/>
      <c r="I668" s="36" t="e">
        <f t="shared" si="39"/>
        <v>#DIV/0!</v>
      </c>
      <c r="J668" s="28"/>
      <c r="K668" s="28"/>
      <c r="L668" s="28"/>
      <c r="M668" s="4" t="e">
        <f t="shared" si="38"/>
        <v>#DIV/0!</v>
      </c>
      <c r="AJ668" s="25">
        <v>5.0090095654714899</v>
      </c>
      <c r="AK668" s="25">
        <v>54.5009711379221</v>
      </c>
      <c r="AL668" s="11">
        <f t="shared" si="40"/>
        <v>1.4878540890432124</v>
      </c>
      <c r="AP668" s="65" t="s">
        <v>161</v>
      </c>
      <c r="AQ668" s="66">
        <v>54.5009711379221</v>
      </c>
      <c r="AR668" s="66">
        <v>5.0090095654714899</v>
      </c>
      <c r="BD668" s="21" t="s">
        <v>199</v>
      </c>
    </row>
    <row r="669" spans="2:56" x14ac:dyDescent="0.3">
      <c r="B669" s="11" t="s">
        <v>204</v>
      </c>
      <c r="C669" s="28" t="s">
        <v>205</v>
      </c>
      <c r="D669" s="28"/>
      <c r="E669" s="28"/>
      <c r="F669" s="41"/>
      <c r="G669" s="28"/>
      <c r="H669" s="37"/>
      <c r="I669" s="36" t="e">
        <f t="shared" si="39"/>
        <v>#DIV/0!</v>
      </c>
      <c r="J669" s="28"/>
      <c r="K669" s="28"/>
      <c r="L669" s="28"/>
      <c r="M669" s="4" t="e">
        <f t="shared" si="38"/>
        <v>#DIV/0!</v>
      </c>
      <c r="AJ669" s="25">
        <v>13.306672825637801</v>
      </c>
      <c r="AK669" s="25">
        <v>38.9589113403593</v>
      </c>
      <c r="AL669" s="11">
        <f t="shared" si="40"/>
        <v>2.0196825071804172</v>
      </c>
      <c r="AP669" s="65" t="s">
        <v>161</v>
      </c>
      <c r="AQ669" s="66">
        <v>38.9589113403593</v>
      </c>
      <c r="AR669" s="66">
        <v>13.306672825637801</v>
      </c>
      <c r="BD669" s="21" t="s">
        <v>199</v>
      </c>
    </row>
    <row r="670" spans="2:56" x14ac:dyDescent="0.3">
      <c r="B670" s="11" t="s">
        <v>204</v>
      </c>
      <c r="C670" s="28" t="s">
        <v>205</v>
      </c>
      <c r="D670" s="28"/>
      <c r="E670" s="28"/>
      <c r="F670" s="41"/>
      <c r="G670" s="28"/>
      <c r="H670" s="37"/>
      <c r="I670" s="36" t="e">
        <f t="shared" si="39"/>
        <v>#DIV/0!</v>
      </c>
      <c r="J670" s="28"/>
      <c r="K670" s="28"/>
      <c r="L670" s="28"/>
      <c r="M670" s="4" t="e">
        <f t="shared" si="38"/>
        <v>#DIV/0!</v>
      </c>
      <c r="AJ670" s="25">
        <v>17.208063893848099</v>
      </c>
      <c r="AK670" s="25">
        <v>33.501328912773197</v>
      </c>
      <c r="AL670" s="11">
        <f t="shared" si="40"/>
        <v>1.9313281892326635</v>
      </c>
      <c r="AP670" s="65" t="s">
        <v>161</v>
      </c>
      <c r="AQ670" s="66">
        <v>33.501328912773197</v>
      </c>
      <c r="AR670" s="66">
        <v>17.208063893848099</v>
      </c>
      <c r="BD670" s="21" t="s">
        <v>199</v>
      </c>
    </row>
    <row r="671" spans="2:56" x14ac:dyDescent="0.3">
      <c r="B671" s="11" t="s">
        <v>204</v>
      </c>
      <c r="C671" s="28" t="s">
        <v>205</v>
      </c>
      <c r="D671" s="28"/>
      <c r="E671" s="28"/>
      <c r="F671" s="41"/>
      <c r="G671" s="28"/>
      <c r="H671" s="37"/>
      <c r="I671" s="36" t="e">
        <f t="shared" si="39"/>
        <v>#DIV/0!</v>
      </c>
      <c r="J671" s="28"/>
      <c r="K671" s="28"/>
      <c r="L671" s="28"/>
      <c r="M671" s="4" t="e">
        <f t="shared" si="38"/>
        <v>#DIV/0!</v>
      </c>
      <c r="AJ671" s="25">
        <v>23.427559370378699</v>
      </c>
      <c r="AK671" s="25">
        <v>31.8519169072908</v>
      </c>
      <c r="AL671" s="11">
        <f t="shared" si="40"/>
        <v>2.3768304100344744</v>
      </c>
      <c r="AP671" s="65" t="s">
        <v>161</v>
      </c>
      <c r="AQ671" s="66">
        <v>31.8519169072908</v>
      </c>
      <c r="AR671" s="66">
        <v>23.427559370378699</v>
      </c>
      <c r="BD671" s="21" t="s">
        <v>199</v>
      </c>
    </row>
    <row r="672" spans="2:56" x14ac:dyDescent="0.3">
      <c r="B672" s="11" t="s">
        <v>204</v>
      </c>
      <c r="C672" s="28" t="s">
        <v>205</v>
      </c>
      <c r="D672" s="28"/>
      <c r="E672" s="28"/>
      <c r="F672" s="41"/>
      <c r="G672" s="28"/>
      <c r="H672" s="37"/>
      <c r="I672" s="36" t="e">
        <f t="shared" si="39"/>
        <v>#DIV/0!</v>
      </c>
      <c r="J672" s="28"/>
      <c r="K672" s="28"/>
      <c r="L672" s="28"/>
      <c r="M672" s="4" t="e">
        <f t="shared" ref="M672:M735" si="41">K672/L672</f>
        <v>#DIV/0!</v>
      </c>
      <c r="AJ672" s="25">
        <v>37.215135361547802</v>
      </c>
      <c r="AK672" s="25">
        <v>29.777089534995799</v>
      </c>
      <c r="AL672" s="11">
        <f t="shared" si="40"/>
        <v>3.2997732423342119</v>
      </c>
      <c r="AP672" s="65" t="s">
        <v>161</v>
      </c>
      <c r="AQ672" s="66">
        <v>29.777089534995799</v>
      </c>
      <c r="AR672" s="66">
        <v>37.215135361547802</v>
      </c>
      <c r="BD672" s="21" t="s">
        <v>199</v>
      </c>
    </row>
    <row r="673" spans="2:56" x14ac:dyDescent="0.3">
      <c r="B673" s="11" t="s">
        <v>206</v>
      </c>
      <c r="C673" s="28" t="s">
        <v>207</v>
      </c>
      <c r="D673" s="28"/>
      <c r="E673" s="28"/>
      <c r="F673" s="41"/>
      <c r="G673" s="28"/>
      <c r="H673" s="37"/>
      <c r="I673" s="36" t="e">
        <f t="shared" si="39"/>
        <v>#DIV/0!</v>
      </c>
      <c r="J673" s="28"/>
      <c r="K673" s="28"/>
      <c r="L673" s="28"/>
      <c r="M673" s="4" t="e">
        <f t="shared" si="41"/>
        <v>#DIV/0!</v>
      </c>
      <c r="AJ673" s="26">
        <v>1.60677599565106E-5</v>
      </c>
      <c r="AK673" s="26">
        <v>763.24128539912601</v>
      </c>
      <c r="AL673" s="11">
        <f t="shared" si="40"/>
        <v>9.3600688551889939E-4</v>
      </c>
      <c r="AP673" s="65" t="s">
        <v>161</v>
      </c>
      <c r="AQ673" s="76">
        <v>763.24128539912601</v>
      </c>
      <c r="AR673" s="76">
        <v>1.60677599565106E-5</v>
      </c>
      <c r="BD673" s="21" t="s">
        <v>199</v>
      </c>
    </row>
    <row r="674" spans="2:56" x14ac:dyDescent="0.3">
      <c r="B674" s="11" t="s">
        <v>206</v>
      </c>
      <c r="C674" s="28" t="s">
        <v>207</v>
      </c>
      <c r="D674" s="28"/>
      <c r="E674" s="28"/>
      <c r="F674" s="41"/>
      <c r="G674" s="28"/>
      <c r="H674" s="37"/>
      <c r="I674" s="36" t="e">
        <f t="shared" si="39"/>
        <v>#DIV/0!</v>
      </c>
      <c r="J674" s="28"/>
      <c r="K674" s="28"/>
      <c r="L674" s="28"/>
      <c r="M674" s="4" t="e">
        <f t="shared" si="41"/>
        <v>#DIV/0!</v>
      </c>
      <c r="AJ674" s="26">
        <v>7.1383529073266796E-5</v>
      </c>
      <c r="AK674" s="26">
        <v>701.091772034168</v>
      </c>
      <c r="AL674" s="11">
        <f t="shared" si="40"/>
        <v>3.5087122689692178E-3</v>
      </c>
      <c r="AP674" s="65" t="s">
        <v>161</v>
      </c>
      <c r="AQ674" s="76">
        <v>701.091772034168</v>
      </c>
      <c r="AR674" s="76">
        <v>7.1383529073266796E-5</v>
      </c>
      <c r="BD674" s="21" t="s">
        <v>199</v>
      </c>
    </row>
    <row r="675" spans="2:56" x14ac:dyDescent="0.3">
      <c r="B675" s="11" t="s">
        <v>206</v>
      </c>
      <c r="C675" s="28" t="s">
        <v>207</v>
      </c>
      <c r="D675" s="28"/>
      <c r="E675" s="28"/>
      <c r="F675" s="41"/>
      <c r="G675" s="28"/>
      <c r="H675" s="37"/>
      <c r="I675" s="36" t="e">
        <f t="shared" si="39"/>
        <v>#DIV/0!</v>
      </c>
      <c r="J675" s="28"/>
      <c r="K675" s="28"/>
      <c r="L675" s="28"/>
      <c r="M675" s="4" t="e">
        <f t="shared" si="41"/>
        <v>#DIV/0!</v>
      </c>
      <c r="AJ675" s="26">
        <v>9.2312507067465795E-5</v>
      </c>
      <c r="AK675" s="26">
        <v>947.53165744861894</v>
      </c>
      <c r="AL675" s="11">
        <f t="shared" si="40"/>
        <v>8.2879668172663179E-3</v>
      </c>
      <c r="AP675" s="65" t="s">
        <v>161</v>
      </c>
      <c r="AQ675" s="76">
        <v>947.53165744861894</v>
      </c>
      <c r="AR675" s="76">
        <v>9.2312507067465795E-5</v>
      </c>
      <c r="BD675" s="21" t="s">
        <v>199</v>
      </c>
    </row>
    <row r="676" spans="2:56" x14ac:dyDescent="0.3">
      <c r="B676" s="11" t="s">
        <v>206</v>
      </c>
      <c r="C676" s="28" t="s">
        <v>207</v>
      </c>
      <c r="D676" s="28"/>
      <c r="E676" s="28"/>
      <c r="F676" s="41"/>
      <c r="G676" s="28"/>
      <c r="H676" s="37"/>
      <c r="I676" s="36" t="e">
        <f t="shared" si="39"/>
        <v>#DIV/0!</v>
      </c>
      <c r="J676" s="28"/>
      <c r="K676" s="28"/>
      <c r="L676" s="28"/>
      <c r="M676" s="4" t="e">
        <f t="shared" si="41"/>
        <v>#DIV/0!</v>
      </c>
      <c r="AJ676" s="26">
        <v>1.5437807027182901E-4</v>
      </c>
      <c r="AK676" s="26">
        <v>774.71245274605303</v>
      </c>
      <c r="AL676" s="11">
        <f t="shared" si="40"/>
        <v>9.2654535186751357E-3</v>
      </c>
      <c r="AP676" s="65" t="s">
        <v>161</v>
      </c>
      <c r="AQ676" s="76">
        <v>774.71245274605303</v>
      </c>
      <c r="AR676" s="76">
        <v>1.5437807027182901E-4</v>
      </c>
      <c r="BD676" s="21" t="s">
        <v>199</v>
      </c>
    </row>
    <row r="677" spans="2:56" x14ac:dyDescent="0.3">
      <c r="B677" s="11" t="s">
        <v>206</v>
      </c>
      <c r="C677" s="28" t="s">
        <v>207</v>
      </c>
      <c r="D677" s="28"/>
      <c r="E677" s="28"/>
      <c r="F677" s="41"/>
      <c r="G677" s="28"/>
      <c r="H677" s="37"/>
      <c r="I677" s="36" t="e">
        <f t="shared" si="39"/>
        <v>#DIV/0!</v>
      </c>
      <c r="J677" s="28"/>
      <c r="K677" s="28"/>
      <c r="L677" s="28"/>
      <c r="M677" s="4" t="e">
        <f t="shared" si="41"/>
        <v>#DIV/0!</v>
      </c>
      <c r="AJ677" s="26">
        <v>1.3230860465428401E-4</v>
      </c>
      <c r="AK677" s="26">
        <v>689.10529244485895</v>
      </c>
      <c r="AL677" s="11">
        <f t="shared" si="40"/>
        <v>6.2828871627847345E-3</v>
      </c>
      <c r="AP677" s="65" t="s">
        <v>161</v>
      </c>
      <c r="AQ677" s="76">
        <v>689.10529244485895</v>
      </c>
      <c r="AR677" s="76">
        <v>1.3230860465428401E-4</v>
      </c>
      <c r="BD677" s="21" t="s">
        <v>199</v>
      </c>
    </row>
    <row r="678" spans="2:56" x14ac:dyDescent="0.3">
      <c r="B678" s="11" t="s">
        <v>206</v>
      </c>
      <c r="C678" s="28" t="s">
        <v>207</v>
      </c>
      <c r="D678" s="28"/>
      <c r="E678" s="28"/>
      <c r="F678" s="41"/>
      <c r="G678" s="28"/>
      <c r="H678" s="37"/>
      <c r="I678" s="36" t="e">
        <f t="shared" si="39"/>
        <v>#DIV/0!</v>
      </c>
      <c r="J678" s="28"/>
      <c r="K678" s="28"/>
      <c r="L678" s="28"/>
      <c r="M678" s="4" t="e">
        <f t="shared" si="41"/>
        <v>#DIV/0!</v>
      </c>
      <c r="AJ678" s="26">
        <v>2.86138095609175E-4</v>
      </c>
      <c r="AK678" s="26">
        <v>688.67590489552094</v>
      </c>
      <c r="AL678" s="11">
        <f t="shared" si="40"/>
        <v>1.3570800279359568E-2</v>
      </c>
      <c r="AP678" s="65" t="s">
        <v>161</v>
      </c>
      <c r="AQ678" s="76">
        <v>688.67590489552094</v>
      </c>
      <c r="AR678" s="76">
        <v>2.86138095609175E-4</v>
      </c>
      <c r="BD678" s="21" t="s">
        <v>199</v>
      </c>
    </row>
    <row r="679" spans="2:56" x14ac:dyDescent="0.3">
      <c r="B679" s="11" t="s">
        <v>206</v>
      </c>
      <c r="C679" s="28" t="s">
        <v>207</v>
      </c>
      <c r="D679" s="28"/>
      <c r="E679" s="28"/>
      <c r="F679" s="41"/>
      <c r="G679" s="28"/>
      <c r="H679" s="37"/>
      <c r="I679" s="36" t="e">
        <f t="shared" si="39"/>
        <v>#DIV/0!</v>
      </c>
      <c r="J679" s="28"/>
      <c r="K679" s="28"/>
      <c r="L679" s="28"/>
      <c r="M679" s="4" t="e">
        <f t="shared" si="41"/>
        <v>#DIV/0!</v>
      </c>
      <c r="AJ679" s="26">
        <v>3.8955673714156398E-4</v>
      </c>
      <c r="AK679" s="26">
        <v>633.20301363650799</v>
      </c>
      <c r="AL679" s="11">
        <f t="shared" si="40"/>
        <v>1.5619123753148549E-2</v>
      </c>
      <c r="AP679" s="65" t="s">
        <v>161</v>
      </c>
      <c r="AQ679" s="76">
        <v>633.20301363650799</v>
      </c>
      <c r="AR679" s="76">
        <v>3.8955673714156398E-4</v>
      </c>
      <c r="BD679" s="21" t="s">
        <v>199</v>
      </c>
    </row>
    <row r="680" spans="2:56" x14ac:dyDescent="0.3">
      <c r="B680" s="11" t="s">
        <v>206</v>
      </c>
      <c r="C680" s="28" t="s">
        <v>207</v>
      </c>
      <c r="D680" s="28"/>
      <c r="E680" s="28"/>
      <c r="F680" s="41"/>
      <c r="G680" s="28"/>
      <c r="H680" s="37"/>
      <c r="I680" s="36" t="e">
        <f t="shared" si="39"/>
        <v>#DIV/0!</v>
      </c>
      <c r="J680" s="28"/>
      <c r="K680" s="28"/>
      <c r="L680" s="28"/>
      <c r="M680" s="4" t="e">
        <f t="shared" si="41"/>
        <v>#DIV/0!</v>
      </c>
      <c r="AJ680" s="26">
        <v>5.3035388779429501E-4</v>
      </c>
      <c r="AK680" s="26">
        <v>544.47776480196501</v>
      </c>
      <c r="AL680" s="11">
        <f t="shared" si="40"/>
        <v>1.5722661144559849E-2</v>
      </c>
      <c r="AP680" s="65" t="s">
        <v>161</v>
      </c>
      <c r="AQ680" s="76">
        <v>544.47776480196501</v>
      </c>
      <c r="AR680" s="76">
        <v>5.3035388779429501E-4</v>
      </c>
      <c r="BD680" s="21" t="s">
        <v>199</v>
      </c>
    </row>
    <row r="681" spans="2:56" x14ac:dyDescent="0.3">
      <c r="B681" s="11" t="s">
        <v>206</v>
      </c>
      <c r="C681" s="28" t="s">
        <v>207</v>
      </c>
      <c r="D681" s="28"/>
      <c r="E681" s="28"/>
      <c r="F681" s="41"/>
      <c r="G681" s="28"/>
      <c r="H681" s="37"/>
      <c r="I681" s="36" t="e">
        <f t="shared" si="39"/>
        <v>#DIV/0!</v>
      </c>
      <c r="J681" s="28"/>
      <c r="K681" s="28"/>
      <c r="L681" s="28"/>
      <c r="M681" s="4" t="e">
        <f t="shared" si="41"/>
        <v>#DIV/0!</v>
      </c>
      <c r="AJ681" s="26">
        <v>2.8613809560917598E-4</v>
      </c>
      <c r="AK681" s="26">
        <v>492.67479310734001</v>
      </c>
      <c r="AL681" s="11">
        <f t="shared" si="40"/>
        <v>6.945385693773164E-3</v>
      </c>
      <c r="AP681" s="65" t="s">
        <v>161</v>
      </c>
      <c r="AQ681" s="76">
        <v>492.67479310734001</v>
      </c>
      <c r="AR681" s="76">
        <v>2.8613809560917598E-4</v>
      </c>
      <c r="BD681" s="21" t="s">
        <v>199</v>
      </c>
    </row>
    <row r="682" spans="2:56" x14ac:dyDescent="0.3">
      <c r="B682" s="11" t="s">
        <v>206</v>
      </c>
      <c r="C682" s="28" t="s">
        <v>207</v>
      </c>
      <c r="D682" s="28"/>
      <c r="E682" s="28"/>
      <c r="F682" s="41"/>
      <c r="G682" s="28"/>
      <c r="H682" s="37"/>
      <c r="I682" s="36" t="e">
        <f t="shared" si="39"/>
        <v>#DIV/0!</v>
      </c>
      <c r="J682" s="28"/>
      <c r="K682" s="28"/>
      <c r="L682" s="28"/>
      <c r="M682" s="4" t="e">
        <f t="shared" si="41"/>
        <v>#DIV/0!</v>
      </c>
      <c r="AJ682" s="26">
        <v>4.5453595023880002E-4</v>
      </c>
      <c r="AK682" s="26">
        <v>364.32488270068501</v>
      </c>
      <c r="AL682" s="11">
        <f t="shared" si="40"/>
        <v>6.0331747629778568E-3</v>
      </c>
      <c r="AP682" s="65" t="s">
        <v>161</v>
      </c>
      <c r="AQ682" s="76">
        <v>364.32488270068501</v>
      </c>
      <c r="AR682" s="76">
        <v>4.5453595023880002E-4</v>
      </c>
      <c r="BD682" s="21" t="s">
        <v>199</v>
      </c>
    </row>
    <row r="683" spans="2:56" x14ac:dyDescent="0.3">
      <c r="B683" s="11" t="s">
        <v>206</v>
      </c>
      <c r="C683" s="28" t="s">
        <v>207</v>
      </c>
      <c r="D683" s="28"/>
      <c r="E683" s="28"/>
      <c r="F683" s="41"/>
      <c r="G683" s="28"/>
      <c r="H683" s="37"/>
      <c r="I683" s="36" t="e">
        <f t="shared" si="39"/>
        <v>#DIV/0!</v>
      </c>
      <c r="J683" s="28"/>
      <c r="K683" s="28"/>
      <c r="L683" s="28"/>
      <c r="M683" s="4" t="e">
        <f t="shared" si="41"/>
        <v>#DIV/0!</v>
      </c>
      <c r="AJ683" s="26">
        <v>1.2712131076248901E-3</v>
      </c>
      <c r="AK683" s="26">
        <v>357.97704363222499</v>
      </c>
      <c r="AL683" s="11">
        <f t="shared" si="40"/>
        <v>1.629028627716559E-2</v>
      </c>
      <c r="AP683" s="65" t="s">
        <v>161</v>
      </c>
      <c r="AQ683" s="76">
        <v>357.97704363222499</v>
      </c>
      <c r="AR683" s="76">
        <v>1.2712131076248901E-3</v>
      </c>
      <c r="BD683" s="21" t="s">
        <v>199</v>
      </c>
    </row>
    <row r="684" spans="2:56" x14ac:dyDescent="0.3">
      <c r="B684" s="11" t="s">
        <v>206</v>
      </c>
      <c r="C684" s="28" t="s">
        <v>207</v>
      </c>
      <c r="D684" s="28"/>
      <c r="E684" s="28"/>
      <c r="F684" s="41"/>
      <c r="G684" s="28"/>
      <c r="H684" s="37"/>
      <c r="I684" s="36" t="e">
        <f t="shared" si="39"/>
        <v>#DIV/0!</v>
      </c>
      <c r="J684" s="28"/>
      <c r="K684" s="28"/>
      <c r="L684" s="28"/>
      <c r="M684" s="4" t="e">
        <f t="shared" si="41"/>
        <v>#DIV/0!</v>
      </c>
      <c r="AJ684" s="26">
        <v>2.2380816708671399E-3</v>
      </c>
      <c r="AK684" s="26">
        <v>318.23473082597599</v>
      </c>
      <c r="AL684" s="11">
        <f t="shared" si="40"/>
        <v>2.2665801473870137E-2</v>
      </c>
      <c r="AP684" s="65" t="s">
        <v>161</v>
      </c>
      <c r="AQ684" s="76">
        <v>318.23473082597599</v>
      </c>
      <c r="AR684" s="76">
        <v>2.2380816708671399E-3</v>
      </c>
      <c r="BD684" s="21" t="s">
        <v>199</v>
      </c>
    </row>
    <row r="685" spans="2:56" x14ac:dyDescent="0.3">
      <c r="B685" s="11" t="s">
        <v>206</v>
      </c>
      <c r="C685" s="28" t="s">
        <v>207</v>
      </c>
      <c r="D685" s="28"/>
      <c r="E685" s="28"/>
      <c r="F685" s="41"/>
      <c r="G685" s="28"/>
      <c r="H685" s="37"/>
      <c r="I685" s="36" t="e">
        <f t="shared" si="39"/>
        <v>#DIV/0!</v>
      </c>
      <c r="J685" s="28"/>
      <c r="K685" s="28"/>
      <c r="L685" s="28"/>
      <c r="M685" s="4" t="e">
        <f t="shared" si="41"/>
        <v>#DIV/0!</v>
      </c>
      <c r="AJ685" s="26">
        <v>1.64392081065974E-3</v>
      </c>
      <c r="AK685" s="26">
        <v>189.40930406102899</v>
      </c>
      <c r="AL685" s="11">
        <f t="shared" si="40"/>
        <v>5.8977113072646173E-3</v>
      </c>
      <c r="AP685" s="65" t="s">
        <v>161</v>
      </c>
      <c r="AQ685" s="76">
        <v>189.40930406102899</v>
      </c>
      <c r="AR685" s="76">
        <v>1.64392081065974E-3</v>
      </c>
      <c r="BD685" s="21" t="s">
        <v>199</v>
      </c>
    </row>
    <row r="686" spans="2:56" x14ac:dyDescent="0.3">
      <c r="B686" s="11" t="s">
        <v>206</v>
      </c>
      <c r="C686" s="28" t="s">
        <v>207</v>
      </c>
      <c r="D686" s="28"/>
      <c r="E686" s="28"/>
      <c r="F686" s="41"/>
      <c r="G686" s="28"/>
      <c r="H686" s="37"/>
      <c r="I686" s="36" t="e">
        <f t="shared" si="39"/>
        <v>#DIV/0!</v>
      </c>
      <c r="J686" s="28"/>
      <c r="K686" s="28"/>
      <c r="L686" s="28"/>
      <c r="M686" s="4" t="e">
        <f t="shared" si="41"/>
        <v>#DIV/0!</v>
      </c>
      <c r="AJ686" s="26">
        <v>7.3033745400415103E-3</v>
      </c>
      <c r="AK686" s="26">
        <v>202.28741741786999</v>
      </c>
      <c r="AL686" s="11">
        <f t="shared" si="40"/>
        <v>2.9885554134367925E-2</v>
      </c>
      <c r="AP686" s="65" t="s">
        <v>161</v>
      </c>
      <c r="AQ686" s="76">
        <v>202.28741741786999</v>
      </c>
      <c r="AR686" s="76">
        <v>7.3033745400415103E-3</v>
      </c>
      <c r="BD686" s="21" t="s">
        <v>199</v>
      </c>
    </row>
    <row r="687" spans="2:56" x14ac:dyDescent="0.3">
      <c r="B687" s="11" t="s">
        <v>206</v>
      </c>
      <c r="C687" s="28" t="s">
        <v>207</v>
      </c>
      <c r="D687" s="28"/>
      <c r="E687" s="28"/>
      <c r="F687" s="41"/>
      <c r="G687" s="28"/>
      <c r="H687" s="37"/>
      <c r="I687" s="36" t="e">
        <f t="shared" si="39"/>
        <v>#DIV/0!</v>
      </c>
      <c r="J687" s="28"/>
      <c r="K687" s="28"/>
      <c r="L687" s="28"/>
      <c r="M687" s="4" t="e">
        <f t="shared" si="41"/>
        <v>#DIV/0!</v>
      </c>
      <c r="AJ687" s="26">
        <v>2.7807934671431798E-2</v>
      </c>
      <c r="AK687" s="26">
        <v>118.24216932828899</v>
      </c>
      <c r="AL687" s="11">
        <f t="shared" si="40"/>
        <v>3.8878859119977051E-2</v>
      </c>
      <c r="AP687" s="65" t="s">
        <v>161</v>
      </c>
      <c r="AQ687" s="76">
        <v>118.24216932828899</v>
      </c>
      <c r="AR687" s="76">
        <v>2.7807934671431798E-2</v>
      </c>
      <c r="BD687" s="21" t="s">
        <v>199</v>
      </c>
    </row>
    <row r="688" spans="2:56" x14ac:dyDescent="0.3">
      <c r="B688" s="11" t="s">
        <v>206</v>
      </c>
      <c r="C688" s="28" t="s">
        <v>207</v>
      </c>
      <c r="D688" s="28"/>
      <c r="E688" s="28"/>
      <c r="F688" s="41"/>
      <c r="G688" s="28"/>
      <c r="H688" s="37"/>
      <c r="I688" s="36" t="e">
        <f t="shared" si="39"/>
        <v>#DIV/0!</v>
      </c>
      <c r="J688" s="28"/>
      <c r="K688" s="28"/>
      <c r="L688" s="28"/>
      <c r="M688" s="4" t="e">
        <f t="shared" si="41"/>
        <v>#DIV/0!</v>
      </c>
      <c r="AJ688" s="26">
        <v>0.13006005118723599</v>
      </c>
      <c r="AK688" s="26">
        <v>64.626823907098</v>
      </c>
      <c r="AL688" s="11">
        <f t="shared" si="40"/>
        <v>5.4321223925353573E-2</v>
      </c>
      <c r="AP688" s="65" t="s">
        <v>161</v>
      </c>
      <c r="AQ688" s="76">
        <v>64.626823907098</v>
      </c>
      <c r="AR688" s="76">
        <v>0.13006005118723599</v>
      </c>
      <c r="BD688" s="21" t="s">
        <v>199</v>
      </c>
    </row>
    <row r="689" spans="2:56" x14ac:dyDescent="0.3">
      <c r="B689" s="11" t="s">
        <v>206</v>
      </c>
      <c r="C689" s="28" t="s">
        <v>207</v>
      </c>
      <c r="D689" s="28"/>
      <c r="E689" s="28"/>
      <c r="F689" s="41"/>
      <c r="G689" s="28"/>
      <c r="H689" s="37"/>
      <c r="I689" s="36" t="e">
        <f t="shared" si="39"/>
        <v>#DIV/0!</v>
      </c>
      <c r="J689" s="28"/>
      <c r="K689" s="28"/>
      <c r="L689" s="28"/>
      <c r="M689" s="4" t="e">
        <f t="shared" si="41"/>
        <v>#DIV/0!</v>
      </c>
      <c r="AJ689" s="26">
        <v>0.42441581953054103</v>
      </c>
      <c r="AK689" s="26">
        <v>52.811076097401298</v>
      </c>
      <c r="AL689" s="11">
        <f t="shared" si="40"/>
        <v>0.11836998623602576</v>
      </c>
      <c r="AP689" s="65" t="s">
        <v>161</v>
      </c>
      <c r="AQ689" s="76">
        <v>52.811076097401298</v>
      </c>
      <c r="AR689" s="76">
        <v>0.42441581953054103</v>
      </c>
      <c r="BD689" s="21" t="s">
        <v>199</v>
      </c>
    </row>
    <row r="690" spans="2:56" x14ac:dyDescent="0.3">
      <c r="B690" s="11" t="s">
        <v>206</v>
      </c>
      <c r="C690" s="28" t="s">
        <v>207</v>
      </c>
      <c r="D690" s="28"/>
      <c r="E690" s="28"/>
      <c r="F690" s="41"/>
      <c r="G690" s="28"/>
      <c r="H690" s="37"/>
      <c r="I690" s="36" t="e">
        <f t="shared" si="39"/>
        <v>#DIV/0!</v>
      </c>
      <c r="J690" s="28"/>
      <c r="K690" s="28"/>
      <c r="L690" s="28"/>
      <c r="M690" s="4" t="e">
        <f t="shared" si="41"/>
        <v>#DIV/0!</v>
      </c>
      <c r="AJ690" s="26">
        <v>0.57781205783029999</v>
      </c>
      <c r="AK690" s="26">
        <v>62.422910043650297</v>
      </c>
      <c r="AL690" s="11">
        <f t="shared" si="40"/>
        <v>0.22515138464670084</v>
      </c>
      <c r="AP690" s="65" t="s">
        <v>161</v>
      </c>
      <c r="AQ690" s="76">
        <v>62.422910043650297</v>
      </c>
      <c r="AR690" s="76">
        <v>0.57781205783029999</v>
      </c>
      <c r="BD690" s="21" t="s">
        <v>199</v>
      </c>
    </row>
    <row r="691" spans="2:56" x14ac:dyDescent="0.3">
      <c r="B691" s="11" t="s">
        <v>206</v>
      </c>
      <c r="C691" s="28" t="s">
        <v>207</v>
      </c>
      <c r="D691" s="28"/>
      <c r="E691" s="28"/>
      <c r="F691" s="41"/>
      <c r="G691" s="28"/>
      <c r="H691" s="37"/>
      <c r="I691" s="36" t="e">
        <f t="shared" si="39"/>
        <v>#DIV/0!</v>
      </c>
      <c r="J691" s="28"/>
      <c r="K691" s="28"/>
      <c r="L691" s="28"/>
      <c r="M691" s="4" t="e">
        <f t="shared" si="41"/>
        <v>#DIV/0!</v>
      </c>
      <c r="AJ691" s="26">
        <v>0.49520963041794203</v>
      </c>
      <c r="AK691" s="26">
        <v>31.420734430650501</v>
      </c>
      <c r="AL691" s="11">
        <f t="shared" si="40"/>
        <v>4.8890192358135375E-2</v>
      </c>
      <c r="AP691" s="65" t="s">
        <v>161</v>
      </c>
      <c r="AQ691" s="76">
        <v>31.420734430650501</v>
      </c>
      <c r="AR691" s="76">
        <v>0.49520963041794203</v>
      </c>
      <c r="BD691" s="21" t="s">
        <v>199</v>
      </c>
    </row>
    <row r="692" spans="2:56" x14ac:dyDescent="0.3">
      <c r="B692" s="11" t="s">
        <v>206</v>
      </c>
      <c r="C692" s="28" t="s">
        <v>207</v>
      </c>
      <c r="D692" s="28"/>
      <c r="E692" s="28"/>
      <c r="F692" s="41"/>
      <c r="G692" s="28"/>
      <c r="H692" s="37"/>
      <c r="I692" s="36" t="e">
        <f t="shared" si="39"/>
        <v>#DIV/0!</v>
      </c>
      <c r="J692" s="28"/>
      <c r="K692" s="28"/>
      <c r="L692" s="28"/>
      <c r="M692" s="4" t="e">
        <f t="shared" si="41"/>
        <v>#DIV/0!</v>
      </c>
      <c r="AJ692" s="26">
        <v>1.5349852915548501</v>
      </c>
      <c r="AK692" s="26">
        <v>39.6860149401939</v>
      </c>
      <c r="AL692" s="11">
        <f t="shared" si="40"/>
        <v>0.24175707996103721</v>
      </c>
      <c r="AP692" s="65" t="s">
        <v>161</v>
      </c>
      <c r="AQ692" s="76">
        <v>39.6860149401939</v>
      </c>
      <c r="AR692" s="76">
        <v>1.5349852915548501</v>
      </c>
      <c r="BD692" s="21" t="s">
        <v>199</v>
      </c>
    </row>
    <row r="693" spans="2:56" x14ac:dyDescent="0.3">
      <c r="B693" s="11" t="s">
        <v>206</v>
      </c>
      <c r="C693" s="28" t="s">
        <v>207</v>
      </c>
      <c r="D693" s="28"/>
      <c r="E693" s="28"/>
      <c r="F693" s="41"/>
      <c r="G693" s="28"/>
      <c r="H693" s="37"/>
      <c r="I693" s="36" t="e">
        <f t="shared" si="39"/>
        <v>#DIV/0!</v>
      </c>
      <c r="J693" s="28"/>
      <c r="K693" s="28"/>
      <c r="L693" s="28"/>
      <c r="M693" s="4" t="e">
        <f t="shared" si="41"/>
        <v>#DIV/0!</v>
      </c>
      <c r="AJ693" s="26">
        <v>1.3849662999783301</v>
      </c>
      <c r="AK693" s="26">
        <v>33.569611233425903</v>
      </c>
      <c r="AL693" s="11">
        <f t="shared" si="40"/>
        <v>0.15607445585453211</v>
      </c>
      <c r="AP693" s="65" t="s">
        <v>161</v>
      </c>
      <c r="AQ693" s="76">
        <v>33.569611233425903</v>
      </c>
      <c r="AR693" s="76">
        <v>1.3849662999783301</v>
      </c>
      <c r="BD693" s="21" t="s">
        <v>199</v>
      </c>
    </row>
    <row r="694" spans="2:56" x14ac:dyDescent="0.3">
      <c r="B694" s="11" t="s">
        <v>206</v>
      </c>
      <c r="C694" s="28" t="s">
        <v>207</v>
      </c>
      <c r="D694" s="28"/>
      <c r="E694" s="28"/>
      <c r="F694" s="41"/>
      <c r="G694" s="28"/>
      <c r="H694" s="37"/>
      <c r="I694" s="36" t="e">
        <f t="shared" si="39"/>
        <v>#DIV/0!</v>
      </c>
      <c r="J694" s="28"/>
      <c r="K694" s="28"/>
      <c r="L694" s="28"/>
      <c r="M694" s="4" t="e">
        <f t="shared" si="41"/>
        <v>#DIV/0!</v>
      </c>
      <c r="AJ694" s="26">
        <v>1.79102536698248</v>
      </c>
      <c r="AK694" s="26">
        <v>35.291836716363001</v>
      </c>
      <c r="AL694" s="11">
        <f t="shared" si="40"/>
        <v>0.22307467011418311</v>
      </c>
      <c r="AP694" s="65" t="s">
        <v>161</v>
      </c>
      <c r="AQ694" s="76">
        <v>35.291836716363001</v>
      </c>
      <c r="AR694" s="76">
        <v>1.79102536698248</v>
      </c>
      <c r="BD694" s="21" t="s">
        <v>199</v>
      </c>
    </row>
    <row r="695" spans="2:56" x14ac:dyDescent="0.3">
      <c r="B695" s="11" t="s">
        <v>206</v>
      </c>
      <c r="C695" s="28" t="s">
        <v>207</v>
      </c>
      <c r="D695" s="28"/>
      <c r="E695" s="28"/>
      <c r="F695" s="41"/>
      <c r="G695" s="28"/>
      <c r="H695" s="37"/>
      <c r="I695" s="36" t="e">
        <f t="shared" si="39"/>
        <v>#DIV/0!</v>
      </c>
      <c r="J695" s="28"/>
      <c r="K695" s="28"/>
      <c r="L695" s="28"/>
      <c r="M695" s="4" t="e">
        <f t="shared" si="41"/>
        <v>#DIV/0!</v>
      </c>
      <c r="AJ695" s="26">
        <v>2.5670201658881702</v>
      </c>
      <c r="AK695" s="26">
        <v>39.010749969805197</v>
      </c>
      <c r="AL695" s="11">
        <f t="shared" si="40"/>
        <v>0.39065904093287734</v>
      </c>
      <c r="AP695" s="65" t="s">
        <v>161</v>
      </c>
      <c r="AQ695" s="76">
        <v>39.010749969805197</v>
      </c>
      <c r="AR695" s="76">
        <v>2.5670201658881702</v>
      </c>
      <c r="BD695" s="21" t="s">
        <v>199</v>
      </c>
    </row>
    <row r="696" spans="2:56" x14ac:dyDescent="0.3">
      <c r="B696" s="11" t="s">
        <v>206</v>
      </c>
      <c r="C696" s="28" t="s">
        <v>207</v>
      </c>
      <c r="D696" s="28"/>
      <c r="E696" s="28"/>
      <c r="F696" s="41"/>
      <c r="G696" s="28"/>
      <c r="H696" s="37"/>
      <c r="I696" s="36" t="e">
        <f t="shared" si="39"/>
        <v>#DIV/0!</v>
      </c>
      <c r="J696" s="28"/>
      <c r="K696" s="28"/>
      <c r="L696" s="28"/>
      <c r="M696" s="4" t="e">
        <f t="shared" si="41"/>
        <v>#DIV/0!</v>
      </c>
      <c r="AJ696" s="26">
        <v>3.1532565404324</v>
      </c>
      <c r="AK696" s="26">
        <v>41.7064305974531</v>
      </c>
      <c r="AL696" s="11">
        <f t="shared" si="40"/>
        <v>0.5484857524765856</v>
      </c>
      <c r="AP696" s="65" t="s">
        <v>161</v>
      </c>
      <c r="AQ696" s="76">
        <v>41.7064305974531</v>
      </c>
      <c r="AR696" s="76">
        <v>3.1532565404324</v>
      </c>
      <c r="BD696" s="21" t="s">
        <v>199</v>
      </c>
    </row>
    <row r="697" spans="2:56" x14ac:dyDescent="0.3">
      <c r="B697" s="11" t="s">
        <v>206</v>
      </c>
      <c r="C697" s="28" t="s">
        <v>207</v>
      </c>
      <c r="D697" s="28"/>
      <c r="E697" s="28"/>
      <c r="F697" s="41"/>
      <c r="G697" s="28"/>
      <c r="H697" s="37"/>
      <c r="I697" s="36" t="e">
        <f t="shared" si="39"/>
        <v>#DIV/0!</v>
      </c>
      <c r="J697" s="28"/>
      <c r="K697" s="28"/>
      <c r="L697" s="28"/>
      <c r="M697" s="4" t="e">
        <f t="shared" si="41"/>
        <v>#DIV/0!</v>
      </c>
      <c r="AJ697" s="26">
        <v>6.15292874722957</v>
      </c>
      <c r="AK697" s="26">
        <v>55.412122074697102</v>
      </c>
      <c r="AL697" s="11">
        <f t="shared" si="40"/>
        <v>1.8892587855803635</v>
      </c>
      <c r="AP697" s="65" t="s">
        <v>161</v>
      </c>
      <c r="AQ697" s="76">
        <v>55.412122074697102</v>
      </c>
      <c r="AR697" s="76">
        <v>6.15292874722957</v>
      </c>
      <c r="BD697" s="21" t="s">
        <v>199</v>
      </c>
    </row>
    <row r="698" spans="2:56" x14ac:dyDescent="0.3">
      <c r="B698" s="11" t="s">
        <v>206</v>
      </c>
      <c r="C698" s="28" t="s">
        <v>207</v>
      </c>
      <c r="D698" s="28"/>
      <c r="E698" s="28"/>
      <c r="F698" s="41"/>
      <c r="G698" s="28"/>
      <c r="H698" s="37"/>
      <c r="I698" s="36" t="e">
        <f t="shared" ref="I698:I761" si="42">((K698)*1000)/H698</f>
        <v>#DIV/0!</v>
      </c>
      <c r="J698" s="28"/>
      <c r="K698" s="28"/>
      <c r="L698" s="28"/>
      <c r="M698" s="4" t="e">
        <f t="shared" si="41"/>
        <v>#DIV/0!</v>
      </c>
      <c r="AJ698" s="26">
        <v>14.0088338722174</v>
      </c>
      <c r="AK698" s="26">
        <v>47.627906606195502</v>
      </c>
      <c r="AL698" s="11">
        <f t="shared" ref="AL698:AL761" si="43">((AK698)^2*AJ698)/10000</f>
        <v>3.1777883737860693</v>
      </c>
      <c r="AP698" s="65" t="s">
        <v>161</v>
      </c>
      <c r="AQ698" s="76">
        <v>47.627906606195502</v>
      </c>
      <c r="AR698" s="76">
        <v>14.0088338722174</v>
      </c>
      <c r="BD698" s="21" t="s">
        <v>199</v>
      </c>
    </row>
    <row r="699" spans="2:56" x14ac:dyDescent="0.3">
      <c r="B699" s="11" t="s">
        <v>206</v>
      </c>
      <c r="C699" s="28" t="s">
        <v>207</v>
      </c>
      <c r="D699" s="28"/>
      <c r="E699" s="28"/>
      <c r="F699" s="41"/>
      <c r="G699" s="28"/>
      <c r="H699" s="37"/>
      <c r="I699" s="36" t="e">
        <f t="shared" si="42"/>
        <v>#DIV/0!</v>
      </c>
      <c r="J699" s="28"/>
      <c r="K699" s="28"/>
      <c r="L699" s="28"/>
      <c r="M699" s="4" t="e">
        <f t="shared" si="41"/>
        <v>#DIV/0!</v>
      </c>
      <c r="AJ699" s="26">
        <v>8.8187986974312391</v>
      </c>
      <c r="AK699" s="26">
        <v>42.375498542611197</v>
      </c>
      <c r="AL699" s="11">
        <f t="shared" si="43"/>
        <v>1.5835765814348819</v>
      </c>
      <c r="AP699" s="65" t="s">
        <v>161</v>
      </c>
      <c r="AQ699" s="76">
        <v>42.375498542611197</v>
      </c>
      <c r="AR699" s="76">
        <v>8.8187986974312391</v>
      </c>
      <c r="BD699" s="21" t="s">
        <v>199</v>
      </c>
    </row>
    <row r="700" spans="2:56" x14ac:dyDescent="0.3">
      <c r="B700" s="11" t="s">
        <v>206</v>
      </c>
      <c r="C700" s="28" t="s">
        <v>207</v>
      </c>
      <c r="D700" s="28"/>
      <c r="E700" s="28"/>
      <c r="F700" s="41"/>
      <c r="G700" s="28"/>
      <c r="H700" s="37"/>
      <c r="I700" s="36" t="e">
        <f t="shared" si="42"/>
        <v>#DIV/0!</v>
      </c>
      <c r="J700" s="28"/>
      <c r="K700" s="28"/>
      <c r="L700" s="28"/>
      <c r="M700" s="4" t="e">
        <f t="shared" si="41"/>
        <v>#DIV/0!</v>
      </c>
      <c r="AJ700" s="26">
        <v>5.5515834633496803</v>
      </c>
      <c r="AK700" s="26">
        <v>33.531969083880298</v>
      </c>
      <c r="AL700" s="11">
        <f t="shared" si="43"/>
        <v>0.62421613110927687</v>
      </c>
      <c r="AP700" s="65" t="s">
        <v>161</v>
      </c>
      <c r="AQ700" s="76">
        <v>33.531969083880298</v>
      </c>
      <c r="AR700" s="76">
        <v>5.5515834633496803</v>
      </c>
      <c r="BD700" s="21" t="s">
        <v>199</v>
      </c>
    </row>
    <row r="701" spans="2:56" x14ac:dyDescent="0.3">
      <c r="B701" s="11" t="s">
        <v>206</v>
      </c>
      <c r="C701" s="28" t="s">
        <v>207</v>
      </c>
      <c r="D701" s="28"/>
      <c r="E701" s="28"/>
      <c r="F701" s="41"/>
      <c r="G701" s="28"/>
      <c r="H701" s="37"/>
      <c r="I701" s="36" t="e">
        <f t="shared" si="42"/>
        <v>#DIV/0!</v>
      </c>
      <c r="J701" s="28"/>
      <c r="K701" s="28"/>
      <c r="L701" s="28"/>
      <c r="M701" s="4" t="e">
        <f t="shared" si="41"/>
        <v>#DIV/0!</v>
      </c>
      <c r="AJ701" s="26">
        <v>1.3849662999783401</v>
      </c>
      <c r="AK701" s="26">
        <v>26.1129178611714</v>
      </c>
      <c r="AL701" s="11">
        <f t="shared" si="43"/>
        <v>9.4438702420391429E-2</v>
      </c>
      <c r="AP701" s="65" t="s">
        <v>161</v>
      </c>
      <c r="AQ701" s="76">
        <v>26.1129178611714</v>
      </c>
      <c r="AR701" s="76">
        <v>1.3849662999783401</v>
      </c>
      <c r="BD701" s="21" t="s">
        <v>199</v>
      </c>
    </row>
    <row r="702" spans="2:56" x14ac:dyDescent="0.3">
      <c r="B702" s="11" t="s">
        <v>206</v>
      </c>
      <c r="C702" s="28" t="s">
        <v>207</v>
      </c>
      <c r="D702" s="28"/>
      <c r="E702" s="28"/>
      <c r="F702" s="41"/>
      <c r="G702" s="28"/>
      <c r="H702" s="37"/>
      <c r="I702" s="36" t="e">
        <f t="shared" si="42"/>
        <v>#DIV/0!</v>
      </c>
      <c r="J702" s="28"/>
      <c r="K702" s="28"/>
      <c r="L702" s="28"/>
      <c r="M702" s="4" t="e">
        <f t="shared" si="41"/>
        <v>#DIV/0!</v>
      </c>
      <c r="AJ702" s="26">
        <v>0.57781205783030198</v>
      </c>
      <c r="AK702" s="26">
        <v>24.0324781584515</v>
      </c>
      <c r="AL702" s="11">
        <f t="shared" si="43"/>
        <v>3.3372113583952673E-2</v>
      </c>
      <c r="AP702" s="65" t="s">
        <v>161</v>
      </c>
      <c r="AQ702" s="76">
        <v>24.0324781584515</v>
      </c>
      <c r="AR702" s="76">
        <v>0.57781205783030198</v>
      </c>
      <c r="BD702" s="21" t="s">
        <v>199</v>
      </c>
    </row>
    <row r="703" spans="2:56" x14ac:dyDescent="0.3">
      <c r="B703" s="11" t="s">
        <v>206</v>
      </c>
      <c r="C703" s="28" t="s">
        <v>207</v>
      </c>
      <c r="D703" s="28"/>
      <c r="E703" s="28"/>
      <c r="F703" s="41"/>
      <c r="G703" s="28"/>
      <c r="H703" s="37"/>
      <c r="I703" s="36" t="e">
        <f t="shared" si="42"/>
        <v>#DIV/0!</v>
      </c>
      <c r="J703" s="28"/>
      <c r="K703" s="28"/>
      <c r="L703" s="28"/>
      <c r="M703" s="4" t="e">
        <f t="shared" si="41"/>
        <v>#DIV/0!</v>
      </c>
      <c r="AJ703" s="26">
        <v>2.2000460018060699</v>
      </c>
      <c r="AK703" s="26">
        <v>20.647848387299199</v>
      </c>
      <c r="AL703" s="11">
        <f t="shared" si="43"/>
        <v>9.3795362677233457E-2</v>
      </c>
      <c r="AP703" s="65" t="s">
        <v>161</v>
      </c>
      <c r="AQ703" s="76">
        <v>20.647848387299199</v>
      </c>
      <c r="AR703" s="76">
        <v>2.2000460018060699</v>
      </c>
      <c r="BD703" s="21" t="s">
        <v>199</v>
      </c>
    </row>
    <row r="704" spans="2:56" x14ac:dyDescent="0.3">
      <c r="B704" s="11" t="s">
        <v>206</v>
      </c>
      <c r="C704" s="28" t="s">
        <v>207</v>
      </c>
      <c r="D704" s="28"/>
      <c r="E704" s="28"/>
      <c r="F704" s="41"/>
      <c r="G704" s="28"/>
      <c r="H704" s="37"/>
      <c r="I704" s="36" t="e">
        <f t="shared" si="42"/>
        <v>#DIV/0!</v>
      </c>
      <c r="J704" s="28"/>
      <c r="K704" s="28"/>
      <c r="L704" s="28"/>
      <c r="M704" s="4" t="e">
        <f t="shared" si="41"/>
        <v>#DIV/0!</v>
      </c>
      <c r="AJ704" s="26">
        <v>5.8445271394945504</v>
      </c>
      <c r="AK704" s="26">
        <v>19.294832403325099</v>
      </c>
      <c r="AL704" s="11">
        <f t="shared" si="43"/>
        <v>0.21758622669250222</v>
      </c>
      <c r="AP704" s="65" t="s">
        <v>161</v>
      </c>
      <c r="AQ704" s="76">
        <v>19.294832403325099</v>
      </c>
      <c r="AR704" s="76">
        <v>5.8445271394945504</v>
      </c>
      <c r="BD704" s="21" t="s">
        <v>199</v>
      </c>
    </row>
    <row r="705" spans="2:56" x14ac:dyDescent="0.3">
      <c r="B705" s="11" t="s">
        <v>206</v>
      </c>
      <c r="C705" s="28" t="s">
        <v>207</v>
      </c>
      <c r="D705" s="28"/>
      <c r="E705" s="28"/>
      <c r="F705" s="41"/>
      <c r="G705" s="28"/>
      <c r="H705" s="37"/>
      <c r="I705" s="36" t="e">
        <f t="shared" si="42"/>
        <v>#DIV/0!</v>
      </c>
      <c r="J705" s="28"/>
      <c r="K705" s="28"/>
      <c r="L705" s="28"/>
      <c r="M705" s="4" t="e">
        <f t="shared" si="41"/>
        <v>#DIV/0!</v>
      </c>
      <c r="AJ705" s="26">
        <v>6.8194115099624799</v>
      </c>
      <c r="AK705" s="26">
        <v>20.286403200367101</v>
      </c>
      <c r="AL705" s="11">
        <f t="shared" si="43"/>
        <v>0.28064480296854721</v>
      </c>
      <c r="AP705" s="65" t="s">
        <v>161</v>
      </c>
      <c r="AQ705" s="76">
        <v>20.286403200367101</v>
      </c>
      <c r="AR705" s="76">
        <v>6.8194115099624799</v>
      </c>
      <c r="BD705" s="21" t="s">
        <v>199</v>
      </c>
    </row>
    <row r="706" spans="2:56" x14ac:dyDescent="0.3">
      <c r="B706" s="11" t="s">
        <v>206</v>
      </c>
      <c r="C706" s="28" t="s">
        <v>207</v>
      </c>
      <c r="D706" s="28"/>
      <c r="E706" s="28"/>
      <c r="F706" s="41"/>
      <c r="G706" s="28"/>
      <c r="H706" s="37"/>
      <c r="I706" s="36" t="e">
        <f t="shared" si="42"/>
        <v>#DIV/0!</v>
      </c>
      <c r="J706" s="28"/>
      <c r="K706" s="28"/>
      <c r="L706" s="28"/>
      <c r="M706" s="4" t="e">
        <f t="shared" si="41"/>
        <v>#DIV/0!</v>
      </c>
      <c r="AJ706" s="26">
        <v>7.9569094697078597</v>
      </c>
      <c r="AK706" s="26">
        <v>19.290022392352402</v>
      </c>
      <c r="AL706" s="11">
        <f t="shared" si="43"/>
        <v>0.29608055109609777</v>
      </c>
      <c r="AP706" s="65" t="s">
        <v>161</v>
      </c>
      <c r="AQ706" s="76">
        <v>19.290022392352402</v>
      </c>
      <c r="AR706" s="76">
        <v>7.9569094697078597</v>
      </c>
      <c r="BD706" s="21" t="s">
        <v>199</v>
      </c>
    </row>
    <row r="707" spans="2:56" x14ac:dyDescent="0.3">
      <c r="B707" s="11" t="s">
        <v>206</v>
      </c>
      <c r="C707" s="28" t="s">
        <v>207</v>
      </c>
      <c r="D707" s="28"/>
      <c r="E707" s="28"/>
      <c r="F707" s="41"/>
      <c r="G707" s="28"/>
      <c r="H707" s="37"/>
      <c r="I707" s="36" t="e">
        <f t="shared" si="42"/>
        <v>#DIV/0!</v>
      </c>
      <c r="J707" s="28"/>
      <c r="K707" s="28"/>
      <c r="L707" s="28"/>
      <c r="M707" s="4" t="e">
        <f t="shared" si="41"/>
        <v>#DIV/0!</v>
      </c>
      <c r="AJ707" s="26">
        <v>21.1379095273609</v>
      </c>
      <c r="AK707" s="26">
        <v>25.197269742421199</v>
      </c>
      <c r="AL707" s="11">
        <f t="shared" si="43"/>
        <v>1.3420509542164292</v>
      </c>
      <c r="AP707" s="65" t="s">
        <v>161</v>
      </c>
      <c r="AQ707" s="76">
        <v>25.197269742421199</v>
      </c>
      <c r="AR707" s="76">
        <v>21.1379095273609</v>
      </c>
      <c r="BD707" s="21" t="s">
        <v>199</v>
      </c>
    </row>
    <row r="708" spans="2:56" x14ac:dyDescent="0.3">
      <c r="B708" s="11" t="s">
        <v>206</v>
      </c>
      <c r="C708" s="28" t="s">
        <v>207</v>
      </c>
      <c r="D708" s="28"/>
      <c r="E708" s="28"/>
      <c r="F708" s="41"/>
      <c r="G708" s="28"/>
      <c r="H708" s="37"/>
      <c r="I708" s="36" t="e">
        <f t="shared" si="42"/>
        <v>#DIV/0!</v>
      </c>
      <c r="J708" s="28"/>
      <c r="K708" s="28"/>
      <c r="L708" s="28"/>
      <c r="M708" s="4" t="e">
        <f t="shared" si="41"/>
        <v>#DIV/0!</v>
      </c>
      <c r="AJ708" s="26">
        <v>39.178888339957403</v>
      </c>
      <c r="AK708" s="26">
        <v>28.316920302569301</v>
      </c>
      <c r="AL708" s="11">
        <f t="shared" si="43"/>
        <v>3.1415512294681855</v>
      </c>
      <c r="AP708" s="65" t="s">
        <v>161</v>
      </c>
      <c r="AQ708" s="76">
        <v>28.316920302569301</v>
      </c>
      <c r="AR708" s="76">
        <v>39.178888339957403</v>
      </c>
      <c r="BD708" s="21" t="s">
        <v>199</v>
      </c>
    </row>
    <row r="709" spans="2:56" x14ac:dyDescent="0.3">
      <c r="B709" s="11" t="s">
        <v>206</v>
      </c>
      <c r="C709" s="28" t="s">
        <v>207</v>
      </c>
      <c r="D709" s="28"/>
      <c r="E709" s="28"/>
      <c r="F709" s="41"/>
      <c r="G709" s="28"/>
      <c r="H709" s="37"/>
      <c r="I709" s="36" t="e">
        <f t="shared" si="42"/>
        <v>#DIV/0!</v>
      </c>
      <c r="J709" s="28"/>
      <c r="K709" s="28"/>
      <c r="L709" s="28"/>
      <c r="M709" s="4" t="e">
        <f t="shared" si="41"/>
        <v>#DIV/0!</v>
      </c>
      <c r="AJ709" s="26">
        <v>50.665769172965</v>
      </c>
      <c r="AK709" s="26">
        <v>26.9238774022398</v>
      </c>
      <c r="AL709" s="11">
        <f t="shared" si="43"/>
        <v>3.6727371579269144</v>
      </c>
      <c r="AP709" s="65" t="s">
        <v>161</v>
      </c>
      <c r="AQ709" s="76">
        <v>26.9238774022398</v>
      </c>
      <c r="AR709" s="76">
        <v>50.665769172965</v>
      </c>
      <c r="BD709" s="21" t="s">
        <v>199</v>
      </c>
    </row>
    <row r="710" spans="2:56" x14ac:dyDescent="0.3">
      <c r="B710" s="11" t="s">
        <v>206</v>
      </c>
      <c r="C710" s="28" t="s">
        <v>207</v>
      </c>
      <c r="D710" s="28"/>
      <c r="E710" s="28"/>
      <c r="F710" s="41"/>
      <c r="G710" s="28"/>
      <c r="H710" s="37"/>
      <c r="I710" s="36" t="e">
        <f t="shared" si="42"/>
        <v>#DIV/0!</v>
      </c>
      <c r="J710" s="28"/>
      <c r="K710" s="28"/>
      <c r="L710" s="28"/>
      <c r="M710" s="4" t="e">
        <f t="shared" si="41"/>
        <v>#DIV/0!</v>
      </c>
      <c r="AJ710" s="26">
        <v>50.665769172965</v>
      </c>
      <c r="AK710" s="26">
        <v>30.272388986159701</v>
      </c>
      <c r="AL710" s="11">
        <f t="shared" si="43"/>
        <v>4.6430999290788701</v>
      </c>
      <c r="AP710" s="65" t="s">
        <v>161</v>
      </c>
      <c r="AQ710" s="76">
        <v>30.272388986159701</v>
      </c>
      <c r="AR710" s="76">
        <v>50.665769172965</v>
      </c>
      <c r="BD710" s="21" t="s">
        <v>199</v>
      </c>
    </row>
    <row r="711" spans="2:56" x14ac:dyDescent="0.3">
      <c r="B711" s="11" t="s">
        <v>206</v>
      </c>
      <c r="C711" s="28" t="s">
        <v>207</v>
      </c>
      <c r="D711" s="28"/>
      <c r="E711" s="28"/>
      <c r="F711" s="41"/>
      <c r="G711" s="28"/>
      <c r="H711" s="37"/>
      <c r="I711" s="36" t="e">
        <f t="shared" si="42"/>
        <v>#DIV/0!</v>
      </c>
      <c r="J711" s="28"/>
      <c r="K711" s="28"/>
      <c r="L711" s="28"/>
      <c r="M711" s="4" t="e">
        <f t="shared" si="41"/>
        <v>#DIV/0!</v>
      </c>
      <c r="AJ711" s="26">
        <v>84.730486932218597</v>
      </c>
      <c r="AK711" s="26">
        <v>32.356172316438098</v>
      </c>
      <c r="AL711" s="11">
        <f t="shared" si="43"/>
        <v>8.8706201263052922</v>
      </c>
      <c r="AP711" s="65" t="s">
        <v>161</v>
      </c>
      <c r="AQ711" s="76">
        <v>32.356172316438098</v>
      </c>
      <c r="AR711" s="76">
        <v>84.730486932218597</v>
      </c>
      <c r="BD711" s="21" t="s">
        <v>199</v>
      </c>
    </row>
    <row r="712" spans="2:56" x14ac:dyDescent="0.3">
      <c r="B712" s="11" t="s">
        <v>206</v>
      </c>
      <c r="C712" s="28" t="s">
        <v>207</v>
      </c>
      <c r="D712" s="28"/>
      <c r="E712" s="28"/>
      <c r="F712" s="41"/>
      <c r="G712" s="28"/>
      <c r="H712" s="37"/>
      <c r="I712" s="36" t="e">
        <f t="shared" si="42"/>
        <v>#DIV/0!</v>
      </c>
      <c r="J712" s="28"/>
      <c r="K712" s="28"/>
      <c r="L712" s="28"/>
      <c r="M712" s="4" t="e">
        <f t="shared" si="41"/>
        <v>#DIV/0!</v>
      </c>
      <c r="AJ712" s="26">
        <v>25.965223161835599</v>
      </c>
      <c r="AK712" s="26">
        <v>12.679422723282199</v>
      </c>
      <c r="AL712" s="11">
        <f t="shared" si="43"/>
        <v>0.417437078109552</v>
      </c>
      <c r="AP712" s="65" t="s">
        <v>161</v>
      </c>
      <c r="AQ712" s="76">
        <v>12.679422723282199</v>
      </c>
      <c r="AR712" s="76">
        <v>25.965223161835599</v>
      </c>
      <c r="BD712" s="21" t="s">
        <v>199</v>
      </c>
    </row>
    <row r="713" spans="2:56" x14ac:dyDescent="0.3">
      <c r="B713" s="11" t="s">
        <v>206</v>
      </c>
      <c r="C713" s="28" t="s">
        <v>207</v>
      </c>
      <c r="D713" s="28"/>
      <c r="E713" s="28"/>
      <c r="F713" s="41"/>
      <c r="G713" s="28"/>
      <c r="H713" s="37"/>
      <c r="I713" s="36" t="e">
        <f t="shared" si="42"/>
        <v>#DIV/0!</v>
      </c>
      <c r="J713" s="28"/>
      <c r="K713" s="28"/>
      <c r="L713" s="28"/>
      <c r="M713" s="4" t="e">
        <f t="shared" si="41"/>
        <v>#DIV/0!</v>
      </c>
      <c r="AJ713" s="26">
        <v>30.296298992612801</v>
      </c>
      <c r="AK713" s="26">
        <v>14.254580228962601</v>
      </c>
      <c r="AL713" s="11">
        <f t="shared" si="43"/>
        <v>0.61559976233622737</v>
      </c>
      <c r="AP713" s="65" t="s">
        <v>161</v>
      </c>
      <c r="AQ713" s="76">
        <v>14.254580228962601</v>
      </c>
      <c r="AR713" s="76">
        <v>30.296298992612801</v>
      </c>
      <c r="BD713" s="21" t="s">
        <v>199</v>
      </c>
    </row>
    <row r="714" spans="2:56" x14ac:dyDescent="0.3">
      <c r="B714" s="11" t="s">
        <v>206</v>
      </c>
      <c r="C714" s="28" t="s">
        <v>207</v>
      </c>
      <c r="D714" s="28"/>
      <c r="E714" s="28"/>
      <c r="F714" s="41"/>
      <c r="G714" s="28"/>
      <c r="H714" s="37"/>
      <c r="I714" s="36" t="e">
        <f t="shared" si="42"/>
        <v>#DIV/0!</v>
      </c>
      <c r="J714" s="28"/>
      <c r="K714" s="28"/>
      <c r="L714" s="28"/>
      <c r="M714" s="4" t="e">
        <f t="shared" si="41"/>
        <v>#DIV/0!</v>
      </c>
      <c r="AJ714" s="26">
        <v>43.422729738799497</v>
      </c>
      <c r="AK714" s="26">
        <v>18.0154987228658</v>
      </c>
      <c r="AL714" s="11">
        <f t="shared" si="43"/>
        <v>1.4093202752717506</v>
      </c>
      <c r="AP714" s="65" t="s">
        <v>161</v>
      </c>
      <c r="AQ714" s="76">
        <v>18.0154987228658</v>
      </c>
      <c r="AR714" s="76">
        <v>43.422729738799497</v>
      </c>
      <c r="BD714" s="21" t="s">
        <v>199</v>
      </c>
    </row>
    <row r="715" spans="2:56" x14ac:dyDescent="0.3">
      <c r="B715" s="11" t="s">
        <v>206</v>
      </c>
      <c r="C715" s="28" t="s">
        <v>207</v>
      </c>
      <c r="D715" s="28"/>
      <c r="E715" s="28"/>
      <c r="F715" s="41"/>
      <c r="G715" s="28"/>
      <c r="H715" s="37"/>
      <c r="I715" s="36" t="e">
        <f t="shared" si="42"/>
        <v>#DIV/0!</v>
      </c>
      <c r="J715" s="28"/>
      <c r="K715" s="28"/>
      <c r="L715" s="28"/>
      <c r="M715" s="4" t="e">
        <f t="shared" si="41"/>
        <v>#DIV/0!</v>
      </c>
      <c r="AJ715" s="26">
        <v>80.483563317861595</v>
      </c>
      <c r="AK715" s="26">
        <v>14.7284486278222</v>
      </c>
      <c r="AL715" s="11">
        <f t="shared" si="43"/>
        <v>1.745907395466616</v>
      </c>
      <c r="AP715" s="65" t="s">
        <v>161</v>
      </c>
      <c r="AQ715" s="76">
        <v>14.7284486278222</v>
      </c>
      <c r="AR715" s="76">
        <v>80.483563317861595</v>
      </c>
      <c r="BD715" s="21" t="s">
        <v>199</v>
      </c>
    </row>
    <row r="716" spans="2:56" x14ac:dyDescent="0.3">
      <c r="B716" s="11" t="s">
        <v>206</v>
      </c>
      <c r="C716" s="28" t="s">
        <v>207</v>
      </c>
      <c r="D716" s="28"/>
      <c r="E716" s="28"/>
      <c r="F716" s="41"/>
      <c r="G716" s="28"/>
      <c r="H716" s="37"/>
      <c r="I716" s="36" t="e">
        <f t="shared" si="42"/>
        <v>#DIV/0!</v>
      </c>
      <c r="J716" s="28"/>
      <c r="K716" s="28"/>
      <c r="L716" s="28"/>
      <c r="M716" s="4" t="e">
        <f t="shared" si="41"/>
        <v>#DIV/0!</v>
      </c>
      <c r="AJ716" s="26">
        <v>104.08058559235999</v>
      </c>
      <c r="AK716" s="26">
        <v>14.0038867554638</v>
      </c>
      <c r="AL716" s="11">
        <f t="shared" si="43"/>
        <v>2.0411123350406575</v>
      </c>
      <c r="AP716" s="65" t="s">
        <v>161</v>
      </c>
      <c r="AQ716" s="76">
        <v>14.0038867554638</v>
      </c>
      <c r="AR716" s="76">
        <v>104.08058559235999</v>
      </c>
      <c r="BD716" s="21" t="s">
        <v>199</v>
      </c>
    </row>
    <row r="717" spans="2:56" x14ac:dyDescent="0.3">
      <c r="B717" s="11" t="s">
        <v>206</v>
      </c>
      <c r="C717" s="28" t="s">
        <v>207</v>
      </c>
      <c r="D717" s="28"/>
      <c r="E717" s="28"/>
      <c r="F717" s="41"/>
      <c r="G717" s="28"/>
      <c r="H717" s="37"/>
      <c r="I717" s="36" t="e">
        <f t="shared" si="42"/>
        <v>#DIV/0!</v>
      </c>
      <c r="J717" s="28"/>
      <c r="K717" s="28"/>
      <c r="L717" s="28"/>
      <c r="M717" s="4" t="e">
        <f t="shared" si="41"/>
        <v>#DIV/0!</v>
      </c>
      <c r="AJ717" s="26">
        <v>174.058320664691</v>
      </c>
      <c r="AK717" s="26">
        <v>17.995297651952299</v>
      </c>
      <c r="AL717" s="11">
        <f t="shared" si="43"/>
        <v>5.6365434363193803</v>
      </c>
      <c r="AP717" s="65" t="s">
        <v>161</v>
      </c>
      <c r="AQ717" s="76">
        <v>17.995297651952299</v>
      </c>
      <c r="AR717" s="76">
        <v>174.058320664691</v>
      </c>
      <c r="BD717" s="21" t="s">
        <v>199</v>
      </c>
    </row>
    <row r="718" spans="2:56" x14ac:dyDescent="0.3">
      <c r="B718" s="11" t="s">
        <v>206</v>
      </c>
      <c r="C718" s="28" t="s">
        <v>207</v>
      </c>
      <c r="D718" s="28"/>
      <c r="E718" s="28"/>
      <c r="F718" s="41"/>
      <c r="G718" s="28"/>
      <c r="H718" s="37"/>
      <c r="I718" s="36" t="e">
        <f t="shared" si="42"/>
        <v>#DIV/0!</v>
      </c>
      <c r="J718" s="28"/>
      <c r="K718" s="28"/>
      <c r="L718" s="28"/>
      <c r="M718" s="4" t="e">
        <f t="shared" si="41"/>
        <v>#DIV/0!</v>
      </c>
      <c r="AJ718" s="26">
        <v>165.33404184758001</v>
      </c>
      <c r="AK718" s="26">
        <v>15.478274183742499</v>
      </c>
      <c r="AL718" s="11">
        <f t="shared" si="43"/>
        <v>3.9610229065939739</v>
      </c>
      <c r="AP718" s="65" t="s">
        <v>161</v>
      </c>
      <c r="AQ718" s="76">
        <v>15.478274183742499</v>
      </c>
      <c r="AR718" s="76">
        <v>165.33404184758001</v>
      </c>
      <c r="BD718" s="21" t="s">
        <v>199</v>
      </c>
    </row>
    <row r="719" spans="2:56" x14ac:dyDescent="0.3">
      <c r="B719" s="11" t="s">
        <v>206</v>
      </c>
      <c r="C719" s="28" t="s">
        <v>207</v>
      </c>
      <c r="D719" s="28"/>
      <c r="E719" s="28"/>
      <c r="F719" s="41"/>
      <c r="G719" s="28"/>
      <c r="H719" s="37"/>
      <c r="I719" s="36" t="e">
        <f t="shared" si="42"/>
        <v>#DIV/0!</v>
      </c>
      <c r="J719" s="28"/>
      <c r="K719" s="28"/>
      <c r="L719" s="28"/>
      <c r="M719" s="4" t="e">
        <f t="shared" si="41"/>
        <v>#DIV/0!</v>
      </c>
      <c r="AJ719" s="26">
        <v>376.42840033014801</v>
      </c>
      <c r="AK719" s="26">
        <v>13.757030530831299</v>
      </c>
      <c r="AL719" s="11">
        <f t="shared" si="43"/>
        <v>7.1241291559201709</v>
      </c>
      <c r="AP719" s="65" t="s">
        <v>161</v>
      </c>
      <c r="AQ719" s="76">
        <v>13.757030530831299</v>
      </c>
      <c r="AR719" s="76">
        <v>376.42840033014801</v>
      </c>
      <c r="BD719" s="21" t="s">
        <v>199</v>
      </c>
    </row>
    <row r="720" spans="2:56" x14ac:dyDescent="0.3">
      <c r="B720" s="11" t="s">
        <v>206</v>
      </c>
      <c r="C720" s="28" t="s">
        <v>207</v>
      </c>
      <c r="D720" s="28"/>
      <c r="E720" s="28"/>
      <c r="F720" s="41"/>
      <c r="G720" s="28"/>
      <c r="H720" s="37"/>
      <c r="I720" s="36" t="e">
        <f t="shared" si="42"/>
        <v>#DIV/0!</v>
      </c>
      <c r="J720" s="28"/>
      <c r="K720" s="28"/>
      <c r="L720" s="28"/>
      <c r="M720" s="4" t="e">
        <f t="shared" si="41"/>
        <v>#DIV/0!</v>
      </c>
      <c r="AJ720" s="26">
        <v>857.04274202491695</v>
      </c>
      <c r="AK720" s="26">
        <v>15.2010056778488</v>
      </c>
      <c r="AL720" s="11">
        <f t="shared" si="43"/>
        <v>19.803735801483381</v>
      </c>
      <c r="AP720" s="65" t="s">
        <v>161</v>
      </c>
      <c r="AQ720" s="76">
        <v>15.2010056778488</v>
      </c>
      <c r="AR720" s="76">
        <v>857.04274202491695</v>
      </c>
      <c r="BD720" s="21" t="s">
        <v>199</v>
      </c>
    </row>
    <row r="721" spans="2:56" x14ac:dyDescent="0.3">
      <c r="B721" s="11" t="s">
        <v>206</v>
      </c>
      <c r="C721" s="28" t="s">
        <v>207</v>
      </c>
      <c r="D721" s="28"/>
      <c r="E721" s="28"/>
      <c r="F721" s="41"/>
      <c r="G721" s="28"/>
      <c r="H721" s="37"/>
      <c r="I721" s="36" t="e">
        <f t="shared" si="42"/>
        <v>#DIV/0!</v>
      </c>
      <c r="J721" s="28"/>
      <c r="K721" s="28"/>
      <c r="L721" s="28"/>
      <c r="M721" s="4" t="e">
        <f t="shared" si="41"/>
        <v>#DIV/0!</v>
      </c>
      <c r="AJ721" s="26">
        <v>857.04274202491695</v>
      </c>
      <c r="AK721" s="26">
        <v>10.1701384851537</v>
      </c>
      <c r="AL721" s="11">
        <f t="shared" si="43"/>
        <v>8.8645402184791156</v>
      </c>
      <c r="AP721" s="65" t="s">
        <v>161</v>
      </c>
      <c r="AQ721" s="76">
        <v>10.1701384851537</v>
      </c>
      <c r="AR721" s="76">
        <v>857.04274202491695</v>
      </c>
      <c r="BD721" s="21" t="s">
        <v>199</v>
      </c>
    </row>
    <row r="722" spans="2:56" x14ac:dyDescent="0.3">
      <c r="B722" s="11" t="s">
        <v>206</v>
      </c>
      <c r="C722" s="28" t="s">
        <v>207</v>
      </c>
      <c r="D722" s="28"/>
      <c r="E722" s="28"/>
      <c r="F722" s="41"/>
      <c r="G722" s="28"/>
      <c r="H722" s="37"/>
      <c r="I722" s="36" t="e">
        <f t="shared" si="42"/>
        <v>#DIV/0!</v>
      </c>
      <c r="J722" s="28"/>
      <c r="K722" s="28"/>
      <c r="L722" s="28"/>
      <c r="M722" s="4" t="e">
        <f t="shared" si="41"/>
        <v>#DIV/0!</v>
      </c>
      <c r="AJ722" s="26">
        <v>949.87726651736102</v>
      </c>
      <c r="AK722" s="26">
        <v>10.515652555724399</v>
      </c>
      <c r="AL722" s="11">
        <f t="shared" si="43"/>
        <v>10.503642949960026</v>
      </c>
      <c r="AP722" s="65" t="s">
        <v>161</v>
      </c>
      <c r="AQ722" s="76">
        <v>10.515652555724399</v>
      </c>
      <c r="AR722" s="76">
        <v>949.87726651736102</v>
      </c>
      <c r="BD722" s="21" t="s">
        <v>199</v>
      </c>
    </row>
    <row r="723" spans="2:56" x14ac:dyDescent="0.3">
      <c r="B723" s="11" t="s">
        <v>208</v>
      </c>
      <c r="C723" s="28" t="s">
        <v>209</v>
      </c>
      <c r="D723" s="28"/>
      <c r="E723" s="28"/>
      <c r="F723" s="41"/>
      <c r="G723" s="28"/>
      <c r="H723" s="37"/>
      <c r="I723" s="36" t="e">
        <f t="shared" si="42"/>
        <v>#DIV/0!</v>
      </c>
      <c r="J723" s="28"/>
      <c r="K723" s="28"/>
      <c r="L723" s="28"/>
      <c r="M723" s="4" t="e">
        <f t="shared" si="41"/>
        <v>#DIV/0!</v>
      </c>
      <c r="AJ723" s="26">
        <v>1.4664021940003101E-4</v>
      </c>
      <c r="AK723" s="26">
        <v>700.68403089569597</v>
      </c>
      <c r="AL723" s="11">
        <f t="shared" si="43"/>
        <v>7.1994205135589365E-3</v>
      </c>
      <c r="AP723" s="65" t="s">
        <v>161</v>
      </c>
      <c r="AQ723" s="76">
        <v>700.68403089569597</v>
      </c>
      <c r="AR723" s="76">
        <v>1.4664021940003101E-4</v>
      </c>
      <c r="BD723" s="21" t="s">
        <v>199</v>
      </c>
    </row>
    <row r="724" spans="2:56" x14ac:dyDescent="0.3">
      <c r="B724" s="11" t="s">
        <v>208</v>
      </c>
      <c r="C724" s="28" t="s">
        <v>209</v>
      </c>
      <c r="D724" s="28"/>
      <c r="E724" s="28"/>
      <c r="F724" s="41"/>
      <c r="G724" s="28"/>
      <c r="H724" s="37"/>
      <c r="I724" s="36" t="e">
        <f t="shared" si="42"/>
        <v>#DIV/0!</v>
      </c>
      <c r="J724" s="28"/>
      <c r="K724" s="28"/>
      <c r="L724" s="28"/>
      <c r="M724" s="4" t="e">
        <f t="shared" si="41"/>
        <v>#DIV/0!</v>
      </c>
      <c r="AJ724" s="26">
        <v>1.8963374976664699E-4</v>
      </c>
      <c r="AK724" s="26">
        <v>582.68251672883002</v>
      </c>
      <c r="AL724" s="11">
        <f t="shared" si="43"/>
        <v>6.4384245025317297E-3</v>
      </c>
      <c r="AP724" s="65" t="s">
        <v>161</v>
      </c>
      <c r="AQ724" s="76">
        <v>582.68251672883002</v>
      </c>
      <c r="AR724" s="76">
        <v>1.8963374976664699E-4</v>
      </c>
      <c r="BD724" s="21" t="s">
        <v>199</v>
      </c>
    </row>
    <row r="725" spans="2:56" x14ac:dyDescent="0.3">
      <c r="B725" s="11" t="s">
        <v>208</v>
      </c>
      <c r="C725" s="28" t="s">
        <v>209</v>
      </c>
      <c r="D725" s="28"/>
      <c r="E725" s="28"/>
      <c r="F725" s="41"/>
      <c r="G725" s="28"/>
      <c r="H725" s="37"/>
      <c r="I725" s="36" t="e">
        <f t="shared" si="42"/>
        <v>#DIV/0!</v>
      </c>
      <c r="J725" s="28"/>
      <c r="K725" s="28"/>
      <c r="L725" s="28"/>
      <c r="M725" s="4" t="e">
        <f t="shared" si="41"/>
        <v>#DIV/0!</v>
      </c>
      <c r="AJ725" s="26">
        <v>2.10174801133249E-4</v>
      </c>
      <c r="AK725" s="26">
        <v>582.63409370777299</v>
      </c>
      <c r="AL725" s="11">
        <f t="shared" si="43"/>
        <v>7.1346460729091845E-3</v>
      </c>
      <c r="AP725" s="65" t="s">
        <v>161</v>
      </c>
      <c r="AQ725" s="76">
        <v>582.63409370777299</v>
      </c>
      <c r="AR725" s="76">
        <v>2.10174801133249E-4</v>
      </c>
      <c r="BD725" s="21" t="s">
        <v>199</v>
      </c>
    </row>
    <row r="726" spans="2:56" x14ac:dyDescent="0.3">
      <c r="B726" s="11" t="s">
        <v>208</v>
      </c>
      <c r="C726" s="28" t="s">
        <v>209</v>
      </c>
      <c r="D726" s="28"/>
      <c r="E726" s="28"/>
      <c r="F726" s="41"/>
      <c r="G726" s="28"/>
      <c r="H726" s="37"/>
      <c r="I726" s="36" t="e">
        <f t="shared" si="42"/>
        <v>#DIV/0!</v>
      </c>
      <c r="J726" s="28"/>
      <c r="K726" s="28"/>
      <c r="L726" s="28"/>
      <c r="M726" s="4" t="e">
        <f t="shared" si="41"/>
        <v>#DIV/0!</v>
      </c>
      <c r="AJ726" s="26">
        <v>2.71796072103729E-4</v>
      </c>
      <c r="AK726" s="26">
        <v>592.349995308546</v>
      </c>
      <c r="AL726" s="11">
        <f t="shared" si="43"/>
        <v>9.5367402690426702E-3</v>
      </c>
      <c r="AP726" s="65" t="s">
        <v>161</v>
      </c>
      <c r="AQ726" s="76">
        <v>592.349995308546</v>
      </c>
      <c r="AR726" s="76">
        <v>2.71796072103729E-4</v>
      </c>
      <c r="BD726" s="21" t="s">
        <v>199</v>
      </c>
    </row>
    <row r="727" spans="2:56" x14ac:dyDescent="0.3">
      <c r="B727" s="11" t="s">
        <v>208</v>
      </c>
      <c r="C727" s="28" t="s">
        <v>209</v>
      </c>
      <c r="D727" s="28"/>
      <c r="E727" s="28"/>
      <c r="F727" s="41"/>
      <c r="G727" s="28"/>
      <c r="H727" s="37"/>
      <c r="I727" s="36" t="e">
        <f t="shared" si="42"/>
        <v>#DIV/0!</v>
      </c>
      <c r="J727" s="28"/>
      <c r="K727" s="28"/>
      <c r="L727" s="28"/>
      <c r="M727" s="4" t="e">
        <f t="shared" si="41"/>
        <v>#DIV/0!</v>
      </c>
      <c r="AJ727" s="26">
        <v>2.3294085090738199E-4</v>
      </c>
      <c r="AK727" s="26">
        <v>476.52651879000399</v>
      </c>
      <c r="AL727" s="11">
        <f t="shared" si="43"/>
        <v>5.2895631455212059E-3</v>
      </c>
      <c r="AP727" s="65" t="s">
        <v>161</v>
      </c>
      <c r="AQ727" s="76">
        <v>476.52651879000399</v>
      </c>
      <c r="AR727" s="76">
        <v>2.3294085090738199E-4</v>
      </c>
      <c r="BD727" s="21" t="s">
        <v>199</v>
      </c>
    </row>
    <row r="728" spans="2:56" x14ac:dyDescent="0.3">
      <c r="B728" s="11" t="s">
        <v>208</v>
      </c>
      <c r="C728" s="28" t="s">
        <v>209</v>
      </c>
      <c r="D728" s="28"/>
      <c r="E728" s="28"/>
      <c r="F728" s="41"/>
      <c r="G728" s="28"/>
      <c r="H728" s="37"/>
      <c r="I728" s="36" t="e">
        <f t="shared" si="42"/>
        <v>#DIV/0!</v>
      </c>
      <c r="J728" s="28"/>
      <c r="K728" s="28"/>
      <c r="L728" s="28"/>
      <c r="M728" s="4" t="e">
        <f t="shared" si="41"/>
        <v>#DIV/0!</v>
      </c>
      <c r="AJ728" s="26">
        <v>3.33866774174088E-4</v>
      </c>
      <c r="AK728" s="26">
        <v>460.69690473150098</v>
      </c>
      <c r="AL728" s="11">
        <f t="shared" si="43"/>
        <v>7.0860431034228668E-3</v>
      </c>
      <c r="AP728" s="65" t="s">
        <v>161</v>
      </c>
      <c r="AQ728" s="76">
        <v>460.69690473150098</v>
      </c>
      <c r="AR728" s="76">
        <v>3.33866774174088E-4</v>
      </c>
      <c r="BD728" s="21" t="s">
        <v>199</v>
      </c>
    </row>
    <row r="729" spans="2:56" x14ac:dyDescent="0.3">
      <c r="B729" s="11" t="s">
        <v>208</v>
      </c>
      <c r="C729" s="28" t="s">
        <v>209</v>
      </c>
      <c r="D729" s="28"/>
      <c r="E729" s="28"/>
      <c r="F729" s="41"/>
      <c r="G729" s="28"/>
      <c r="H729" s="37"/>
      <c r="I729" s="36" t="e">
        <f t="shared" si="42"/>
        <v>#DIV/0!</v>
      </c>
      <c r="J729" s="28"/>
      <c r="K729" s="28"/>
      <c r="L729" s="28"/>
      <c r="M729" s="4" t="e">
        <f t="shared" si="41"/>
        <v>#DIV/0!</v>
      </c>
      <c r="AJ729" s="26">
        <v>3.17132458833454E-4</v>
      </c>
      <c r="AK729" s="26">
        <v>500.95299475990703</v>
      </c>
      <c r="AL729" s="11">
        <f t="shared" si="43"/>
        <v>7.9585628299214135E-3</v>
      </c>
      <c r="AP729" s="65" t="s">
        <v>161</v>
      </c>
      <c r="AQ729" s="76">
        <v>500.95299475990703</v>
      </c>
      <c r="AR729" s="76">
        <v>3.17132458833454E-4</v>
      </c>
      <c r="BD729" s="21" t="s">
        <v>199</v>
      </c>
    </row>
    <row r="730" spans="2:56" x14ac:dyDescent="0.3">
      <c r="B730" s="11" t="s">
        <v>208</v>
      </c>
      <c r="C730" s="28" t="s">
        <v>209</v>
      </c>
      <c r="D730" s="28"/>
      <c r="E730" s="28"/>
      <c r="F730" s="41"/>
      <c r="G730" s="28"/>
      <c r="H730" s="37"/>
      <c r="I730" s="36" t="e">
        <f t="shared" si="42"/>
        <v>#DIV/0!</v>
      </c>
      <c r="J730" s="28"/>
      <c r="K730" s="28"/>
      <c r="L730" s="28"/>
      <c r="M730" s="4" t="e">
        <f t="shared" si="41"/>
        <v>#DIV/0!</v>
      </c>
      <c r="AJ730" s="26">
        <v>2.5817291002004601E-4</v>
      </c>
      <c r="AK730" s="26">
        <v>445.61527789788602</v>
      </c>
      <c r="AL730" s="11">
        <f t="shared" si="43"/>
        <v>5.1266163038413406E-3</v>
      </c>
      <c r="AP730" s="65" t="s">
        <v>161</v>
      </c>
      <c r="AQ730" s="76">
        <v>445.61527789788602</v>
      </c>
      <c r="AR730" s="76">
        <v>2.5817291002004601E-4</v>
      </c>
      <c r="BD730" s="21" t="s">
        <v>199</v>
      </c>
    </row>
    <row r="731" spans="2:56" x14ac:dyDescent="0.3">
      <c r="B731" s="11" t="s">
        <v>208</v>
      </c>
      <c r="C731" s="28" t="s">
        <v>209</v>
      </c>
      <c r="D731" s="28"/>
      <c r="E731" s="28"/>
      <c r="F731" s="41"/>
      <c r="G731" s="28"/>
      <c r="H731" s="37"/>
      <c r="I731" s="36" t="e">
        <f t="shared" si="42"/>
        <v>#DIV/0!</v>
      </c>
      <c r="J731" s="28"/>
      <c r="K731" s="28"/>
      <c r="L731" s="28"/>
      <c r="M731" s="4" t="e">
        <f t="shared" si="41"/>
        <v>#DIV/0!</v>
      </c>
      <c r="AJ731" s="26">
        <v>2.5817291002004698E-4</v>
      </c>
      <c r="AK731" s="26">
        <v>430.93782723545701</v>
      </c>
      <c r="AL731" s="11">
        <f t="shared" si="43"/>
        <v>4.7944622695292403E-3</v>
      </c>
      <c r="AP731" s="65" t="s">
        <v>161</v>
      </c>
      <c r="AQ731" s="76">
        <v>430.93782723545701</v>
      </c>
      <c r="AR731" s="76">
        <v>2.5817291002004698E-4</v>
      </c>
      <c r="BD731" s="21" t="s">
        <v>199</v>
      </c>
    </row>
    <row r="732" spans="2:56" x14ac:dyDescent="0.3">
      <c r="B732" s="11" t="s">
        <v>208</v>
      </c>
      <c r="C732" s="28" t="s">
        <v>209</v>
      </c>
      <c r="D732" s="28"/>
      <c r="E732" s="28"/>
      <c r="F732" s="41"/>
      <c r="G732" s="28"/>
      <c r="H732" s="37"/>
      <c r="I732" s="36" t="e">
        <f t="shared" si="42"/>
        <v>#DIV/0!</v>
      </c>
      <c r="J732" s="28"/>
      <c r="K732" s="28"/>
      <c r="L732" s="28"/>
      <c r="M732" s="4" t="e">
        <f t="shared" si="41"/>
        <v>#DIV/0!</v>
      </c>
      <c r="AJ732" s="26">
        <v>2.71796072103729E-4</v>
      </c>
      <c r="AK732" s="26">
        <v>423.763789775752</v>
      </c>
      <c r="AL732" s="11">
        <f t="shared" si="43"/>
        <v>4.8807983366007364E-3</v>
      </c>
      <c r="AP732" s="65" t="s">
        <v>161</v>
      </c>
      <c r="AQ732" s="76">
        <v>423.763789775752</v>
      </c>
      <c r="AR732" s="76">
        <v>2.71796072103729E-4</v>
      </c>
      <c r="BD732" s="21" t="s">
        <v>199</v>
      </c>
    </row>
    <row r="733" spans="2:56" x14ac:dyDescent="0.3">
      <c r="B733" s="11" t="s">
        <v>208</v>
      </c>
      <c r="C733" s="28" t="s">
        <v>209</v>
      </c>
      <c r="D733" s="28"/>
      <c r="E733" s="28"/>
      <c r="F733" s="41"/>
      <c r="G733" s="28"/>
      <c r="H733" s="37"/>
      <c r="I733" s="36" t="e">
        <f t="shared" si="42"/>
        <v>#DIV/0!</v>
      </c>
      <c r="J733" s="28"/>
      <c r="K733" s="28"/>
      <c r="L733" s="28"/>
      <c r="M733" s="4" t="e">
        <f t="shared" si="41"/>
        <v>#DIV/0!</v>
      </c>
      <c r="AJ733" s="26">
        <v>3.0123691312065301E-4</v>
      </c>
      <c r="AK733" s="26">
        <v>409.77201601382097</v>
      </c>
      <c r="AL733" s="11">
        <f t="shared" si="43"/>
        <v>5.0581625455247059E-3</v>
      </c>
      <c r="AP733" s="65" t="s">
        <v>161</v>
      </c>
      <c r="AQ733" s="76">
        <v>409.77201601382097</v>
      </c>
      <c r="AR733" s="76">
        <v>3.0123691312065301E-4</v>
      </c>
      <c r="BD733" s="21" t="s">
        <v>199</v>
      </c>
    </row>
    <row r="734" spans="2:56" x14ac:dyDescent="0.3">
      <c r="B734" s="11" t="s">
        <v>208</v>
      </c>
      <c r="C734" s="28" t="s">
        <v>209</v>
      </c>
      <c r="D734" s="28"/>
      <c r="E734" s="28"/>
      <c r="F734" s="41"/>
      <c r="G734" s="28"/>
      <c r="H734" s="37"/>
      <c r="I734" s="36" t="e">
        <f t="shared" si="42"/>
        <v>#DIV/0!</v>
      </c>
      <c r="J734" s="28"/>
      <c r="K734" s="28"/>
      <c r="L734" s="28"/>
      <c r="M734" s="4" t="e">
        <f t="shared" si="41"/>
        <v>#DIV/0!</v>
      </c>
      <c r="AJ734" s="26">
        <v>3.8955673714156501E-4</v>
      </c>
      <c r="AK734" s="26">
        <v>396.19282797560498</v>
      </c>
      <c r="AL734" s="11">
        <f t="shared" si="43"/>
        <v>6.1148236786443952E-3</v>
      </c>
      <c r="AP734" s="65" t="s">
        <v>161</v>
      </c>
      <c r="AQ734" s="76">
        <v>396.19282797560498</v>
      </c>
      <c r="AR734" s="76">
        <v>3.8955673714156501E-4</v>
      </c>
      <c r="BD734" s="21" t="s">
        <v>199</v>
      </c>
    </row>
    <row r="735" spans="2:56" x14ac:dyDescent="0.3">
      <c r="B735" s="11" t="s">
        <v>208</v>
      </c>
      <c r="C735" s="28" t="s">
        <v>209</v>
      </c>
      <c r="D735" s="28"/>
      <c r="E735" s="28"/>
      <c r="F735" s="41"/>
      <c r="G735" s="28"/>
      <c r="H735" s="37"/>
      <c r="I735" s="36" t="e">
        <f t="shared" si="42"/>
        <v>#DIV/0!</v>
      </c>
      <c r="J735" s="28"/>
      <c r="K735" s="28"/>
      <c r="L735" s="28"/>
      <c r="M735" s="4" t="e">
        <f t="shared" si="41"/>
        <v>#DIV/0!</v>
      </c>
      <c r="AJ735" s="26">
        <v>5.8780160722748996E-4</v>
      </c>
      <c r="AK735" s="26">
        <v>247.81402075177101</v>
      </c>
      <c r="AL735" s="11">
        <f t="shared" si="43"/>
        <v>3.6097948207060668E-3</v>
      </c>
      <c r="AP735" s="65" t="s">
        <v>161</v>
      </c>
      <c r="AQ735" s="76">
        <v>247.81402075177101</v>
      </c>
      <c r="AR735" s="76">
        <v>5.8780160722748996E-4</v>
      </c>
      <c r="BD735" s="21" t="s">
        <v>199</v>
      </c>
    </row>
    <row r="736" spans="2:56" x14ac:dyDescent="0.3">
      <c r="B736" s="11" t="s">
        <v>210</v>
      </c>
      <c r="C736" s="28" t="s">
        <v>209</v>
      </c>
      <c r="D736" s="28"/>
      <c r="E736" s="28"/>
      <c r="F736" s="41"/>
      <c r="G736" s="28"/>
      <c r="H736" s="37"/>
      <c r="I736" s="36" t="e">
        <f t="shared" si="42"/>
        <v>#DIV/0!</v>
      </c>
      <c r="J736" s="28"/>
      <c r="K736" s="28"/>
      <c r="L736" s="28"/>
      <c r="M736" s="4" t="e">
        <f t="shared" ref="M736:M799" si="44">K736/L736</f>
        <v>#DIV/0!</v>
      </c>
      <c r="AJ736" s="26">
        <v>2.3029413535613399E-5</v>
      </c>
      <c r="AK736" s="26">
        <v>461.693447346516</v>
      </c>
      <c r="AL736" s="11">
        <f t="shared" si="43"/>
        <v>4.9089691183611345E-4</v>
      </c>
      <c r="AP736" s="65" t="s">
        <v>161</v>
      </c>
      <c r="AQ736" s="76">
        <v>461.693447346516</v>
      </c>
      <c r="AR736" s="76">
        <v>2.3029413535613399E-5</v>
      </c>
      <c r="BD736" s="21" t="s">
        <v>199</v>
      </c>
    </row>
    <row r="737" spans="2:56" x14ac:dyDescent="0.3">
      <c r="B737" s="11" t="s">
        <v>210</v>
      </c>
      <c r="C737" s="28" t="s">
        <v>209</v>
      </c>
      <c r="D737" s="28"/>
      <c r="E737" s="28"/>
      <c r="F737" s="41"/>
      <c r="G737" s="28"/>
      <c r="H737" s="37"/>
      <c r="I737" s="36" t="e">
        <f t="shared" si="42"/>
        <v>#DIV/0!</v>
      </c>
      <c r="J737" s="28"/>
      <c r="K737" s="28"/>
      <c r="L737" s="28"/>
      <c r="M737" s="4" t="e">
        <f t="shared" si="44"/>
        <v>#DIV/0!</v>
      </c>
      <c r="AJ737" s="26">
        <v>2.4244620170823201E-5</v>
      </c>
      <c r="AK737" s="26">
        <v>527.85845528764105</v>
      </c>
      <c r="AL737" s="11">
        <f t="shared" si="43"/>
        <v>6.755388802576974E-4</v>
      </c>
      <c r="AP737" s="65" t="s">
        <v>161</v>
      </c>
      <c r="AQ737" s="76">
        <v>527.85845528764105</v>
      </c>
      <c r="AR737" s="76">
        <v>2.4244620170823201E-5</v>
      </c>
      <c r="BD737" s="21" t="s">
        <v>199</v>
      </c>
    </row>
    <row r="738" spans="2:56" x14ac:dyDescent="0.3">
      <c r="B738" s="11" t="s">
        <v>210</v>
      </c>
      <c r="C738" s="28" t="s">
        <v>209</v>
      </c>
      <c r="D738" s="28"/>
      <c r="E738" s="28"/>
      <c r="F738" s="41"/>
      <c r="G738" s="28"/>
      <c r="H738" s="37"/>
      <c r="I738" s="36" t="e">
        <f t="shared" si="42"/>
        <v>#DIV/0!</v>
      </c>
      <c r="J738" s="28"/>
      <c r="K738" s="28"/>
      <c r="L738" s="28"/>
      <c r="M738" s="4" t="e">
        <f t="shared" si="44"/>
        <v>#DIV/0!</v>
      </c>
      <c r="AJ738" s="26">
        <v>3.30073320257312E-5</v>
      </c>
      <c r="AK738" s="26">
        <v>527.72686539305801</v>
      </c>
      <c r="AL738" s="11">
        <f t="shared" si="43"/>
        <v>9.1923982043314219E-4</v>
      </c>
      <c r="AP738" s="65" t="s">
        <v>161</v>
      </c>
      <c r="AQ738" s="76">
        <v>527.72686539305801</v>
      </c>
      <c r="AR738" s="76">
        <v>3.30073320257312E-5</v>
      </c>
      <c r="BD738" s="21" t="s">
        <v>199</v>
      </c>
    </row>
    <row r="739" spans="2:56" x14ac:dyDescent="0.3">
      <c r="B739" s="11" t="s">
        <v>210</v>
      </c>
      <c r="C739" s="28" t="s">
        <v>209</v>
      </c>
      <c r="D739" s="28"/>
      <c r="E739" s="28"/>
      <c r="F739" s="41"/>
      <c r="G739" s="28"/>
      <c r="H739" s="37"/>
      <c r="I739" s="36" t="e">
        <f t="shared" si="42"/>
        <v>#DIV/0!</v>
      </c>
      <c r="J739" s="28"/>
      <c r="K739" s="28"/>
      <c r="L739" s="28"/>
      <c r="M739" s="4" t="e">
        <f t="shared" si="44"/>
        <v>#DIV/0!</v>
      </c>
      <c r="AJ739" s="26">
        <v>4.73083678736347E-5</v>
      </c>
      <c r="AK739" s="26">
        <v>493.39184763620199</v>
      </c>
      <c r="AL739" s="11">
        <f t="shared" si="43"/>
        <v>1.1516536911976166E-3</v>
      </c>
      <c r="AP739" s="65" t="s">
        <v>161</v>
      </c>
      <c r="AQ739" s="76">
        <v>493.39184763620199</v>
      </c>
      <c r="AR739" s="76">
        <v>4.73083678736347E-5</v>
      </c>
      <c r="BD739" s="21" t="s">
        <v>199</v>
      </c>
    </row>
    <row r="740" spans="2:56" x14ac:dyDescent="0.3">
      <c r="B740" s="11" t="s">
        <v>210</v>
      </c>
      <c r="C740" s="28" t="s">
        <v>209</v>
      </c>
      <c r="D740" s="28"/>
      <c r="E740" s="28"/>
      <c r="F740" s="41"/>
      <c r="G740" s="28"/>
      <c r="H740" s="37"/>
      <c r="I740" s="36" t="e">
        <f t="shared" si="42"/>
        <v>#DIV/0!</v>
      </c>
      <c r="J740" s="28"/>
      <c r="K740" s="28"/>
      <c r="L740" s="28"/>
      <c r="M740" s="4" t="e">
        <f t="shared" si="44"/>
        <v>#DIV/0!</v>
      </c>
      <c r="AJ740" s="26">
        <v>6.4406989880570802E-5</v>
      </c>
      <c r="AK740" s="26">
        <v>501.598717923366</v>
      </c>
      <c r="AL740" s="11">
        <f t="shared" si="43"/>
        <v>1.6204880697015752E-3</v>
      </c>
      <c r="AP740" s="65" t="s">
        <v>161</v>
      </c>
      <c r="AQ740" s="76">
        <v>501.598717923366</v>
      </c>
      <c r="AR740" s="76">
        <v>6.4406989880570802E-5</v>
      </c>
      <c r="BD740" s="21" t="s">
        <v>199</v>
      </c>
    </row>
    <row r="741" spans="2:56" x14ac:dyDescent="0.3">
      <c r="B741" s="11" t="s">
        <v>210</v>
      </c>
      <c r="C741" s="28" t="s">
        <v>209</v>
      </c>
      <c r="D741" s="28"/>
      <c r="E741" s="28"/>
      <c r="F741" s="41"/>
      <c r="G741" s="28"/>
      <c r="H741" s="37"/>
      <c r="I741" s="36" t="e">
        <f t="shared" si="42"/>
        <v>#DIV/0!</v>
      </c>
      <c r="J741" s="28"/>
      <c r="K741" s="28"/>
      <c r="L741" s="28"/>
      <c r="M741" s="4" t="e">
        <f t="shared" si="44"/>
        <v>#DIV/0!</v>
      </c>
      <c r="AJ741" s="26">
        <v>8.3290512331520494E-5</v>
      </c>
      <c r="AK741" s="26">
        <v>563.865179513219</v>
      </c>
      <c r="AL741" s="11">
        <f t="shared" si="43"/>
        <v>2.648171371089652E-3</v>
      </c>
      <c r="AP741" s="65" t="s">
        <v>161</v>
      </c>
      <c r="AQ741" s="76">
        <v>563.865179513219</v>
      </c>
      <c r="AR741" s="76">
        <v>8.3290512331520494E-5</v>
      </c>
      <c r="BD741" s="21" t="s">
        <v>199</v>
      </c>
    </row>
    <row r="742" spans="2:56" x14ac:dyDescent="0.3">
      <c r="B742" s="11" t="s">
        <v>210</v>
      </c>
      <c r="C742" s="28" t="s">
        <v>209</v>
      </c>
      <c r="D742" s="28"/>
      <c r="E742" s="28"/>
      <c r="F742" s="41"/>
      <c r="G742" s="28"/>
      <c r="H742" s="37"/>
      <c r="I742" s="36" t="e">
        <f t="shared" si="42"/>
        <v>#DIV/0!</v>
      </c>
      <c r="J742" s="28"/>
      <c r="K742" s="28"/>
      <c r="L742" s="28"/>
      <c r="M742" s="4" t="e">
        <f t="shared" si="44"/>
        <v>#DIV/0!</v>
      </c>
      <c r="AJ742" s="26">
        <v>1.13394129326399E-4</v>
      </c>
      <c r="AK742" s="26">
        <v>602.77871260013796</v>
      </c>
      <c r="AL742" s="11">
        <f t="shared" si="43"/>
        <v>4.120086973634105E-3</v>
      </c>
      <c r="AP742" s="65" t="s">
        <v>161</v>
      </c>
      <c r="AQ742" s="76">
        <v>602.77871260013796</v>
      </c>
      <c r="AR742" s="76">
        <v>1.13394129326399E-4</v>
      </c>
      <c r="BD742" s="21" t="s">
        <v>199</v>
      </c>
    </row>
    <row r="743" spans="2:56" x14ac:dyDescent="0.3">
      <c r="B743" s="11" t="s">
        <v>210</v>
      </c>
      <c r="C743" s="28" t="s">
        <v>209</v>
      </c>
      <c r="D743" s="28"/>
      <c r="E743" s="28"/>
      <c r="F743" s="41"/>
      <c r="G743" s="28"/>
      <c r="H743" s="37"/>
      <c r="I743" s="36" t="e">
        <f t="shared" si="42"/>
        <v>#DIV/0!</v>
      </c>
      <c r="J743" s="28"/>
      <c r="K743" s="28"/>
      <c r="L743" s="28"/>
      <c r="M743" s="4" t="e">
        <f t="shared" si="44"/>
        <v>#DIV/0!</v>
      </c>
      <c r="AJ743" s="26">
        <v>1.8963374976664699E-4</v>
      </c>
      <c r="AK743" s="26">
        <v>492.83859935506598</v>
      </c>
      <c r="AL743" s="11">
        <f t="shared" si="43"/>
        <v>4.6060119675644454E-3</v>
      </c>
      <c r="AP743" s="65" t="s">
        <v>161</v>
      </c>
      <c r="AQ743" s="76">
        <v>492.83859935506598</v>
      </c>
      <c r="AR743" s="76">
        <v>1.8963374976664699E-4</v>
      </c>
      <c r="BD743" s="21" t="s">
        <v>199</v>
      </c>
    </row>
    <row r="744" spans="2:56" x14ac:dyDescent="0.3">
      <c r="B744" s="11" t="s">
        <v>210</v>
      </c>
      <c r="C744" s="28" t="s">
        <v>209</v>
      </c>
      <c r="D744" s="28"/>
      <c r="E744" s="28"/>
      <c r="F744" s="41"/>
      <c r="G744" s="28"/>
      <c r="H744" s="37"/>
      <c r="I744" s="36" t="e">
        <f t="shared" si="42"/>
        <v>#DIV/0!</v>
      </c>
      <c r="J744" s="28"/>
      <c r="K744" s="28"/>
      <c r="L744" s="28"/>
      <c r="M744" s="4" t="e">
        <f t="shared" si="44"/>
        <v>#DIV/0!</v>
      </c>
      <c r="AJ744" s="26">
        <v>5.2432791219996702E-5</v>
      </c>
      <c r="AK744" s="26">
        <v>438.779961268764</v>
      </c>
      <c r="AL744" s="11">
        <f t="shared" si="43"/>
        <v>1.0094772794366829E-3</v>
      </c>
      <c r="AP744" s="65" t="s">
        <v>161</v>
      </c>
      <c r="AQ744" s="76">
        <v>438.779961268764</v>
      </c>
      <c r="AR744" s="76">
        <v>5.2432791219996702E-5</v>
      </c>
      <c r="BD744" s="21" t="s">
        <v>199</v>
      </c>
    </row>
    <row r="745" spans="2:56" x14ac:dyDescent="0.3">
      <c r="B745" s="11" t="s">
        <v>210</v>
      </c>
      <c r="C745" s="28" t="s">
        <v>209</v>
      </c>
      <c r="D745" s="28"/>
      <c r="E745" s="28"/>
      <c r="F745" s="41"/>
      <c r="G745" s="28"/>
      <c r="H745" s="37"/>
      <c r="I745" s="36" t="e">
        <f t="shared" si="42"/>
        <v>#DIV/0!</v>
      </c>
      <c r="J745" s="28"/>
      <c r="K745" s="28"/>
      <c r="L745" s="28"/>
      <c r="M745" s="4" t="e">
        <f t="shared" si="44"/>
        <v>#DIV/0!</v>
      </c>
      <c r="AJ745" s="26">
        <v>6.4406989880570802E-5</v>
      </c>
      <c r="AK745" s="26">
        <v>431.42158725852801</v>
      </c>
      <c r="AL745" s="11">
        <f t="shared" si="43"/>
        <v>1.1987724323978899E-3</v>
      </c>
      <c r="AP745" s="65" t="s">
        <v>161</v>
      </c>
      <c r="AQ745" s="76">
        <v>431.42158725852801</v>
      </c>
      <c r="AR745" s="76">
        <v>6.4406989880570802E-5</v>
      </c>
      <c r="BD745" s="21" t="s">
        <v>199</v>
      </c>
    </row>
    <row r="746" spans="2:56" x14ac:dyDescent="0.3">
      <c r="B746" s="11" t="s">
        <v>210</v>
      </c>
      <c r="C746" s="28" t="s">
        <v>209</v>
      </c>
      <c r="D746" s="28"/>
      <c r="E746" s="28"/>
      <c r="F746" s="41"/>
      <c r="G746" s="28"/>
      <c r="H746" s="37"/>
      <c r="I746" s="36" t="e">
        <f t="shared" si="42"/>
        <v>#DIV/0!</v>
      </c>
      <c r="J746" s="28"/>
      <c r="K746" s="28"/>
      <c r="L746" s="28"/>
      <c r="M746" s="4" t="e">
        <f t="shared" si="44"/>
        <v>#DIV/0!</v>
      </c>
      <c r="AJ746" s="26">
        <v>6.4406989880570897E-5</v>
      </c>
      <c r="AK746" s="26">
        <v>453.64910055089501</v>
      </c>
      <c r="AL746" s="11">
        <f t="shared" si="43"/>
        <v>1.3254797914124699E-3</v>
      </c>
      <c r="AP746" s="65" t="s">
        <v>161</v>
      </c>
      <c r="AQ746" s="76">
        <v>453.64910055089501</v>
      </c>
      <c r="AR746" s="76">
        <v>6.4406989880570897E-5</v>
      </c>
      <c r="BD746" s="21" t="s">
        <v>199</v>
      </c>
    </row>
    <row r="747" spans="2:56" x14ac:dyDescent="0.3">
      <c r="B747" s="11" t="s">
        <v>210</v>
      </c>
      <c r="C747" s="28" t="s">
        <v>209</v>
      </c>
      <c r="D747" s="28"/>
      <c r="E747" s="28"/>
      <c r="F747" s="41"/>
      <c r="G747" s="28"/>
      <c r="H747" s="37"/>
      <c r="I747" s="36" t="e">
        <f t="shared" si="42"/>
        <v>#DIV/0!</v>
      </c>
      <c r="J747" s="28"/>
      <c r="K747" s="28"/>
      <c r="L747" s="28"/>
      <c r="M747" s="4" t="e">
        <f t="shared" si="44"/>
        <v>#DIV/0!</v>
      </c>
      <c r="AJ747" s="26">
        <v>8.7685551878609894E-5</v>
      </c>
      <c r="AK747" s="26">
        <v>390.08318493911401</v>
      </c>
      <c r="AL747" s="11">
        <f t="shared" si="43"/>
        <v>1.3342662458986744E-3</v>
      </c>
      <c r="AP747" s="65" t="s">
        <v>161</v>
      </c>
      <c r="AQ747" s="76">
        <v>390.08318493911401</v>
      </c>
      <c r="AR747" s="76">
        <v>8.7685551878609894E-5</v>
      </c>
      <c r="BD747" s="21" t="s">
        <v>199</v>
      </c>
    </row>
    <row r="748" spans="2:56" x14ac:dyDescent="0.3">
      <c r="B748" s="11" t="s">
        <v>210</v>
      </c>
      <c r="C748" s="28" t="s">
        <v>209</v>
      </c>
      <c r="D748" s="28"/>
      <c r="E748" s="28"/>
      <c r="F748" s="41"/>
      <c r="G748" s="28"/>
      <c r="H748" s="37"/>
      <c r="I748" s="36" t="e">
        <f t="shared" si="42"/>
        <v>#DIV/0!</v>
      </c>
      <c r="J748" s="28"/>
      <c r="K748" s="28"/>
      <c r="L748" s="28"/>
      <c r="M748" s="4" t="e">
        <f t="shared" si="44"/>
        <v>#DIV/0!</v>
      </c>
      <c r="AJ748" s="26">
        <v>9.2312507067465795E-5</v>
      </c>
      <c r="AK748" s="26">
        <v>329.922481898103</v>
      </c>
      <c r="AL748" s="11">
        <f t="shared" si="43"/>
        <v>1.0048109686740772E-3</v>
      </c>
      <c r="AP748" s="65" t="s">
        <v>161</v>
      </c>
      <c r="AQ748" s="76">
        <v>329.922481898103</v>
      </c>
      <c r="AR748" s="76">
        <v>9.2312507067465795E-5</v>
      </c>
      <c r="BD748" s="21" t="s">
        <v>199</v>
      </c>
    </row>
    <row r="749" spans="2:56" x14ac:dyDescent="0.3">
      <c r="B749" s="11" t="s">
        <v>210</v>
      </c>
      <c r="C749" s="28" t="s">
        <v>209</v>
      </c>
      <c r="D749" s="28"/>
      <c r="E749" s="28"/>
      <c r="F749" s="41"/>
      <c r="G749" s="28"/>
      <c r="H749" s="37"/>
      <c r="I749" s="36" t="e">
        <f t="shared" si="42"/>
        <v>#DIV/0!</v>
      </c>
      <c r="J749" s="28"/>
      <c r="K749" s="28"/>
      <c r="L749" s="28"/>
      <c r="M749" s="4" t="e">
        <f t="shared" si="44"/>
        <v>#DIV/0!</v>
      </c>
      <c r="AJ749" s="26">
        <v>2.1017480113324799E-4</v>
      </c>
      <c r="AK749" s="26">
        <v>324.22794215732802</v>
      </c>
      <c r="AL749" s="11">
        <f t="shared" si="43"/>
        <v>2.2094365031983701E-3</v>
      </c>
      <c r="AP749" s="65" t="s">
        <v>161</v>
      </c>
      <c r="AQ749" s="76">
        <v>324.22794215732802</v>
      </c>
      <c r="AR749" s="76">
        <v>2.1017480113324799E-4</v>
      </c>
      <c r="BD749" s="21" t="s">
        <v>199</v>
      </c>
    </row>
    <row r="750" spans="2:56" x14ac:dyDescent="0.3">
      <c r="B750" s="11" t="s">
        <v>210</v>
      </c>
      <c r="C750" s="28" t="s">
        <v>209</v>
      </c>
      <c r="D750" s="28"/>
      <c r="E750" s="28"/>
      <c r="F750" s="41"/>
      <c r="G750" s="28"/>
      <c r="H750" s="37"/>
      <c r="I750" s="36" t="e">
        <f t="shared" si="42"/>
        <v>#DIV/0!</v>
      </c>
      <c r="J750" s="28"/>
      <c r="K750" s="28"/>
      <c r="L750" s="28"/>
      <c r="M750" s="4" t="e">
        <f t="shared" si="44"/>
        <v>#DIV/0!</v>
      </c>
      <c r="AJ750" s="26">
        <v>1.2712131076248901E-3</v>
      </c>
      <c r="AK750" s="26">
        <v>192.64789500340299</v>
      </c>
      <c r="AL750" s="11">
        <f t="shared" si="43"/>
        <v>4.7178800860330806E-3</v>
      </c>
      <c r="AP750" s="65" t="s">
        <v>161</v>
      </c>
      <c r="AQ750" s="76">
        <v>192.64789500340299</v>
      </c>
      <c r="AR750" s="76">
        <v>1.2712131076248901E-3</v>
      </c>
      <c r="BD750" s="21" t="s">
        <v>199</v>
      </c>
    </row>
    <row r="751" spans="2:56" x14ac:dyDescent="0.3">
      <c r="B751" s="11" t="s">
        <v>211</v>
      </c>
      <c r="C751" s="28" t="s">
        <v>162</v>
      </c>
      <c r="D751" s="28"/>
      <c r="E751" s="28"/>
      <c r="F751" s="41"/>
      <c r="G751" s="28"/>
      <c r="H751" s="37"/>
      <c r="I751" s="36" t="e">
        <f t="shared" si="42"/>
        <v>#DIV/0!</v>
      </c>
      <c r="J751" s="28"/>
      <c r="K751" s="28"/>
      <c r="L751" s="28"/>
      <c r="M751" s="4" t="e">
        <f t="shared" si="44"/>
        <v>#DIV/0!</v>
      </c>
      <c r="AJ751" s="25">
        <v>9.6079397930808296E-6</v>
      </c>
      <c r="AK751" s="25">
        <v>240.449643303323</v>
      </c>
      <c r="AL751" s="11">
        <f t="shared" si="43"/>
        <v>5.5549294458368902E-5</v>
      </c>
      <c r="AP751" s="65" t="s">
        <v>161</v>
      </c>
      <c r="AQ751" s="66">
        <v>240.449643303323</v>
      </c>
      <c r="AR751" s="66">
        <v>9.6079397930808296E-6</v>
      </c>
      <c r="BD751" s="21" t="s">
        <v>199</v>
      </c>
    </row>
    <row r="752" spans="2:56" x14ac:dyDescent="0.3">
      <c r="B752" s="11" t="s">
        <v>211</v>
      </c>
      <c r="C752" s="28" t="s">
        <v>162</v>
      </c>
      <c r="D752" s="28"/>
      <c r="E752" s="28"/>
      <c r="F752" s="41"/>
      <c r="G752" s="28"/>
      <c r="H752" s="37"/>
      <c r="I752" s="36" t="e">
        <f t="shared" si="42"/>
        <v>#DIV/0!</v>
      </c>
      <c r="J752" s="28"/>
      <c r="K752" s="28"/>
      <c r="L752" s="28"/>
      <c r="M752" s="4" t="e">
        <f t="shared" si="44"/>
        <v>#DIV/0!</v>
      </c>
      <c r="AJ752" s="25">
        <v>2.71796072103729E-4</v>
      </c>
      <c r="AK752" s="25">
        <v>228.05150087454999</v>
      </c>
      <c r="AL752" s="11">
        <f t="shared" si="43"/>
        <v>1.4135430700484006E-3</v>
      </c>
      <c r="AP752" s="65" t="s">
        <v>161</v>
      </c>
      <c r="AQ752" s="66">
        <v>228.05150087454999</v>
      </c>
      <c r="AR752" s="66">
        <v>2.71796072103729E-4</v>
      </c>
      <c r="BD752" s="21" t="s">
        <v>199</v>
      </c>
    </row>
    <row r="753" spans="2:56" x14ac:dyDescent="0.3">
      <c r="B753" s="11" t="s">
        <v>211</v>
      </c>
      <c r="C753" s="28" t="s">
        <v>162</v>
      </c>
      <c r="D753" s="28"/>
      <c r="E753" s="28"/>
      <c r="F753" s="41"/>
      <c r="G753" s="28"/>
      <c r="H753" s="37"/>
      <c r="I753" s="36" t="e">
        <f t="shared" si="42"/>
        <v>#DIV/0!</v>
      </c>
      <c r="J753" s="28"/>
      <c r="K753" s="28"/>
      <c r="L753" s="28"/>
      <c r="M753" s="4" t="e">
        <f t="shared" si="44"/>
        <v>#DIV/0!</v>
      </c>
      <c r="AJ753" s="25">
        <v>3.94033819776308E-3</v>
      </c>
      <c r="AK753" s="25">
        <v>149.71879965238799</v>
      </c>
      <c r="AL753" s="11">
        <f t="shared" si="43"/>
        <v>8.8325513685259729E-3</v>
      </c>
      <c r="AP753" s="65" t="s">
        <v>161</v>
      </c>
      <c r="AQ753" s="66">
        <v>149.71879965238799</v>
      </c>
      <c r="AR753" s="66">
        <v>3.94033819776308E-3</v>
      </c>
      <c r="BD753" s="21" t="s">
        <v>199</v>
      </c>
    </row>
    <row r="754" spans="2:56" x14ac:dyDescent="0.3">
      <c r="B754" s="11" t="s">
        <v>211</v>
      </c>
      <c r="C754" s="28" t="s">
        <v>162</v>
      </c>
      <c r="D754" s="28"/>
      <c r="E754" s="28"/>
      <c r="F754" s="41"/>
      <c r="G754" s="28"/>
      <c r="H754" s="37"/>
      <c r="I754" s="36" t="e">
        <f t="shared" si="42"/>
        <v>#DIV/0!</v>
      </c>
      <c r="J754" s="28"/>
      <c r="K754" s="28"/>
      <c r="L754" s="28"/>
      <c r="M754" s="4" t="e">
        <f t="shared" si="44"/>
        <v>#DIV/0!</v>
      </c>
      <c r="AJ754" s="25">
        <v>1.7505566865563701E-2</v>
      </c>
      <c r="AK754" s="25">
        <v>120.283909274846</v>
      </c>
      <c r="AL754" s="11">
        <f t="shared" si="43"/>
        <v>2.5327437216186445E-2</v>
      </c>
      <c r="AP754" s="65" t="s">
        <v>161</v>
      </c>
      <c r="AQ754" s="66">
        <v>120.283909274846</v>
      </c>
      <c r="AR754" s="66">
        <v>1.7505566865563701E-2</v>
      </c>
      <c r="BD754" s="21" t="s">
        <v>199</v>
      </c>
    </row>
    <row r="755" spans="2:56" x14ac:dyDescent="0.3">
      <c r="B755" s="11" t="s">
        <v>211</v>
      </c>
      <c r="C755" s="28" t="s">
        <v>162</v>
      </c>
      <c r="D755" s="28"/>
      <c r="E755" s="28"/>
      <c r="F755" s="41"/>
      <c r="G755" s="28"/>
      <c r="H755" s="37"/>
      <c r="I755" s="36" t="e">
        <f t="shared" si="42"/>
        <v>#DIV/0!</v>
      </c>
      <c r="J755" s="28"/>
      <c r="K755" s="28"/>
      <c r="L755" s="28"/>
      <c r="M755" s="4" t="e">
        <f t="shared" si="44"/>
        <v>#DIV/0!</v>
      </c>
      <c r="AJ755" s="25">
        <v>7.3873104811015305E-2</v>
      </c>
      <c r="AK755" s="25">
        <v>99.931460171447398</v>
      </c>
      <c r="AL755" s="11">
        <f t="shared" si="43"/>
        <v>7.377187451567567E-2</v>
      </c>
      <c r="AP755" s="65" t="s">
        <v>161</v>
      </c>
      <c r="AQ755" s="66">
        <v>99.931460171447398</v>
      </c>
      <c r="AR755" s="66">
        <v>7.3873104811015305E-2</v>
      </c>
      <c r="BD755" s="21" t="s">
        <v>199</v>
      </c>
    </row>
    <row r="756" spans="2:56" x14ac:dyDescent="0.3">
      <c r="B756" s="11" t="s">
        <v>211</v>
      </c>
      <c r="C756" s="28" t="s">
        <v>162</v>
      </c>
      <c r="D756" s="28"/>
      <c r="E756" s="28"/>
      <c r="F756" s="41"/>
      <c r="G756" s="28"/>
      <c r="H756" s="37"/>
      <c r="I756" s="36" t="e">
        <f t="shared" si="42"/>
        <v>#DIV/0!</v>
      </c>
      <c r="J756" s="28"/>
      <c r="K756" s="28"/>
      <c r="L756" s="28"/>
      <c r="M756" s="4" t="e">
        <f t="shared" si="44"/>
        <v>#DIV/0!</v>
      </c>
      <c r="AJ756" s="25">
        <v>0.21750486862053001</v>
      </c>
      <c r="AK756" s="25">
        <v>78.977807942777403</v>
      </c>
      <c r="AL756" s="11">
        <f t="shared" si="43"/>
        <v>0.13566853450616179</v>
      </c>
      <c r="AP756" s="65" t="s">
        <v>161</v>
      </c>
      <c r="AQ756" s="66">
        <v>78.977807942777403</v>
      </c>
      <c r="AR756" s="66">
        <v>0.21750486862053001</v>
      </c>
      <c r="BD756" s="21" t="s">
        <v>199</v>
      </c>
    </row>
    <row r="757" spans="2:56" x14ac:dyDescent="0.3">
      <c r="B757" s="11" t="s">
        <v>211</v>
      </c>
      <c r="C757" s="28" t="s">
        <v>162</v>
      </c>
      <c r="D757" s="28"/>
      <c r="E757" s="28"/>
      <c r="F757" s="41"/>
      <c r="G757" s="28"/>
      <c r="H757" s="37"/>
      <c r="I757" s="36" t="e">
        <f t="shared" si="42"/>
        <v>#DIV/0!</v>
      </c>
      <c r="J757" s="28"/>
      <c r="K757" s="28"/>
      <c r="L757" s="28"/>
      <c r="M757" s="4" t="e">
        <f t="shared" si="44"/>
        <v>#DIV/0!</v>
      </c>
      <c r="AJ757" s="25">
        <v>0.47038837009447199</v>
      </c>
      <c r="AK757" s="25">
        <v>54.605247327249003</v>
      </c>
      <c r="AL757" s="11">
        <f t="shared" si="43"/>
        <v>0.14025725427056696</v>
      </c>
      <c r="AP757" s="65" t="s">
        <v>161</v>
      </c>
      <c r="AQ757" s="66">
        <v>54.605247327249003</v>
      </c>
      <c r="AR757" s="66">
        <v>0.47038837009447199</v>
      </c>
      <c r="BD757" s="21" t="s">
        <v>199</v>
      </c>
    </row>
    <row r="758" spans="2:56" x14ac:dyDescent="0.3">
      <c r="B758" s="11" t="s">
        <v>211</v>
      </c>
      <c r="C758" s="28" t="s">
        <v>162</v>
      </c>
      <c r="D758" s="28"/>
      <c r="E758" s="28"/>
      <c r="F758" s="41"/>
      <c r="G758" s="28"/>
      <c r="H758" s="37"/>
      <c r="I758" s="36" t="e">
        <f t="shared" si="42"/>
        <v>#DIV/0!</v>
      </c>
      <c r="J758" s="28"/>
      <c r="K758" s="28"/>
      <c r="L758" s="28"/>
      <c r="M758" s="4" t="e">
        <f t="shared" si="44"/>
        <v>#DIV/0!</v>
      </c>
      <c r="AJ758" s="25">
        <v>0.96629929466052</v>
      </c>
      <c r="AK758" s="25">
        <v>39.700859562662799</v>
      </c>
      <c r="AL758" s="11">
        <f t="shared" si="43"/>
        <v>0.15230406052621526</v>
      </c>
      <c r="AP758" s="65" t="s">
        <v>161</v>
      </c>
      <c r="AQ758" s="66">
        <v>39.700859562662799</v>
      </c>
      <c r="AR758" s="66">
        <v>0.96629929466052</v>
      </c>
      <c r="BD758" s="21" t="s">
        <v>199</v>
      </c>
    </row>
    <row r="759" spans="2:56" x14ac:dyDescent="0.3">
      <c r="B759" s="11" t="s">
        <v>211</v>
      </c>
      <c r="C759" s="28" t="s">
        <v>162</v>
      </c>
      <c r="D759" s="28"/>
      <c r="E759" s="28"/>
      <c r="F759" s="41"/>
      <c r="G759" s="28"/>
      <c r="H759" s="37"/>
      <c r="I759" s="36" t="e">
        <f t="shared" si="42"/>
        <v>#DIV/0!</v>
      </c>
      <c r="J759" s="28"/>
      <c r="K759" s="28"/>
      <c r="L759" s="28"/>
      <c r="M759" s="4" t="e">
        <f t="shared" si="44"/>
        <v>#DIV/0!</v>
      </c>
      <c r="AJ759" s="25">
        <v>1.2496091412919801</v>
      </c>
      <c r="AK759" s="25">
        <v>31.397241652720901</v>
      </c>
      <c r="AL759" s="11">
        <f t="shared" si="43"/>
        <v>0.12318481759006479</v>
      </c>
      <c r="AP759" s="65" t="s">
        <v>161</v>
      </c>
      <c r="AQ759" s="66">
        <v>31.397241652720901</v>
      </c>
      <c r="AR759" s="66">
        <v>1.2496091412919801</v>
      </c>
      <c r="BD759" s="21" t="s">
        <v>199</v>
      </c>
    </row>
    <row r="760" spans="2:56" x14ac:dyDescent="0.3">
      <c r="B760" s="11" t="s">
        <v>211</v>
      </c>
      <c r="C760" s="28" t="s">
        <v>162</v>
      </c>
      <c r="D760" s="28"/>
      <c r="E760" s="28"/>
      <c r="F760" s="41"/>
      <c r="G760" s="28"/>
      <c r="H760" s="37"/>
      <c r="I760" s="36" t="e">
        <f t="shared" si="42"/>
        <v>#DIV/0!</v>
      </c>
      <c r="J760" s="28"/>
      <c r="K760" s="28"/>
      <c r="L760" s="28"/>
      <c r="M760" s="4" t="e">
        <f t="shared" si="44"/>
        <v>#DIV/0!</v>
      </c>
      <c r="AJ760" s="25">
        <v>1.79102536698248</v>
      </c>
      <c r="AK760" s="25">
        <v>25.247577603647901</v>
      </c>
      <c r="AL760" s="11">
        <f t="shared" si="43"/>
        <v>0.1141671523094079</v>
      </c>
      <c r="AP760" s="65" t="s">
        <v>161</v>
      </c>
      <c r="AQ760" s="66">
        <v>25.247577603647901</v>
      </c>
      <c r="AR760" s="66">
        <v>1.79102536698248</v>
      </c>
      <c r="BD760" s="21" t="s">
        <v>199</v>
      </c>
    </row>
    <row r="761" spans="2:56" x14ac:dyDescent="0.3">
      <c r="B761" s="11" t="s">
        <v>212</v>
      </c>
      <c r="C761" s="28" t="s">
        <v>213</v>
      </c>
      <c r="D761" s="28"/>
      <c r="E761" s="28"/>
      <c r="F761" s="41"/>
      <c r="G761" s="28"/>
      <c r="H761" s="37"/>
      <c r="I761" s="36" t="e">
        <f t="shared" si="42"/>
        <v>#DIV/0!</v>
      </c>
      <c r="J761" s="28"/>
      <c r="K761" s="28"/>
      <c r="L761" s="28"/>
      <c r="M761" s="4" t="e">
        <f t="shared" si="44"/>
        <v>#DIV/0!</v>
      </c>
      <c r="AJ761" s="25">
        <v>6.4268771731701999E-4</v>
      </c>
      <c r="AK761" s="25">
        <v>801.67806338767502</v>
      </c>
      <c r="AL761" s="11">
        <f t="shared" si="43"/>
        <v>4.1304750199015736E-2</v>
      </c>
      <c r="AP761" s="65" t="s">
        <v>161</v>
      </c>
      <c r="AQ761" s="66">
        <v>801.67806338767502</v>
      </c>
      <c r="AR761" s="66">
        <v>6.4268771731701999E-4</v>
      </c>
      <c r="BD761" s="21" t="s">
        <v>199</v>
      </c>
    </row>
    <row r="762" spans="2:56" x14ac:dyDescent="0.3">
      <c r="B762" s="11" t="s">
        <v>212</v>
      </c>
      <c r="C762" s="28" t="s">
        <v>213</v>
      </c>
      <c r="D762" s="28"/>
      <c r="E762" s="28"/>
      <c r="F762" s="41"/>
      <c r="G762" s="28"/>
      <c r="H762" s="37"/>
      <c r="I762" s="36" t="e">
        <f t="shared" ref="I762:I825" si="45">((K762)*1000)/H762</f>
        <v>#DIV/0!</v>
      </c>
      <c r="J762" s="28"/>
      <c r="K762" s="28"/>
      <c r="L762" s="28"/>
      <c r="M762" s="4" t="e">
        <f t="shared" si="44"/>
        <v>#DIV/0!</v>
      </c>
      <c r="AJ762" s="25">
        <v>3.15593981804954E-3</v>
      </c>
      <c r="AK762" s="25">
        <v>717.79429127135995</v>
      </c>
      <c r="AL762" s="11">
        <f t="shared" ref="AL762:AL825" si="46">((AK762)^2*AJ762)/10000</f>
        <v>0.16260305948352516</v>
      </c>
      <c r="AP762" s="65" t="s">
        <v>161</v>
      </c>
      <c r="AQ762" s="66">
        <v>717.79429127135995</v>
      </c>
      <c r="AR762" s="66">
        <v>3.15593981804954E-3</v>
      </c>
      <c r="BD762" s="21" t="s">
        <v>199</v>
      </c>
    </row>
    <row r="763" spans="2:56" x14ac:dyDescent="0.3">
      <c r="B763" s="11" t="s">
        <v>212</v>
      </c>
      <c r="C763" s="28" t="s">
        <v>213</v>
      </c>
      <c r="D763" s="28"/>
      <c r="E763" s="28"/>
      <c r="F763" s="41"/>
      <c r="G763" s="28"/>
      <c r="H763" s="37"/>
      <c r="I763" s="36" t="e">
        <f t="shared" si="45"/>
        <v>#DIV/0!</v>
      </c>
      <c r="J763" s="28"/>
      <c r="K763" s="28"/>
      <c r="L763" s="28"/>
      <c r="M763" s="4" t="e">
        <f t="shared" si="44"/>
        <v>#DIV/0!</v>
      </c>
      <c r="AJ763" s="25">
        <v>8.8110913318754404E-3</v>
      </c>
      <c r="AK763" s="25">
        <v>666.80676921361999</v>
      </c>
      <c r="AL763" s="11">
        <f t="shared" si="46"/>
        <v>0.39176867066778298</v>
      </c>
      <c r="AP763" s="65" t="s">
        <v>161</v>
      </c>
      <c r="AQ763" s="66">
        <v>666.80676921361999</v>
      </c>
      <c r="AR763" s="66">
        <v>8.8110913318754404E-3</v>
      </c>
      <c r="BD763" s="21" t="s">
        <v>199</v>
      </c>
    </row>
    <row r="764" spans="2:56" x14ac:dyDescent="0.3">
      <c r="B764" s="11" t="s">
        <v>212</v>
      </c>
      <c r="C764" s="28" t="s">
        <v>213</v>
      </c>
      <c r="D764" s="28"/>
      <c r="E764" s="28"/>
      <c r="F764" s="41"/>
      <c r="G764" s="28"/>
      <c r="H764" s="37"/>
      <c r="I764" s="36" t="e">
        <f t="shared" si="45"/>
        <v>#DIV/0!</v>
      </c>
      <c r="J764" s="28"/>
      <c r="K764" s="28"/>
      <c r="L764" s="28"/>
      <c r="M764" s="4" t="e">
        <f t="shared" si="44"/>
        <v>#DIV/0!</v>
      </c>
      <c r="AJ764" s="25">
        <v>3.1804974338358598E-2</v>
      </c>
      <c r="AK764" s="25">
        <v>597.03528658383505</v>
      </c>
      <c r="AL764" s="11">
        <f t="shared" si="46"/>
        <v>1.1336919151500464</v>
      </c>
      <c r="AP764" s="65" t="s">
        <v>161</v>
      </c>
      <c r="AQ764" s="66">
        <v>597.03528658383505</v>
      </c>
      <c r="AR764" s="66">
        <v>3.1804974338358598E-2</v>
      </c>
      <c r="BD764" s="21" t="s">
        <v>199</v>
      </c>
    </row>
    <row r="765" spans="2:56" x14ac:dyDescent="0.3">
      <c r="B765" s="11" t="s">
        <v>212</v>
      </c>
      <c r="C765" s="28" t="s">
        <v>213</v>
      </c>
      <c r="D765" s="28"/>
      <c r="E765" s="28"/>
      <c r="F765" s="41"/>
      <c r="G765" s="28"/>
      <c r="H765" s="37"/>
      <c r="I765" s="36" t="e">
        <f t="shared" si="45"/>
        <v>#DIV/0!</v>
      </c>
      <c r="J765" s="28"/>
      <c r="K765" s="28"/>
      <c r="L765" s="28"/>
      <c r="M765" s="4" t="e">
        <f t="shared" si="44"/>
        <v>#DIV/0!</v>
      </c>
      <c r="AJ765" s="25">
        <v>0.10352601685988599</v>
      </c>
      <c r="AK765" s="25">
        <v>575.43993733715695</v>
      </c>
      <c r="AL765" s="11">
        <f t="shared" si="46"/>
        <v>3.4280686065439681</v>
      </c>
      <c r="AP765" s="65" t="s">
        <v>161</v>
      </c>
      <c r="AQ765" s="66">
        <v>575.43993733715695</v>
      </c>
      <c r="AR765" s="66">
        <v>0.10352601685988599</v>
      </c>
      <c r="BD765" s="21" t="s">
        <v>199</v>
      </c>
    </row>
    <row r="766" spans="2:56" x14ac:dyDescent="0.3">
      <c r="B766" s="11" t="s">
        <v>212</v>
      </c>
      <c r="C766" s="28" t="s">
        <v>213</v>
      </c>
      <c r="D766" s="28"/>
      <c r="E766" s="28"/>
      <c r="F766" s="41"/>
      <c r="G766" s="28"/>
      <c r="H766" s="37"/>
      <c r="I766" s="36" t="e">
        <f t="shared" si="45"/>
        <v>#DIV/0!</v>
      </c>
      <c r="J766" s="28"/>
      <c r="K766" s="28"/>
      <c r="L766" s="28"/>
      <c r="M766" s="4" t="e">
        <f t="shared" si="44"/>
        <v>#DIV/0!</v>
      </c>
      <c r="AJ766" s="25">
        <v>0.43585951840586601</v>
      </c>
      <c r="AK766" s="25">
        <v>515.22864458175502</v>
      </c>
      <c r="AL766" s="11">
        <f t="shared" si="46"/>
        <v>11.570351018001853</v>
      </c>
      <c r="AP766" s="65" t="s">
        <v>161</v>
      </c>
      <c r="AQ766" s="66">
        <v>515.22864458175502</v>
      </c>
      <c r="AR766" s="66">
        <v>0.43585951840586601</v>
      </c>
      <c r="BD766" s="21" t="s">
        <v>199</v>
      </c>
    </row>
    <row r="767" spans="2:56" x14ac:dyDescent="0.3">
      <c r="B767" s="11" t="s">
        <v>212</v>
      </c>
      <c r="C767" s="28" t="s">
        <v>213</v>
      </c>
      <c r="D767" s="28"/>
      <c r="E767" s="28"/>
      <c r="F767" s="41"/>
      <c r="G767" s="28"/>
      <c r="H767" s="37"/>
      <c r="I767" s="36" t="e">
        <f t="shared" si="45"/>
        <v>#DIV/0!</v>
      </c>
      <c r="J767" s="28"/>
      <c r="K767" s="28"/>
      <c r="L767" s="28"/>
      <c r="M767" s="4" t="e">
        <f t="shared" si="44"/>
        <v>#DIV/0!</v>
      </c>
      <c r="AJ767" s="25">
        <v>2.0324496798796901</v>
      </c>
      <c r="AK767" s="25">
        <v>478.63009232263801</v>
      </c>
      <c r="AL767" s="11">
        <f t="shared" si="46"/>
        <v>46.560732275145909</v>
      </c>
      <c r="AP767" s="65" t="s">
        <v>161</v>
      </c>
      <c r="AQ767" s="66">
        <v>478.63009232263801</v>
      </c>
      <c r="AR767" s="66">
        <v>2.0324496798796901</v>
      </c>
      <c r="BD767" s="21" t="s">
        <v>199</v>
      </c>
    </row>
    <row r="768" spans="2:56" x14ac:dyDescent="0.3">
      <c r="B768" s="11" t="s">
        <v>212</v>
      </c>
      <c r="C768" s="28" t="s">
        <v>213</v>
      </c>
      <c r="D768" s="28"/>
      <c r="E768" s="28"/>
      <c r="F768" s="41"/>
      <c r="G768" s="28"/>
      <c r="H768" s="37"/>
      <c r="I768" s="36" t="e">
        <f t="shared" si="45"/>
        <v>#DIV/0!</v>
      </c>
      <c r="J768" s="28"/>
      <c r="K768" s="28"/>
      <c r="L768" s="28"/>
      <c r="M768" s="4" t="e">
        <f t="shared" si="44"/>
        <v>#DIV/0!</v>
      </c>
      <c r="AJ768" s="25">
        <v>5.39732062443335</v>
      </c>
      <c r="AK768" s="25">
        <v>398.10717055349602</v>
      </c>
      <c r="AL768" s="11">
        <f t="shared" si="46"/>
        <v>85.54176715194329</v>
      </c>
      <c r="AP768" s="65" t="s">
        <v>161</v>
      </c>
      <c r="AQ768" s="66">
        <v>398.10717055349602</v>
      </c>
      <c r="AR768" s="66">
        <v>5.39732062443335</v>
      </c>
      <c r="BD768" s="21" t="s">
        <v>199</v>
      </c>
    </row>
    <row r="769" spans="2:56" x14ac:dyDescent="0.3">
      <c r="B769" s="11" t="s">
        <v>212</v>
      </c>
      <c r="C769" s="28" t="s">
        <v>213</v>
      </c>
      <c r="D769" s="28"/>
      <c r="E769" s="28"/>
      <c r="F769" s="41"/>
      <c r="G769" s="28"/>
      <c r="H769" s="37"/>
      <c r="I769" s="36" t="e">
        <f t="shared" si="45"/>
        <v>#DIV/0!</v>
      </c>
      <c r="J769" s="28"/>
      <c r="K769" s="28"/>
      <c r="L769" s="28"/>
      <c r="M769" s="4" t="e">
        <f t="shared" si="44"/>
        <v>#DIV/0!</v>
      </c>
      <c r="AJ769" s="25">
        <v>15.861944853175499</v>
      </c>
      <c r="AK769" s="25">
        <v>369.82817978026497</v>
      </c>
      <c r="AL769" s="11">
        <f t="shared" si="46"/>
        <v>216.94839205699702</v>
      </c>
      <c r="AP769" s="65" t="s">
        <v>161</v>
      </c>
      <c r="AQ769" s="66">
        <v>369.82817978026497</v>
      </c>
      <c r="AR769" s="66">
        <v>15.861944853175499</v>
      </c>
      <c r="BD769" s="21" t="s">
        <v>199</v>
      </c>
    </row>
    <row r="770" spans="2:56" x14ac:dyDescent="0.3">
      <c r="B770" s="11" t="s">
        <v>212</v>
      </c>
      <c r="C770" s="28" t="s">
        <v>213</v>
      </c>
      <c r="D770" s="28"/>
      <c r="E770" s="28"/>
      <c r="F770" s="41"/>
      <c r="G770" s="28"/>
      <c r="H770" s="37"/>
      <c r="I770" s="36" t="e">
        <f t="shared" si="45"/>
        <v>#DIV/0!</v>
      </c>
      <c r="J770" s="28"/>
      <c r="K770" s="28"/>
      <c r="L770" s="28"/>
      <c r="M770" s="4" t="e">
        <f t="shared" si="44"/>
        <v>#DIV/0!</v>
      </c>
      <c r="AJ770" s="25">
        <v>27.956013886321301</v>
      </c>
      <c r="AK770" s="25">
        <v>296.48313895243302</v>
      </c>
      <c r="AL770" s="11">
        <f t="shared" si="46"/>
        <v>245.73965686913101</v>
      </c>
      <c r="AP770" s="65" t="s">
        <v>161</v>
      </c>
      <c r="AQ770" s="66">
        <v>296.48313895243302</v>
      </c>
      <c r="AR770" s="66">
        <v>27.956013886321301</v>
      </c>
      <c r="BD770" s="21" t="s">
        <v>199</v>
      </c>
    </row>
    <row r="771" spans="2:56" x14ac:dyDescent="0.3">
      <c r="B771" s="11" t="s">
        <v>212</v>
      </c>
      <c r="C771" s="28" t="s">
        <v>213</v>
      </c>
      <c r="D771" s="28"/>
      <c r="E771" s="28"/>
      <c r="F771" s="41"/>
      <c r="G771" s="28"/>
      <c r="H771" s="37"/>
      <c r="I771" s="36" t="e">
        <f t="shared" si="45"/>
        <v>#DIV/0!</v>
      </c>
      <c r="J771" s="28"/>
      <c r="K771" s="28"/>
      <c r="L771" s="28"/>
      <c r="M771" s="4" t="e">
        <f t="shared" si="44"/>
        <v>#DIV/0!</v>
      </c>
      <c r="AJ771" s="25">
        <v>46.769248976804299</v>
      </c>
      <c r="AK771" s="25">
        <v>255.85858869056401</v>
      </c>
      <c r="AL771" s="11">
        <f t="shared" si="46"/>
        <v>306.16842214174841</v>
      </c>
      <c r="AP771" s="65" t="s">
        <v>161</v>
      </c>
      <c r="AQ771" s="66">
        <v>255.85858869056401</v>
      </c>
      <c r="AR771" s="66">
        <v>46.769248976804299</v>
      </c>
      <c r="BD771" s="21" t="s">
        <v>199</v>
      </c>
    </row>
    <row r="772" spans="2:56" x14ac:dyDescent="0.3">
      <c r="B772" s="11" t="s">
        <v>212</v>
      </c>
      <c r="C772" s="28" t="s">
        <v>213</v>
      </c>
      <c r="D772" s="28"/>
      <c r="E772" s="28"/>
      <c r="F772" s="41"/>
      <c r="G772" s="28"/>
      <c r="H772" s="37"/>
      <c r="I772" s="36" t="e">
        <f t="shared" si="45"/>
        <v>#DIV/0!</v>
      </c>
      <c r="J772" s="28"/>
      <c r="K772" s="28"/>
      <c r="L772" s="28"/>
      <c r="M772" s="4" t="e">
        <f t="shared" si="44"/>
        <v>#DIV/0!</v>
      </c>
      <c r="AJ772" s="25">
        <v>70.614044856012598</v>
      </c>
      <c r="AK772" s="25">
        <v>220.80047330188799</v>
      </c>
      <c r="AL772" s="11">
        <f t="shared" si="46"/>
        <v>344.2635866874399</v>
      </c>
      <c r="AP772" s="65" t="s">
        <v>161</v>
      </c>
      <c r="AQ772" s="66">
        <v>220.80047330188799</v>
      </c>
      <c r="AR772" s="66">
        <v>70.614044856012598</v>
      </c>
      <c r="BD772" s="21" t="s">
        <v>199</v>
      </c>
    </row>
    <row r="773" spans="2:56" x14ac:dyDescent="0.3">
      <c r="B773" s="11" t="s">
        <v>212</v>
      </c>
      <c r="C773" s="28" t="s">
        <v>213</v>
      </c>
      <c r="D773" s="28"/>
      <c r="E773" s="28"/>
      <c r="F773" s="41"/>
      <c r="G773" s="28"/>
      <c r="H773" s="37"/>
      <c r="I773" s="36" t="e">
        <f t="shared" si="45"/>
        <v>#DIV/0!</v>
      </c>
      <c r="J773" s="28"/>
      <c r="K773" s="28"/>
      <c r="L773" s="28"/>
      <c r="M773" s="4" t="e">
        <f t="shared" si="44"/>
        <v>#DIV/0!</v>
      </c>
      <c r="AJ773" s="25">
        <v>91.446758735830301</v>
      </c>
      <c r="AK773" s="25">
        <v>183.65383433483399</v>
      </c>
      <c r="AL773" s="11">
        <f t="shared" si="46"/>
        <v>308.43831139584887</v>
      </c>
      <c r="AP773" s="65" t="s">
        <v>161</v>
      </c>
      <c r="AQ773" s="66">
        <v>183.65383433483399</v>
      </c>
      <c r="AR773" s="66">
        <v>91.446758735830301</v>
      </c>
      <c r="BD773" s="21" t="s">
        <v>199</v>
      </c>
    </row>
    <row r="774" spans="2:56" x14ac:dyDescent="0.3">
      <c r="B774" s="11" t="s">
        <v>212</v>
      </c>
      <c r="C774" s="28" t="s">
        <v>213</v>
      </c>
      <c r="D774" s="28"/>
      <c r="E774" s="28"/>
      <c r="F774" s="41"/>
      <c r="G774" s="28"/>
      <c r="H774" s="37"/>
      <c r="I774" s="36" t="e">
        <f t="shared" si="45"/>
        <v>#DIV/0!</v>
      </c>
      <c r="J774" s="28"/>
      <c r="K774" s="28"/>
      <c r="L774" s="28"/>
      <c r="M774" s="4" t="e">
        <f t="shared" si="44"/>
        <v>#DIV/0!</v>
      </c>
      <c r="AJ774" s="25">
        <v>107.186135686369</v>
      </c>
      <c r="AK774" s="25">
        <v>118.032063565172</v>
      </c>
      <c r="AL774" s="11">
        <f t="shared" si="46"/>
        <v>149.32709411288084</v>
      </c>
      <c r="AP774" s="65" t="s">
        <v>161</v>
      </c>
      <c r="AQ774" s="66">
        <v>118.032063565172</v>
      </c>
      <c r="AR774" s="66">
        <v>107.186135686369</v>
      </c>
      <c r="BD774" s="21" t="s">
        <v>199</v>
      </c>
    </row>
    <row r="775" spans="2:56" x14ac:dyDescent="0.3">
      <c r="B775" s="11" t="s">
        <v>212</v>
      </c>
      <c r="C775" s="28" t="s">
        <v>213</v>
      </c>
      <c r="D775" s="28"/>
      <c r="E775" s="28"/>
      <c r="F775" s="41"/>
      <c r="G775" s="28"/>
      <c r="H775" s="37"/>
      <c r="I775" s="36" t="e">
        <f t="shared" si="45"/>
        <v>#DIV/0!</v>
      </c>
      <c r="J775" s="28"/>
      <c r="K775" s="28"/>
      <c r="L775" s="28"/>
      <c r="M775" s="4" t="e">
        <f t="shared" si="44"/>
        <v>#DIV/0!</v>
      </c>
      <c r="AJ775" s="25">
        <v>131.86775539899801</v>
      </c>
      <c r="AK775" s="25">
        <v>98.174794301998105</v>
      </c>
      <c r="AL775" s="11">
        <f t="shared" si="46"/>
        <v>127.09796993369996</v>
      </c>
      <c r="AP775" s="65" t="s">
        <v>161</v>
      </c>
      <c r="AQ775" s="66">
        <v>98.174794301998105</v>
      </c>
      <c r="AR775" s="66">
        <v>131.86775539899801</v>
      </c>
      <c r="BD775" s="21" t="s">
        <v>199</v>
      </c>
    </row>
    <row r="776" spans="2:56" x14ac:dyDescent="0.3">
      <c r="B776" s="11" t="s">
        <v>212</v>
      </c>
      <c r="C776" s="28" t="s">
        <v>213</v>
      </c>
      <c r="D776" s="28"/>
      <c r="E776" s="28"/>
      <c r="F776" s="41"/>
      <c r="G776" s="28"/>
      <c r="H776" s="37"/>
      <c r="I776" s="36" t="e">
        <f t="shared" si="45"/>
        <v>#DIV/0!</v>
      </c>
      <c r="J776" s="28"/>
      <c r="K776" s="28"/>
      <c r="L776" s="28"/>
      <c r="M776" s="4" t="e">
        <f t="shared" si="44"/>
        <v>#DIV/0!</v>
      </c>
      <c r="AJ776" s="25">
        <v>162.365984238214</v>
      </c>
      <c r="AK776" s="25">
        <v>75.857757502918403</v>
      </c>
      <c r="AL776" s="11">
        <f t="shared" si="46"/>
        <v>93.431871795723737</v>
      </c>
      <c r="AP776" s="65" t="s">
        <v>161</v>
      </c>
      <c r="AQ776" s="66">
        <v>75.857757502918403</v>
      </c>
      <c r="AR776" s="66">
        <v>162.365984238214</v>
      </c>
      <c r="BD776" s="21" t="s">
        <v>199</v>
      </c>
    </row>
    <row r="777" spans="2:56" x14ac:dyDescent="0.3">
      <c r="B777" s="11" t="s">
        <v>212</v>
      </c>
      <c r="C777" s="28" t="s">
        <v>213</v>
      </c>
      <c r="D777" s="28"/>
      <c r="E777" s="28"/>
      <c r="F777" s="41"/>
      <c r="G777" s="28"/>
      <c r="H777" s="37"/>
      <c r="I777" s="36" t="e">
        <f t="shared" si="45"/>
        <v>#DIV/0!</v>
      </c>
      <c r="J777" s="28"/>
      <c r="K777" s="28"/>
      <c r="L777" s="28"/>
      <c r="M777" s="4" t="e">
        <f t="shared" si="44"/>
        <v>#DIV/0!</v>
      </c>
      <c r="AJ777" s="25">
        <v>199.50803723236899</v>
      </c>
      <c r="AK777" s="25">
        <v>70.469306896714599</v>
      </c>
      <c r="AL777" s="11">
        <f t="shared" si="46"/>
        <v>99.07415935722193</v>
      </c>
      <c r="AP777" s="65" t="s">
        <v>161</v>
      </c>
      <c r="AQ777" s="66">
        <v>70.469306896714599</v>
      </c>
      <c r="AR777" s="66">
        <v>199.50803723236899</v>
      </c>
      <c r="BD777" s="21" t="s">
        <v>199</v>
      </c>
    </row>
    <row r="778" spans="2:56" x14ac:dyDescent="0.3">
      <c r="B778" s="11" t="s">
        <v>212</v>
      </c>
      <c r="C778" s="28" t="s">
        <v>213</v>
      </c>
      <c r="D778" s="28"/>
      <c r="E778" s="28"/>
      <c r="F778" s="41"/>
      <c r="G778" s="28"/>
      <c r="H778" s="37"/>
      <c r="I778" s="36" t="e">
        <f t="shared" si="45"/>
        <v>#DIV/0!</v>
      </c>
      <c r="J778" s="28"/>
      <c r="K778" s="28"/>
      <c r="L778" s="28"/>
      <c r="M778" s="4" t="e">
        <f t="shared" si="44"/>
        <v>#DIV/0!</v>
      </c>
      <c r="AJ778" s="25">
        <v>245.247145042233</v>
      </c>
      <c r="AK778" s="25">
        <v>63.095734448019201</v>
      </c>
      <c r="AL778" s="11">
        <f t="shared" si="46"/>
        <v>97.634646999086144</v>
      </c>
      <c r="AP778" s="65" t="s">
        <v>161</v>
      </c>
      <c r="AQ778" s="66">
        <v>63.095734448019201</v>
      </c>
      <c r="AR778" s="66">
        <v>245.247145042233</v>
      </c>
      <c r="BD778" s="21" t="s">
        <v>199</v>
      </c>
    </row>
    <row r="779" spans="2:56" x14ac:dyDescent="0.3">
      <c r="B779" s="11" t="s">
        <v>212</v>
      </c>
      <c r="C779" s="28" t="s">
        <v>213</v>
      </c>
      <c r="D779" s="28"/>
      <c r="E779" s="28"/>
      <c r="F779" s="41"/>
      <c r="G779" s="28"/>
      <c r="H779" s="37"/>
      <c r="I779" s="36" t="e">
        <f t="shared" si="45"/>
        <v>#DIV/0!</v>
      </c>
      <c r="J779" s="28"/>
      <c r="K779" s="28"/>
      <c r="L779" s="28"/>
      <c r="M779" s="4" t="e">
        <f t="shared" si="44"/>
        <v>#DIV/0!</v>
      </c>
      <c r="AJ779" s="25">
        <v>301.348689343898</v>
      </c>
      <c r="AK779" s="25">
        <v>58.613816451402798</v>
      </c>
      <c r="AL779" s="11">
        <f t="shared" si="46"/>
        <v>103.53073731330613</v>
      </c>
      <c r="AP779" s="65" t="s">
        <v>161</v>
      </c>
      <c r="AQ779" s="66">
        <v>58.613816451402798</v>
      </c>
      <c r="AR779" s="66">
        <v>301.348689343898</v>
      </c>
      <c r="BD779" s="21" t="s">
        <v>199</v>
      </c>
    </row>
    <row r="780" spans="2:56" x14ac:dyDescent="0.3">
      <c r="B780" s="11" t="s">
        <v>212</v>
      </c>
      <c r="C780" s="28" t="s">
        <v>213</v>
      </c>
      <c r="D780" s="28"/>
      <c r="E780" s="28"/>
      <c r="F780" s="41"/>
      <c r="G780" s="28"/>
      <c r="H780" s="37"/>
      <c r="I780" s="36" t="e">
        <f t="shared" si="45"/>
        <v>#DIV/0!</v>
      </c>
      <c r="J780" s="28"/>
      <c r="K780" s="28"/>
      <c r="L780" s="28"/>
      <c r="M780" s="4" t="e">
        <f t="shared" si="44"/>
        <v>#DIV/0!</v>
      </c>
      <c r="AJ780" s="25">
        <v>301.71990367635402</v>
      </c>
      <c r="AK780" s="25">
        <v>52.480746024977101</v>
      </c>
      <c r="AL780" s="11">
        <f t="shared" si="46"/>
        <v>83.100561907383607</v>
      </c>
      <c r="AP780" s="65" t="s">
        <v>161</v>
      </c>
      <c r="AQ780" s="66">
        <v>52.480746024977101</v>
      </c>
      <c r="AR780" s="66">
        <v>301.71990367635402</v>
      </c>
      <c r="BD780" s="21" t="s">
        <v>199</v>
      </c>
    </row>
    <row r="781" spans="2:56" x14ac:dyDescent="0.3">
      <c r="B781" s="11" t="s">
        <v>212</v>
      </c>
      <c r="C781" s="28" t="s">
        <v>213</v>
      </c>
      <c r="D781" s="28"/>
      <c r="E781" s="28"/>
      <c r="F781" s="41"/>
      <c r="G781" s="28"/>
      <c r="H781" s="37"/>
      <c r="I781" s="36" t="e">
        <f t="shared" si="45"/>
        <v>#DIV/0!</v>
      </c>
      <c r="J781" s="28"/>
      <c r="K781" s="28"/>
      <c r="L781" s="28"/>
      <c r="M781" s="4" t="e">
        <f t="shared" si="44"/>
        <v>#DIV/0!</v>
      </c>
      <c r="AJ781" s="25">
        <v>318.12226022347397</v>
      </c>
      <c r="AK781" s="25">
        <v>45.289757990361998</v>
      </c>
      <c r="AL781" s="11">
        <f t="shared" si="46"/>
        <v>65.252034841289202</v>
      </c>
      <c r="AP781" s="65" t="s">
        <v>161</v>
      </c>
      <c r="AQ781" s="66">
        <v>45.289757990361998</v>
      </c>
      <c r="AR781" s="66">
        <v>318.12226022347397</v>
      </c>
      <c r="BD781" s="21" t="s">
        <v>199</v>
      </c>
    </row>
    <row r="782" spans="2:56" x14ac:dyDescent="0.3">
      <c r="B782" s="11" t="s">
        <v>215</v>
      </c>
      <c r="C782" s="28" t="s">
        <v>214</v>
      </c>
      <c r="D782" s="28"/>
      <c r="E782" s="28"/>
      <c r="F782" s="41"/>
      <c r="G782" s="28"/>
      <c r="H782" s="37"/>
      <c r="I782" s="36" t="e">
        <f t="shared" si="45"/>
        <v>#DIV/0!</v>
      </c>
      <c r="J782" s="28"/>
      <c r="K782" s="28"/>
      <c r="L782" s="28"/>
      <c r="M782" s="4" t="e">
        <f t="shared" si="44"/>
        <v>#DIV/0!</v>
      </c>
      <c r="AJ782" s="25">
        <v>1.3878311583706399E-3</v>
      </c>
      <c r="AK782" s="25">
        <v>772.68058509570096</v>
      </c>
      <c r="AL782" s="11">
        <f t="shared" si="46"/>
        <v>8.2858417336779039E-2</v>
      </c>
      <c r="AP782" s="65" t="s">
        <v>161</v>
      </c>
      <c r="AQ782" s="66">
        <v>772.68058509570096</v>
      </c>
      <c r="AR782" s="66">
        <v>1.3878311583706399E-3</v>
      </c>
      <c r="BD782" s="21" t="s">
        <v>199</v>
      </c>
    </row>
    <row r="783" spans="2:56" x14ac:dyDescent="0.3">
      <c r="B783" s="11" t="s">
        <v>215</v>
      </c>
      <c r="C783" s="28" t="s">
        <v>214</v>
      </c>
      <c r="D783" s="28"/>
      <c r="E783" s="28"/>
      <c r="F783" s="41"/>
      <c r="G783" s="28"/>
      <c r="H783" s="37"/>
      <c r="I783" s="36" t="e">
        <f t="shared" si="45"/>
        <v>#DIV/0!</v>
      </c>
      <c r="J783" s="28"/>
      <c r="K783" s="28"/>
      <c r="L783" s="28"/>
      <c r="M783" s="4" t="e">
        <f t="shared" si="44"/>
        <v>#DIV/0!</v>
      </c>
      <c r="AJ783" s="25">
        <v>1.70600460067998E-3</v>
      </c>
      <c r="AK783" s="25">
        <v>691.83097091893399</v>
      </c>
      <c r="AL783" s="11">
        <f t="shared" si="46"/>
        <v>8.1654513952629876E-2</v>
      </c>
      <c r="AP783" s="65" t="s">
        <v>161</v>
      </c>
      <c r="AQ783" s="66">
        <v>691.83097091893399</v>
      </c>
      <c r="AR783" s="66">
        <v>1.70600460067998E-3</v>
      </c>
      <c r="BD783" s="21" t="s">
        <v>199</v>
      </c>
    </row>
    <row r="784" spans="2:56" x14ac:dyDescent="0.3">
      <c r="B784" s="11" t="s">
        <v>215</v>
      </c>
      <c r="C784" s="28" t="s">
        <v>214</v>
      </c>
      <c r="D784" s="28"/>
      <c r="E784" s="28"/>
      <c r="F784" s="41"/>
      <c r="G784" s="28"/>
      <c r="H784" s="37"/>
      <c r="I784" s="36" t="e">
        <f t="shared" si="45"/>
        <v>#DIV/0!</v>
      </c>
      <c r="J784" s="28"/>
      <c r="K784" s="28"/>
      <c r="L784" s="28"/>
      <c r="M784" s="4" t="e">
        <f t="shared" si="44"/>
        <v>#DIV/0!</v>
      </c>
      <c r="AJ784" s="25">
        <v>0.43407458272865401</v>
      </c>
      <c r="AK784" s="25">
        <v>744.731973905985</v>
      </c>
      <c r="AL784" s="11">
        <f t="shared" si="46"/>
        <v>24.074892492278469</v>
      </c>
      <c r="AP784" s="65" t="s">
        <v>161</v>
      </c>
      <c r="AQ784" s="66">
        <v>744.731973905985</v>
      </c>
      <c r="AR784" s="66">
        <v>0.43407458272865401</v>
      </c>
      <c r="BD784" s="21" t="s">
        <v>199</v>
      </c>
    </row>
    <row r="785" spans="2:56" x14ac:dyDescent="0.3">
      <c r="B785" s="11" t="s">
        <v>215</v>
      </c>
      <c r="C785" s="28" t="s">
        <v>214</v>
      </c>
      <c r="D785" s="28"/>
      <c r="E785" s="28"/>
      <c r="F785" s="41"/>
      <c r="G785" s="28"/>
      <c r="H785" s="37"/>
      <c r="I785" s="36" t="e">
        <f t="shared" si="45"/>
        <v>#DIV/0!</v>
      </c>
      <c r="J785" s="28"/>
      <c r="K785" s="28"/>
      <c r="L785" s="28"/>
      <c r="M785" s="4" t="e">
        <f t="shared" si="44"/>
        <v>#DIV/0!</v>
      </c>
      <c r="AJ785" s="25">
        <v>9.5752145709113101</v>
      </c>
      <c r="AK785" s="25">
        <v>177.01089583174101</v>
      </c>
      <c r="AL785" s="11">
        <f t="shared" si="46"/>
        <v>30.001883122294622</v>
      </c>
      <c r="AP785" s="65" t="s">
        <v>161</v>
      </c>
      <c r="AQ785" s="66">
        <v>177.01089583174101</v>
      </c>
      <c r="AR785" s="66">
        <v>9.5752145709113101</v>
      </c>
      <c r="BD785" s="21" t="s">
        <v>199</v>
      </c>
    </row>
    <row r="786" spans="2:56" x14ac:dyDescent="0.3">
      <c r="B786" s="11" t="s">
        <v>215</v>
      </c>
      <c r="C786" s="28" t="s">
        <v>214</v>
      </c>
      <c r="D786" s="28"/>
      <c r="E786" s="28"/>
      <c r="F786" s="41"/>
      <c r="G786" s="28"/>
      <c r="H786" s="37"/>
      <c r="I786" s="36" t="e">
        <f t="shared" si="45"/>
        <v>#DIV/0!</v>
      </c>
      <c r="J786" s="28"/>
      <c r="K786" s="28"/>
      <c r="L786" s="28"/>
      <c r="M786" s="4" t="e">
        <f t="shared" si="44"/>
        <v>#DIV/0!</v>
      </c>
      <c r="AJ786" s="25">
        <v>19.691428720920999</v>
      </c>
      <c r="AK786" s="25">
        <v>136.77288255958399</v>
      </c>
      <c r="AL786" s="11">
        <f t="shared" si="46"/>
        <v>36.836404026512604</v>
      </c>
      <c r="AP786" s="65" t="s">
        <v>161</v>
      </c>
      <c r="AQ786" s="66">
        <v>136.77288255958399</v>
      </c>
      <c r="AR786" s="66">
        <v>19.691428720920999</v>
      </c>
      <c r="BD786" s="21" t="s">
        <v>199</v>
      </c>
    </row>
    <row r="787" spans="2:56" x14ac:dyDescent="0.3">
      <c r="B787" s="11" t="s">
        <v>215</v>
      </c>
      <c r="C787" s="28" t="s">
        <v>214</v>
      </c>
      <c r="D787" s="28"/>
      <c r="E787" s="28"/>
      <c r="F787" s="41"/>
      <c r="G787" s="28"/>
      <c r="H787" s="37"/>
      <c r="I787" s="36" t="e">
        <f t="shared" si="45"/>
        <v>#DIV/0!</v>
      </c>
      <c r="J787" s="28"/>
      <c r="K787" s="28"/>
      <c r="L787" s="28"/>
      <c r="M787" s="4" t="e">
        <f t="shared" si="44"/>
        <v>#DIV/0!</v>
      </c>
      <c r="AJ787" s="25">
        <v>34.691080104456098</v>
      </c>
      <c r="AK787" s="25">
        <v>113.762728582343</v>
      </c>
      <c r="AL787" s="11">
        <f t="shared" si="46"/>
        <v>44.897051606595362</v>
      </c>
      <c r="AP787" s="65" t="s">
        <v>161</v>
      </c>
      <c r="AQ787" s="66">
        <v>113.762728582343</v>
      </c>
      <c r="AR787" s="66">
        <v>34.691080104456098</v>
      </c>
      <c r="BD787" s="21" t="s">
        <v>199</v>
      </c>
    </row>
    <row r="788" spans="2:56" x14ac:dyDescent="0.3">
      <c r="B788" s="11" t="s">
        <v>215</v>
      </c>
      <c r="C788" s="28" t="s">
        <v>214</v>
      </c>
      <c r="D788" s="28"/>
      <c r="E788" s="28"/>
      <c r="F788" s="41"/>
      <c r="G788" s="28"/>
      <c r="H788" s="37"/>
      <c r="I788" s="36" t="e">
        <f t="shared" si="45"/>
        <v>#DIV/0!</v>
      </c>
      <c r="J788" s="28"/>
      <c r="K788" s="28"/>
      <c r="L788" s="28"/>
      <c r="M788" s="4" t="e">
        <f t="shared" si="44"/>
        <v>#DIV/0!</v>
      </c>
      <c r="AJ788" s="25">
        <v>40.478808712300598</v>
      </c>
      <c r="AK788" s="25">
        <v>109.647819614318</v>
      </c>
      <c r="AL788" s="11">
        <f t="shared" si="46"/>
        <v>48.666232070480035</v>
      </c>
      <c r="AP788" s="65" t="s">
        <v>161</v>
      </c>
      <c r="AQ788" s="66">
        <v>109.647819614318</v>
      </c>
      <c r="AR788" s="66">
        <v>40.478808712300598</v>
      </c>
      <c r="BD788" s="21" t="s">
        <v>199</v>
      </c>
    </row>
    <row r="789" spans="2:56" x14ac:dyDescent="0.3">
      <c r="B789" s="11" t="s">
        <v>215</v>
      </c>
      <c r="C789" s="28" t="s">
        <v>214</v>
      </c>
      <c r="D789" s="28"/>
      <c r="E789" s="28"/>
      <c r="F789" s="41"/>
      <c r="G789" s="28"/>
      <c r="H789" s="37"/>
      <c r="I789" s="36" t="e">
        <f t="shared" si="45"/>
        <v>#DIV/0!</v>
      </c>
      <c r="J789" s="28"/>
      <c r="K789" s="28"/>
      <c r="L789" s="28"/>
      <c r="M789" s="4" t="e">
        <f t="shared" si="44"/>
        <v>#DIV/0!</v>
      </c>
      <c r="AJ789" s="25">
        <v>44.870447003871902</v>
      </c>
      <c r="AK789" s="25">
        <v>105.68175092136499</v>
      </c>
      <c r="AL789" s="11">
        <f t="shared" si="46"/>
        <v>50.114153170109113</v>
      </c>
      <c r="AP789" s="65" t="s">
        <v>161</v>
      </c>
      <c r="AQ789" s="66">
        <v>105.68175092136499</v>
      </c>
      <c r="AR789" s="66">
        <v>44.870447003871902</v>
      </c>
      <c r="BD789" s="21" t="s">
        <v>199</v>
      </c>
    </row>
    <row r="790" spans="2:56" x14ac:dyDescent="0.3">
      <c r="B790" s="11" t="s">
        <v>215</v>
      </c>
      <c r="C790" s="28" t="s">
        <v>214</v>
      </c>
      <c r="D790" s="28"/>
      <c r="E790" s="28"/>
      <c r="F790" s="41"/>
      <c r="G790" s="28"/>
      <c r="H790" s="37"/>
      <c r="I790" s="36" t="e">
        <f t="shared" si="45"/>
        <v>#DIV/0!</v>
      </c>
      <c r="J790" s="28"/>
      <c r="K790" s="28"/>
      <c r="L790" s="28"/>
      <c r="M790" s="4" t="e">
        <f t="shared" si="44"/>
        <v>#DIV/0!</v>
      </c>
      <c r="AJ790" s="25">
        <v>44.944159936852699</v>
      </c>
      <c r="AK790" s="25">
        <v>91.201083935590702</v>
      </c>
      <c r="AL790" s="11">
        <f t="shared" si="46"/>
        <v>37.382923958117964</v>
      </c>
      <c r="AP790" s="65" t="s">
        <v>161</v>
      </c>
      <c r="AQ790" s="66">
        <v>91.201083935590702</v>
      </c>
      <c r="AR790" s="66">
        <v>44.944159936852699</v>
      </c>
      <c r="BD790" s="21" t="s">
        <v>199</v>
      </c>
    </row>
    <row r="791" spans="2:56" x14ac:dyDescent="0.3">
      <c r="B791" s="11" t="s">
        <v>215</v>
      </c>
      <c r="C791" s="28" t="s">
        <v>214</v>
      </c>
      <c r="D791" s="28"/>
      <c r="E791" s="28"/>
      <c r="F791" s="41"/>
      <c r="G791" s="28"/>
      <c r="H791" s="37"/>
      <c r="I791" s="36" t="e">
        <f t="shared" si="45"/>
        <v>#DIV/0!</v>
      </c>
      <c r="J791" s="28"/>
      <c r="K791" s="28"/>
      <c r="L791" s="28"/>
      <c r="M791" s="4" t="e">
        <f t="shared" si="44"/>
        <v>#DIV/0!</v>
      </c>
      <c r="AJ791" s="25">
        <v>28.337167393186501</v>
      </c>
      <c r="AK791" s="25">
        <v>87.902251683088295</v>
      </c>
      <c r="AL791" s="11">
        <f t="shared" si="46"/>
        <v>21.895579081322136</v>
      </c>
      <c r="AP791" s="65" t="s">
        <v>161</v>
      </c>
      <c r="AQ791" s="66">
        <v>87.902251683088295</v>
      </c>
      <c r="AR791" s="66">
        <v>28.337167393186501</v>
      </c>
      <c r="BD791" s="21" t="s">
        <v>199</v>
      </c>
    </row>
    <row r="792" spans="2:56" x14ac:dyDescent="0.3">
      <c r="B792" s="11" t="s">
        <v>215</v>
      </c>
      <c r="C792" s="28" t="s">
        <v>214</v>
      </c>
      <c r="D792" s="28"/>
      <c r="E792" s="28"/>
      <c r="F792" s="41"/>
      <c r="G792" s="28"/>
      <c r="H792" s="37"/>
      <c r="I792" s="36" t="e">
        <f t="shared" si="45"/>
        <v>#DIV/0!</v>
      </c>
      <c r="J792" s="28"/>
      <c r="K792" s="28"/>
      <c r="L792" s="28"/>
      <c r="M792" s="4" t="e">
        <f t="shared" si="44"/>
        <v>#DIV/0!</v>
      </c>
      <c r="AJ792" s="25">
        <v>42.854852039744003</v>
      </c>
      <c r="AK792" s="25">
        <v>65.463617406727494</v>
      </c>
      <c r="AL792" s="11">
        <f t="shared" si="46"/>
        <v>18.365383433483483</v>
      </c>
      <c r="AP792" s="65" t="s">
        <v>161</v>
      </c>
      <c r="AQ792" s="66">
        <v>65.463617406727494</v>
      </c>
      <c r="AR792" s="66">
        <v>42.854852039744003</v>
      </c>
      <c r="BD792" s="21" t="s">
        <v>199</v>
      </c>
    </row>
    <row r="793" spans="2:56" x14ac:dyDescent="0.3">
      <c r="B793" s="11" t="s">
        <v>215</v>
      </c>
      <c r="C793" s="28" t="s">
        <v>214</v>
      </c>
      <c r="D793" s="28"/>
      <c r="E793" s="28"/>
      <c r="F793" s="41"/>
      <c r="G793" s="28"/>
      <c r="H793" s="37"/>
      <c r="I793" s="36" t="e">
        <f t="shared" si="45"/>
        <v>#DIV/0!</v>
      </c>
      <c r="J793" s="28"/>
      <c r="K793" s="28"/>
      <c r="L793" s="28"/>
      <c r="M793" s="4" t="e">
        <f t="shared" si="44"/>
        <v>#DIV/0!</v>
      </c>
      <c r="AJ793" s="25">
        <v>43.013418582193097</v>
      </c>
      <c r="AK793" s="25">
        <v>46.989410860521502</v>
      </c>
      <c r="AL793" s="11">
        <f t="shared" si="46"/>
        <v>9.4973831812805312</v>
      </c>
      <c r="AP793" s="65" t="s">
        <v>161</v>
      </c>
      <c r="AQ793" s="66">
        <v>46.989410860521502</v>
      </c>
      <c r="AR793" s="66">
        <v>43.013418582193097</v>
      </c>
      <c r="BD793" s="21" t="s">
        <v>199</v>
      </c>
    </row>
    <row r="794" spans="2:56" x14ac:dyDescent="0.3">
      <c r="B794" s="11" t="s">
        <v>215</v>
      </c>
      <c r="C794" s="28" t="s">
        <v>214</v>
      </c>
      <c r="D794" s="28"/>
      <c r="E794" s="28"/>
      <c r="F794" s="41"/>
      <c r="G794" s="28"/>
      <c r="H794" s="37"/>
      <c r="I794" s="36" t="e">
        <f t="shared" si="45"/>
        <v>#DIV/0!</v>
      </c>
      <c r="J794" s="28"/>
      <c r="K794" s="28"/>
      <c r="L794" s="28"/>
      <c r="M794" s="4" t="e">
        <f t="shared" si="44"/>
        <v>#DIV/0!</v>
      </c>
      <c r="AJ794" s="25">
        <v>31.6963972326114</v>
      </c>
      <c r="AK794" s="25">
        <v>37.670379898390699</v>
      </c>
      <c r="AL794" s="11">
        <f t="shared" si="46"/>
        <v>4.4979010903382086</v>
      </c>
      <c r="AP794" s="65" t="s">
        <v>161</v>
      </c>
      <c r="AQ794" s="66">
        <v>37.670379898390699</v>
      </c>
      <c r="AR794" s="66">
        <v>31.6963972326114</v>
      </c>
      <c r="BD794" s="21" t="s">
        <v>199</v>
      </c>
    </row>
    <row r="795" spans="2:56" x14ac:dyDescent="0.3">
      <c r="B795" s="11" t="s">
        <v>215</v>
      </c>
      <c r="C795" s="28" t="s">
        <v>214</v>
      </c>
      <c r="D795" s="28"/>
      <c r="E795" s="28"/>
      <c r="F795" s="41"/>
      <c r="G795" s="28"/>
      <c r="H795" s="37"/>
      <c r="I795" s="36" t="e">
        <f t="shared" si="45"/>
        <v>#DIV/0!</v>
      </c>
      <c r="J795" s="28"/>
      <c r="K795" s="28"/>
      <c r="L795" s="28"/>
      <c r="M795" s="4" t="e">
        <f t="shared" si="44"/>
        <v>#DIV/0!</v>
      </c>
      <c r="AJ795" s="25">
        <v>25.869740910305499</v>
      </c>
      <c r="AK795" s="25">
        <v>31.3328572431558</v>
      </c>
      <c r="AL795" s="11">
        <f t="shared" si="46"/>
        <v>2.5397564925152269</v>
      </c>
      <c r="AP795" s="65" t="s">
        <v>161</v>
      </c>
      <c r="AQ795" s="66">
        <v>31.3328572431558</v>
      </c>
      <c r="AR795" s="66">
        <v>25.869740910305499</v>
      </c>
      <c r="BD795" s="21" t="s">
        <v>199</v>
      </c>
    </row>
    <row r="796" spans="2:56" x14ac:dyDescent="0.3">
      <c r="B796" s="11" t="s">
        <v>216</v>
      </c>
      <c r="C796" s="28" t="s">
        <v>197</v>
      </c>
      <c r="D796" s="28"/>
      <c r="E796" s="28"/>
      <c r="F796" s="41"/>
      <c r="G796" s="28"/>
      <c r="H796" s="37"/>
      <c r="I796" s="36" t="e">
        <f t="shared" si="45"/>
        <v>#DIV/0!</v>
      </c>
      <c r="J796" s="28"/>
      <c r="K796" s="28"/>
      <c r="L796" s="28"/>
      <c r="M796" s="4" t="e">
        <f t="shared" si="44"/>
        <v>#DIV/0!</v>
      </c>
      <c r="AJ796" s="33"/>
      <c r="AK796" s="33"/>
      <c r="AP796" s="65"/>
      <c r="AQ796" s="77"/>
      <c r="AR796" s="77"/>
      <c r="BD796" s="21" t="s">
        <v>217</v>
      </c>
    </row>
    <row r="797" spans="2:56" x14ac:dyDescent="0.3">
      <c r="B797" s="11" t="s">
        <v>216</v>
      </c>
      <c r="C797" s="28" t="s">
        <v>197</v>
      </c>
      <c r="D797" s="28"/>
      <c r="E797" s="28"/>
      <c r="F797" s="41"/>
      <c r="G797" s="28"/>
      <c r="H797" s="37"/>
      <c r="I797" s="36" t="e">
        <f t="shared" si="45"/>
        <v>#DIV/0!</v>
      </c>
      <c r="J797" s="28"/>
      <c r="K797" s="28"/>
      <c r="L797" s="28"/>
      <c r="M797" s="4" t="e">
        <f t="shared" si="44"/>
        <v>#DIV/0!</v>
      </c>
      <c r="AJ797" s="33"/>
      <c r="AK797" s="33"/>
      <c r="AP797" s="65"/>
      <c r="AQ797" s="77"/>
      <c r="AR797" s="77"/>
      <c r="BD797" s="21" t="s">
        <v>217</v>
      </c>
    </row>
    <row r="798" spans="2:56" x14ac:dyDescent="0.3">
      <c r="B798" s="11" t="s">
        <v>216</v>
      </c>
      <c r="C798" s="28" t="s">
        <v>197</v>
      </c>
      <c r="D798" s="28"/>
      <c r="E798" s="28"/>
      <c r="F798" s="41"/>
      <c r="G798" s="28"/>
      <c r="H798" s="37"/>
      <c r="I798" s="36" t="e">
        <f t="shared" si="45"/>
        <v>#DIV/0!</v>
      </c>
      <c r="J798" s="28"/>
      <c r="K798" s="28"/>
      <c r="L798" s="28"/>
      <c r="M798" s="4" t="e">
        <f t="shared" si="44"/>
        <v>#DIV/0!</v>
      </c>
      <c r="AJ798" s="33"/>
      <c r="AK798" s="33"/>
      <c r="AP798" s="65"/>
      <c r="AQ798" s="77"/>
      <c r="AR798" s="77"/>
      <c r="BD798" s="21" t="s">
        <v>217</v>
      </c>
    </row>
    <row r="799" spans="2:56" x14ac:dyDescent="0.3">
      <c r="B799" s="11" t="s">
        <v>216</v>
      </c>
      <c r="C799" s="28" t="s">
        <v>197</v>
      </c>
      <c r="D799" s="28"/>
      <c r="E799" s="28"/>
      <c r="F799" s="41"/>
      <c r="G799" s="28"/>
      <c r="H799" s="37"/>
      <c r="I799" s="36" t="e">
        <f t="shared" si="45"/>
        <v>#DIV/0!</v>
      </c>
      <c r="J799" s="28"/>
      <c r="K799" s="28"/>
      <c r="L799" s="28"/>
      <c r="M799" s="4" t="e">
        <f t="shared" si="44"/>
        <v>#DIV/0!</v>
      </c>
      <c r="AJ799" s="33"/>
      <c r="AK799" s="33"/>
      <c r="AP799" s="65"/>
      <c r="AQ799" s="77"/>
      <c r="AR799" s="77"/>
      <c r="BD799" s="21" t="s">
        <v>217</v>
      </c>
    </row>
    <row r="800" spans="2:56" x14ac:dyDescent="0.3">
      <c r="B800" s="11" t="s">
        <v>216</v>
      </c>
      <c r="C800" s="28" t="s">
        <v>197</v>
      </c>
      <c r="D800" s="28"/>
      <c r="E800" s="28"/>
      <c r="F800" s="41"/>
      <c r="G800" s="28"/>
      <c r="H800" s="37"/>
      <c r="I800" s="36" t="e">
        <f t="shared" si="45"/>
        <v>#DIV/0!</v>
      </c>
      <c r="J800" s="28"/>
      <c r="K800" s="28"/>
      <c r="L800" s="28"/>
      <c r="M800" s="4" t="e">
        <f t="shared" ref="M800:M863" si="47">K800/L800</f>
        <v>#DIV/0!</v>
      </c>
      <c r="AJ800" s="33"/>
      <c r="AK800" s="33"/>
      <c r="AP800" s="65"/>
      <c r="AQ800" s="77"/>
      <c r="AR800" s="77"/>
      <c r="BD800" s="21" t="s">
        <v>217</v>
      </c>
    </row>
    <row r="801" spans="2:56" x14ac:dyDescent="0.3">
      <c r="B801" s="11" t="s">
        <v>216</v>
      </c>
      <c r="C801" s="28" t="s">
        <v>197</v>
      </c>
      <c r="D801" s="28"/>
      <c r="E801" s="28"/>
      <c r="F801" s="41"/>
      <c r="G801" s="28"/>
      <c r="H801" s="37"/>
      <c r="I801" s="36" t="e">
        <f t="shared" si="45"/>
        <v>#DIV/0!</v>
      </c>
      <c r="J801" s="28"/>
      <c r="K801" s="28"/>
      <c r="L801" s="28"/>
      <c r="M801" s="4" t="e">
        <f t="shared" si="47"/>
        <v>#DIV/0!</v>
      </c>
      <c r="AJ801" s="33"/>
      <c r="AK801" s="33"/>
      <c r="AP801" s="65"/>
      <c r="AQ801" s="77"/>
      <c r="AR801" s="77"/>
      <c r="BD801" s="21" t="s">
        <v>217</v>
      </c>
    </row>
    <row r="802" spans="2:56" x14ac:dyDescent="0.3">
      <c r="B802" s="11" t="s">
        <v>216</v>
      </c>
      <c r="C802" s="28" t="s">
        <v>197</v>
      </c>
      <c r="D802" s="28"/>
      <c r="E802" s="28"/>
      <c r="F802" s="41"/>
      <c r="G802" s="28"/>
      <c r="H802" s="37"/>
      <c r="I802" s="36" t="e">
        <f t="shared" si="45"/>
        <v>#DIV/0!</v>
      </c>
      <c r="J802" s="28"/>
      <c r="K802" s="28"/>
      <c r="L802" s="28"/>
      <c r="M802" s="4" t="e">
        <f t="shared" si="47"/>
        <v>#DIV/0!</v>
      </c>
      <c r="AJ802" s="33"/>
      <c r="AK802" s="33"/>
      <c r="AP802" s="65"/>
      <c r="AQ802" s="77"/>
      <c r="AR802" s="77"/>
      <c r="BD802" s="21" t="s">
        <v>217</v>
      </c>
    </row>
    <row r="803" spans="2:56" x14ac:dyDescent="0.3">
      <c r="B803" s="11" t="s">
        <v>216</v>
      </c>
      <c r="C803" s="28" t="s">
        <v>197</v>
      </c>
      <c r="D803" s="28"/>
      <c r="E803" s="28"/>
      <c r="F803" s="41"/>
      <c r="G803" s="28"/>
      <c r="H803" s="37"/>
      <c r="I803" s="36" t="e">
        <f t="shared" si="45"/>
        <v>#DIV/0!</v>
      </c>
      <c r="J803" s="28"/>
      <c r="K803" s="28"/>
      <c r="L803" s="28"/>
      <c r="M803" s="4" t="e">
        <f t="shared" si="47"/>
        <v>#DIV/0!</v>
      </c>
      <c r="AJ803" s="33"/>
      <c r="AK803" s="33"/>
      <c r="AP803" s="65"/>
      <c r="AQ803" s="77"/>
      <c r="AR803" s="77"/>
      <c r="BD803" s="21" t="s">
        <v>217</v>
      </c>
    </row>
    <row r="804" spans="2:56" x14ac:dyDescent="0.3">
      <c r="B804" s="11" t="s">
        <v>216</v>
      </c>
      <c r="C804" s="28" t="s">
        <v>197</v>
      </c>
      <c r="D804" s="28"/>
      <c r="E804" s="28"/>
      <c r="F804" s="41"/>
      <c r="G804" s="28"/>
      <c r="H804" s="37"/>
      <c r="I804" s="36" t="e">
        <f t="shared" si="45"/>
        <v>#DIV/0!</v>
      </c>
      <c r="J804" s="28"/>
      <c r="K804" s="28"/>
      <c r="L804" s="28"/>
      <c r="M804" s="4" t="e">
        <f t="shared" si="47"/>
        <v>#DIV/0!</v>
      </c>
      <c r="AJ804" s="25"/>
      <c r="AK804" s="25"/>
      <c r="BD804" s="21" t="s">
        <v>217</v>
      </c>
    </row>
    <row r="805" spans="2:56" x14ac:dyDescent="0.3">
      <c r="B805" s="11" t="s">
        <v>216</v>
      </c>
      <c r="C805" s="28" t="s">
        <v>197</v>
      </c>
      <c r="D805" s="28"/>
      <c r="E805" s="28"/>
      <c r="F805" s="41"/>
      <c r="G805" s="28"/>
      <c r="H805" s="37"/>
      <c r="I805" s="36" t="e">
        <f t="shared" si="45"/>
        <v>#DIV/0!</v>
      </c>
      <c r="J805" s="28"/>
      <c r="K805" s="28"/>
      <c r="L805" s="28"/>
      <c r="M805" s="4" t="e">
        <f t="shared" si="47"/>
        <v>#DIV/0!</v>
      </c>
      <c r="AJ805" s="25"/>
      <c r="AK805" s="25"/>
      <c r="BD805" s="21" t="s">
        <v>217</v>
      </c>
    </row>
    <row r="806" spans="2:56" x14ac:dyDescent="0.3">
      <c r="B806" s="11" t="s">
        <v>216</v>
      </c>
      <c r="C806" s="28" t="s">
        <v>197</v>
      </c>
      <c r="D806" s="28"/>
      <c r="E806" s="28"/>
      <c r="F806" s="41"/>
      <c r="G806" s="28"/>
      <c r="H806" s="37"/>
      <c r="I806" s="36" t="e">
        <f t="shared" si="45"/>
        <v>#DIV/0!</v>
      </c>
      <c r="J806" s="28"/>
      <c r="K806" s="28"/>
      <c r="L806" s="28"/>
      <c r="M806" s="4" t="e">
        <f t="shared" si="47"/>
        <v>#DIV/0!</v>
      </c>
      <c r="AJ806" s="25"/>
      <c r="AK806" s="25"/>
      <c r="BD806" s="21" t="s">
        <v>217</v>
      </c>
    </row>
    <row r="807" spans="2:56" x14ac:dyDescent="0.3">
      <c r="B807" s="11" t="s">
        <v>216</v>
      </c>
      <c r="C807" s="28" t="s">
        <v>197</v>
      </c>
      <c r="D807" s="28"/>
      <c r="E807" s="28"/>
      <c r="F807" s="41"/>
      <c r="G807" s="28"/>
      <c r="H807" s="37"/>
      <c r="I807" s="36" t="e">
        <f t="shared" si="45"/>
        <v>#DIV/0!</v>
      </c>
      <c r="J807" s="28"/>
      <c r="K807" s="28"/>
      <c r="L807" s="28"/>
      <c r="M807" s="4" t="e">
        <f t="shared" si="47"/>
        <v>#DIV/0!</v>
      </c>
      <c r="AJ807" s="25"/>
      <c r="AK807" s="25"/>
      <c r="BD807" s="21" t="s">
        <v>217</v>
      </c>
    </row>
    <row r="808" spans="2:56" x14ac:dyDescent="0.3">
      <c r="B808" s="11" t="s">
        <v>216</v>
      </c>
      <c r="C808" s="28" t="s">
        <v>197</v>
      </c>
      <c r="D808" s="28"/>
      <c r="E808" s="28"/>
      <c r="F808" s="41"/>
      <c r="G808" s="28"/>
      <c r="H808" s="37"/>
      <c r="I808" s="36" t="e">
        <f t="shared" si="45"/>
        <v>#DIV/0!</v>
      </c>
      <c r="J808" s="28"/>
      <c r="K808" s="28"/>
      <c r="L808" s="28"/>
      <c r="M808" s="4" t="e">
        <f t="shared" si="47"/>
        <v>#DIV/0!</v>
      </c>
      <c r="AJ808" s="25"/>
      <c r="AK808" s="25"/>
      <c r="BD808" s="21" t="s">
        <v>217</v>
      </c>
    </row>
    <row r="809" spans="2:56" x14ac:dyDescent="0.3">
      <c r="B809" s="11" t="s">
        <v>216</v>
      </c>
      <c r="C809" s="28" t="s">
        <v>197</v>
      </c>
      <c r="D809" s="28"/>
      <c r="E809" s="28"/>
      <c r="F809" s="41"/>
      <c r="G809" s="28"/>
      <c r="H809" s="37"/>
      <c r="I809" s="36" t="e">
        <f t="shared" si="45"/>
        <v>#DIV/0!</v>
      </c>
      <c r="J809" s="28"/>
      <c r="K809" s="28"/>
      <c r="L809" s="28"/>
      <c r="M809" s="4" t="e">
        <f t="shared" si="47"/>
        <v>#DIV/0!</v>
      </c>
      <c r="AJ809" s="25"/>
      <c r="AK809" s="25"/>
      <c r="BD809" s="21" t="s">
        <v>217</v>
      </c>
    </row>
    <row r="810" spans="2:56" x14ac:dyDescent="0.3">
      <c r="B810" s="11" t="s">
        <v>216</v>
      </c>
      <c r="C810" s="28" t="s">
        <v>197</v>
      </c>
      <c r="D810" s="28"/>
      <c r="E810" s="28"/>
      <c r="F810" s="41"/>
      <c r="G810" s="28"/>
      <c r="H810" s="37"/>
      <c r="I810" s="36" t="e">
        <f t="shared" si="45"/>
        <v>#DIV/0!</v>
      </c>
      <c r="J810" s="28"/>
      <c r="K810" s="28"/>
      <c r="L810" s="28"/>
      <c r="M810" s="4" t="e">
        <f t="shared" si="47"/>
        <v>#DIV/0!</v>
      </c>
      <c r="AJ810" s="25"/>
      <c r="AK810" s="25"/>
      <c r="BD810" s="21" t="s">
        <v>217</v>
      </c>
    </row>
    <row r="811" spans="2:56" x14ac:dyDescent="0.3">
      <c r="B811" s="11" t="s">
        <v>216</v>
      </c>
      <c r="C811" s="28" t="s">
        <v>197</v>
      </c>
      <c r="D811" s="28"/>
      <c r="E811" s="28"/>
      <c r="F811" s="41"/>
      <c r="G811" s="28"/>
      <c r="H811" s="37"/>
      <c r="I811" s="36" t="e">
        <f t="shared" si="45"/>
        <v>#DIV/0!</v>
      </c>
      <c r="J811" s="28"/>
      <c r="K811" s="28"/>
      <c r="L811" s="28"/>
      <c r="M811" s="4" t="e">
        <f t="shared" si="47"/>
        <v>#DIV/0!</v>
      </c>
      <c r="AJ811" s="25"/>
      <c r="AK811" s="25"/>
      <c r="BD811" s="21" t="s">
        <v>217</v>
      </c>
    </row>
    <row r="812" spans="2:56" x14ac:dyDescent="0.3">
      <c r="B812" s="11" t="s">
        <v>216</v>
      </c>
      <c r="C812" s="28" t="s">
        <v>197</v>
      </c>
      <c r="D812" s="28"/>
      <c r="E812" s="28"/>
      <c r="F812" s="41"/>
      <c r="G812" s="28"/>
      <c r="H812" s="37"/>
      <c r="I812" s="36" t="e">
        <f t="shared" si="45"/>
        <v>#DIV/0!</v>
      </c>
      <c r="J812" s="28"/>
      <c r="K812" s="28"/>
      <c r="L812" s="28"/>
      <c r="M812" s="4" t="e">
        <f t="shared" si="47"/>
        <v>#DIV/0!</v>
      </c>
      <c r="AJ812" s="25"/>
      <c r="AK812" s="25"/>
      <c r="BD812" s="21" t="s">
        <v>217</v>
      </c>
    </row>
    <row r="813" spans="2:56" x14ac:dyDescent="0.3">
      <c r="B813" s="11" t="s">
        <v>216</v>
      </c>
      <c r="C813" s="28" t="s">
        <v>197</v>
      </c>
      <c r="D813" s="28"/>
      <c r="E813" s="28"/>
      <c r="F813" s="41"/>
      <c r="G813" s="28"/>
      <c r="H813" s="37"/>
      <c r="I813" s="36" t="e">
        <f t="shared" si="45"/>
        <v>#DIV/0!</v>
      </c>
      <c r="J813" s="28"/>
      <c r="K813" s="28"/>
      <c r="L813" s="28"/>
      <c r="M813" s="4" t="e">
        <f t="shared" si="47"/>
        <v>#DIV/0!</v>
      </c>
      <c r="AJ813" s="25"/>
      <c r="AK813" s="25"/>
      <c r="BD813" s="21" t="s">
        <v>217</v>
      </c>
    </row>
    <row r="814" spans="2:56" x14ac:dyDescent="0.3">
      <c r="B814" s="11" t="s">
        <v>216</v>
      </c>
      <c r="C814" s="28" t="s">
        <v>197</v>
      </c>
      <c r="D814" s="28"/>
      <c r="E814" s="28"/>
      <c r="F814" s="41"/>
      <c r="G814" s="28"/>
      <c r="H814" s="37"/>
      <c r="I814" s="36" t="e">
        <f t="shared" si="45"/>
        <v>#DIV/0!</v>
      </c>
      <c r="J814" s="28"/>
      <c r="K814" s="28"/>
      <c r="L814" s="28"/>
      <c r="M814" s="4" t="e">
        <f t="shared" si="47"/>
        <v>#DIV/0!</v>
      </c>
      <c r="AJ814" s="25"/>
      <c r="AK814" s="25"/>
      <c r="BD814" s="21" t="s">
        <v>217</v>
      </c>
    </row>
    <row r="815" spans="2:56" x14ac:dyDescent="0.3">
      <c r="B815" s="11" t="s">
        <v>216</v>
      </c>
      <c r="C815" s="28" t="s">
        <v>197</v>
      </c>
      <c r="D815" s="28"/>
      <c r="E815" s="28"/>
      <c r="F815" s="41"/>
      <c r="G815" s="28"/>
      <c r="H815" s="37"/>
      <c r="I815" s="36" t="e">
        <f t="shared" si="45"/>
        <v>#DIV/0!</v>
      </c>
      <c r="J815" s="28"/>
      <c r="K815" s="28"/>
      <c r="L815" s="28"/>
      <c r="M815" s="4" t="e">
        <f t="shared" si="47"/>
        <v>#DIV/0!</v>
      </c>
      <c r="AJ815" s="25"/>
      <c r="AK815" s="25"/>
      <c r="BD815" s="21" t="s">
        <v>217</v>
      </c>
    </row>
    <row r="816" spans="2:56" x14ac:dyDescent="0.3">
      <c r="B816" s="11" t="s">
        <v>216</v>
      </c>
      <c r="C816" s="28" t="s">
        <v>197</v>
      </c>
      <c r="D816" s="28"/>
      <c r="E816" s="28"/>
      <c r="F816" s="41"/>
      <c r="G816" s="28"/>
      <c r="H816" s="37"/>
      <c r="I816" s="36" t="e">
        <f t="shared" si="45"/>
        <v>#DIV/0!</v>
      </c>
      <c r="J816" s="28"/>
      <c r="K816" s="28"/>
      <c r="L816" s="28"/>
      <c r="M816" s="4" t="e">
        <f t="shared" si="47"/>
        <v>#DIV/0!</v>
      </c>
      <c r="AJ816" s="25"/>
      <c r="AK816" s="25"/>
      <c r="BD816" s="21" t="s">
        <v>217</v>
      </c>
    </row>
    <row r="817" spans="2:56" x14ac:dyDescent="0.3">
      <c r="B817" s="11" t="s">
        <v>218</v>
      </c>
      <c r="C817" s="28" t="s">
        <v>219</v>
      </c>
      <c r="D817" s="28"/>
      <c r="E817" s="28"/>
      <c r="F817" s="41"/>
      <c r="G817" s="28"/>
      <c r="H817" s="37"/>
      <c r="I817" s="36" t="e">
        <f t="shared" si="45"/>
        <v>#DIV/0!</v>
      </c>
      <c r="J817" s="28"/>
      <c r="K817" s="28"/>
      <c r="L817" s="28"/>
      <c r="M817" s="4" t="e">
        <f t="shared" si="47"/>
        <v>#DIV/0!</v>
      </c>
      <c r="AJ817" s="33">
        <v>9.5499258602143602E-2</v>
      </c>
      <c r="AK817" s="33">
        <v>64.838205404468894</v>
      </c>
      <c r="AL817" s="11">
        <f t="shared" si="46"/>
        <v>4.0147820321557587E-2</v>
      </c>
      <c r="AP817" s="65" t="s">
        <v>161</v>
      </c>
      <c r="AQ817" s="77">
        <v>64.838205404468894</v>
      </c>
      <c r="AR817" s="77">
        <v>9.5499258602143602E-2</v>
      </c>
      <c r="BD817" s="21" t="s">
        <v>220</v>
      </c>
    </row>
    <row r="818" spans="2:56" x14ac:dyDescent="0.3">
      <c r="B818" s="11" t="s">
        <v>218</v>
      </c>
      <c r="C818" s="28" t="s">
        <v>219</v>
      </c>
      <c r="D818" s="28"/>
      <c r="E818" s="28"/>
      <c r="F818" s="41"/>
      <c r="G818" s="28"/>
      <c r="H818" s="37"/>
      <c r="I818" s="36" t="e">
        <f t="shared" si="45"/>
        <v>#DIV/0!</v>
      </c>
      <c r="J818" s="28"/>
      <c r="K818" s="28"/>
      <c r="L818" s="28"/>
      <c r="M818" s="4" t="e">
        <f t="shared" si="47"/>
        <v>#DIV/0!</v>
      </c>
      <c r="AJ818" s="33">
        <v>1.86208713666287</v>
      </c>
      <c r="AK818" s="33">
        <v>48.015889267284599</v>
      </c>
      <c r="AL818" s="11">
        <f t="shared" si="46"/>
        <v>0.42930896042114636</v>
      </c>
      <c r="AP818" s="65" t="s">
        <v>161</v>
      </c>
      <c r="AQ818" s="77">
        <v>48.015889267284599</v>
      </c>
      <c r="AR818" s="77">
        <v>1.86208713666287</v>
      </c>
      <c r="BD818" s="21" t="s">
        <v>220</v>
      </c>
    </row>
    <row r="819" spans="2:56" x14ac:dyDescent="0.3">
      <c r="B819" s="11" t="s">
        <v>218</v>
      </c>
      <c r="C819" s="28" t="s">
        <v>219</v>
      </c>
      <c r="D819" s="28"/>
      <c r="E819" s="28"/>
      <c r="F819" s="41"/>
      <c r="G819" s="28"/>
      <c r="H819" s="37"/>
      <c r="I819" s="36" t="e">
        <f t="shared" si="45"/>
        <v>#DIV/0!</v>
      </c>
      <c r="J819" s="28"/>
      <c r="K819" s="28"/>
      <c r="L819" s="28"/>
      <c r="M819" s="4" t="e">
        <f t="shared" si="47"/>
        <v>#DIV/0!</v>
      </c>
      <c r="AJ819" s="33">
        <v>1.99526231496886</v>
      </c>
      <c r="AK819" s="33">
        <v>45.986367745798098</v>
      </c>
      <c r="AL819" s="11">
        <f t="shared" si="46"/>
        <v>0.42194730363472771</v>
      </c>
      <c r="AP819" s="65" t="s">
        <v>161</v>
      </c>
      <c r="AQ819" s="77">
        <v>45.986367745798098</v>
      </c>
      <c r="AR819" s="77">
        <v>1.99526231496886</v>
      </c>
      <c r="BD819" s="21" t="s">
        <v>220</v>
      </c>
    </row>
    <row r="820" spans="2:56" x14ac:dyDescent="0.3">
      <c r="B820" s="11" t="s">
        <v>218</v>
      </c>
      <c r="C820" s="28" t="s">
        <v>219</v>
      </c>
      <c r="D820" s="28"/>
      <c r="E820" s="28"/>
      <c r="F820" s="41"/>
      <c r="G820" s="28"/>
      <c r="H820" s="37"/>
      <c r="I820" s="36" t="e">
        <f t="shared" si="45"/>
        <v>#DIV/0!</v>
      </c>
      <c r="J820" s="28"/>
      <c r="K820" s="28"/>
      <c r="L820" s="28"/>
      <c r="M820" s="4" t="e">
        <f t="shared" si="47"/>
        <v>#DIV/0!</v>
      </c>
      <c r="AJ820" s="33">
        <v>2.4547089156850501</v>
      </c>
      <c r="AK820" s="33">
        <v>44.0473908241107</v>
      </c>
      <c r="AL820" s="11">
        <f t="shared" si="46"/>
        <v>0.47625590734780043</v>
      </c>
      <c r="AP820" s="65" t="s">
        <v>161</v>
      </c>
      <c r="AQ820" s="77">
        <v>44.0473908241107</v>
      </c>
      <c r="AR820" s="77">
        <v>2.4547089156850501</v>
      </c>
      <c r="BD820" s="21" t="s">
        <v>220</v>
      </c>
    </row>
    <row r="821" spans="2:56" x14ac:dyDescent="0.3">
      <c r="B821" s="11" t="s">
        <v>218</v>
      </c>
      <c r="C821" s="28" t="s">
        <v>219</v>
      </c>
      <c r="D821" s="28"/>
      <c r="E821" s="28"/>
      <c r="F821" s="41"/>
      <c r="G821" s="28"/>
      <c r="H821" s="37"/>
      <c r="I821" s="36" t="e">
        <f t="shared" si="45"/>
        <v>#DIV/0!</v>
      </c>
      <c r="J821" s="28"/>
      <c r="K821" s="28"/>
      <c r="L821" s="28"/>
      <c r="M821" s="4" t="e">
        <f t="shared" si="47"/>
        <v>#DIV/0!</v>
      </c>
      <c r="AJ821" s="33">
        <v>4.5708818961487498</v>
      </c>
      <c r="AK821" s="33">
        <v>41.301178233208098</v>
      </c>
      <c r="AL821" s="11">
        <f t="shared" si="46"/>
        <v>0.7796952395443224</v>
      </c>
      <c r="AP821" s="65" t="s">
        <v>161</v>
      </c>
      <c r="AQ821" s="77">
        <v>41.301178233208098</v>
      </c>
      <c r="AR821" s="77">
        <v>4.5708818961487498</v>
      </c>
      <c r="BD821" s="21" t="s">
        <v>220</v>
      </c>
    </row>
    <row r="822" spans="2:56" x14ac:dyDescent="0.3">
      <c r="B822" s="11" t="s">
        <v>218</v>
      </c>
      <c r="C822" s="28" t="s">
        <v>219</v>
      </c>
      <c r="D822" s="28"/>
      <c r="E822" s="28"/>
      <c r="F822" s="41"/>
      <c r="G822" s="28"/>
      <c r="H822" s="37"/>
      <c r="I822" s="36" t="e">
        <f t="shared" si="45"/>
        <v>#DIV/0!</v>
      </c>
      <c r="J822" s="28"/>
      <c r="K822" s="28"/>
      <c r="L822" s="28"/>
      <c r="M822" s="4" t="e">
        <f t="shared" si="47"/>
        <v>#DIV/0!</v>
      </c>
      <c r="AJ822" s="33">
        <v>8.5113803820237202</v>
      </c>
      <c r="AK822" s="33">
        <v>34.014701700150397</v>
      </c>
      <c r="AL822" s="11">
        <f t="shared" si="46"/>
        <v>0.98476665211015568</v>
      </c>
      <c r="AP822" s="65" t="s">
        <v>161</v>
      </c>
      <c r="AQ822" s="77">
        <v>34.014701700150397</v>
      </c>
      <c r="AR822" s="77">
        <v>8.5113803820237202</v>
      </c>
      <c r="BD822" s="21" t="s">
        <v>220</v>
      </c>
    </row>
    <row r="823" spans="2:56" x14ac:dyDescent="0.3">
      <c r="B823" s="11" t="s">
        <v>218</v>
      </c>
      <c r="C823" s="28" t="s">
        <v>219</v>
      </c>
      <c r="D823" s="28"/>
      <c r="E823" s="28"/>
      <c r="F823" s="41"/>
      <c r="G823" s="28"/>
      <c r="H823" s="37"/>
      <c r="I823" s="36" t="e">
        <f t="shared" si="45"/>
        <v>#DIV/0!</v>
      </c>
      <c r="J823" s="28"/>
      <c r="K823" s="28"/>
      <c r="L823" s="28"/>
      <c r="M823" s="4" t="e">
        <f t="shared" si="47"/>
        <v>#DIV/0!</v>
      </c>
      <c r="AJ823" s="33">
        <v>10.4712854805089</v>
      </c>
      <c r="AK823" s="33">
        <v>31.201710554019002</v>
      </c>
      <c r="AL823" s="11">
        <f t="shared" si="46"/>
        <v>1.0194285858831993</v>
      </c>
      <c r="AP823" s="65" t="s">
        <v>161</v>
      </c>
      <c r="AQ823" s="77">
        <v>31.201710554019002</v>
      </c>
      <c r="AR823" s="77">
        <v>10.4712854805089</v>
      </c>
      <c r="BD823" s="21" t="s">
        <v>220</v>
      </c>
    </row>
    <row r="824" spans="2:56" x14ac:dyDescent="0.3">
      <c r="B824" s="11" t="s">
        <v>218</v>
      </c>
      <c r="C824" s="28" t="s">
        <v>219</v>
      </c>
      <c r="D824" s="28"/>
      <c r="E824" s="28"/>
      <c r="F824" s="41"/>
      <c r="G824" s="28"/>
      <c r="H824" s="37"/>
      <c r="I824" s="36" t="e">
        <f t="shared" si="45"/>
        <v>#DIV/0!</v>
      </c>
      <c r="J824" s="28"/>
      <c r="K824" s="28"/>
      <c r="L824" s="28"/>
      <c r="M824" s="4" t="e">
        <f t="shared" si="47"/>
        <v>#DIV/0!</v>
      </c>
      <c r="AJ824" s="33">
        <v>22.387211385683301</v>
      </c>
      <c r="AK824" s="33">
        <v>30.552513759402899</v>
      </c>
      <c r="AL824" s="11">
        <f t="shared" si="46"/>
        <v>2.0897478963208136</v>
      </c>
      <c r="AP824" s="65" t="s">
        <v>161</v>
      </c>
      <c r="AQ824" s="77">
        <v>30.552513759402899</v>
      </c>
      <c r="AR824" s="77">
        <v>22.387211385683301</v>
      </c>
      <c r="BD824" s="21" t="s">
        <v>220</v>
      </c>
    </row>
    <row r="825" spans="2:56" x14ac:dyDescent="0.3">
      <c r="B825" s="11" t="s">
        <v>221</v>
      </c>
      <c r="C825" s="28" t="s">
        <v>222</v>
      </c>
      <c r="D825" s="28"/>
      <c r="E825" s="28"/>
      <c r="F825" s="41"/>
      <c r="G825" s="28"/>
      <c r="H825" s="37"/>
      <c r="I825" s="36" t="e">
        <f t="shared" si="45"/>
        <v>#DIV/0!</v>
      </c>
      <c r="J825" s="28"/>
      <c r="K825" s="28"/>
      <c r="L825" s="28"/>
      <c r="M825" s="4" t="e">
        <f t="shared" si="47"/>
        <v>#DIV/0!</v>
      </c>
      <c r="AJ825" s="26">
        <v>0.93325430079698601</v>
      </c>
      <c r="AK825" s="26">
        <v>86.034246907338698</v>
      </c>
      <c r="AL825" s="11">
        <f t="shared" si="46"/>
        <v>0.69078472079152409</v>
      </c>
      <c r="AP825" s="65" t="s">
        <v>161</v>
      </c>
      <c r="AQ825" s="76">
        <v>86.034246907338698</v>
      </c>
      <c r="AR825" s="76">
        <v>0.93325430079698601</v>
      </c>
      <c r="BD825" s="21" t="s">
        <v>220</v>
      </c>
    </row>
    <row r="826" spans="2:56" x14ac:dyDescent="0.3">
      <c r="B826" s="11" t="s">
        <v>221</v>
      </c>
      <c r="C826" s="28" t="s">
        <v>222</v>
      </c>
      <c r="D826" s="28"/>
      <c r="E826" s="28"/>
      <c r="F826" s="41"/>
      <c r="G826" s="28"/>
      <c r="H826" s="37"/>
      <c r="I826" s="36" t="e">
        <f t="shared" ref="I826:I878" si="48">((K826)*1000)/H826</f>
        <v>#DIV/0!</v>
      </c>
      <c r="J826" s="28"/>
      <c r="K826" s="28"/>
      <c r="L826" s="28"/>
      <c r="M826" s="4" t="e">
        <f t="shared" si="47"/>
        <v>#DIV/0!</v>
      </c>
      <c r="AJ826" s="26">
        <v>33.884415613920403</v>
      </c>
      <c r="AK826" s="26">
        <v>20.266746605472399</v>
      </c>
      <c r="AL826" s="11">
        <f t="shared" ref="AL826:AL878" si="49">((AK826)^2*AJ826)/10000</f>
        <v>1.3917719362594696</v>
      </c>
      <c r="AP826" s="65" t="s">
        <v>161</v>
      </c>
      <c r="AQ826" s="76">
        <v>20.266746605472399</v>
      </c>
      <c r="AR826" s="76">
        <v>33.884415613920403</v>
      </c>
      <c r="BD826" s="21" t="s">
        <v>220</v>
      </c>
    </row>
    <row r="827" spans="2:56" x14ac:dyDescent="0.3">
      <c r="B827" s="11" t="s">
        <v>221</v>
      </c>
      <c r="C827" s="28" t="s">
        <v>222</v>
      </c>
      <c r="D827" s="28"/>
      <c r="E827" s="28"/>
      <c r="F827" s="41"/>
      <c r="G827" s="28"/>
      <c r="H827" s="37"/>
      <c r="I827" s="36" t="e">
        <f t="shared" si="48"/>
        <v>#DIV/0!</v>
      </c>
      <c r="J827" s="28"/>
      <c r="K827" s="28"/>
      <c r="L827" s="28"/>
      <c r="M827" s="4" t="e">
        <f t="shared" si="47"/>
        <v>#DIV/0!</v>
      </c>
      <c r="AJ827" s="26">
        <v>109.647819614317</v>
      </c>
      <c r="AK827" s="26">
        <v>17.817430376582202</v>
      </c>
      <c r="AL827" s="11">
        <f t="shared" si="49"/>
        <v>3.4808887298812201</v>
      </c>
      <c r="AP827" s="65" t="s">
        <v>161</v>
      </c>
      <c r="AQ827" s="76">
        <v>17.817430376582202</v>
      </c>
      <c r="AR827" s="76">
        <v>109.647819614317</v>
      </c>
      <c r="BD827" s="21" t="s">
        <v>220</v>
      </c>
    </row>
    <row r="828" spans="2:56" x14ac:dyDescent="0.3">
      <c r="B828" s="11" t="s">
        <v>221</v>
      </c>
      <c r="C828" s="28" t="s">
        <v>222</v>
      </c>
      <c r="D828" s="28"/>
      <c r="E828" s="28"/>
      <c r="F828" s="41"/>
      <c r="G828" s="28"/>
      <c r="H828" s="37"/>
      <c r="I828" s="36" t="e">
        <f t="shared" si="48"/>
        <v>#DIV/0!</v>
      </c>
      <c r="J828" s="28"/>
      <c r="K828" s="28"/>
      <c r="L828" s="28"/>
      <c r="M828" s="4" t="e">
        <f t="shared" si="47"/>
        <v>#DIV/0!</v>
      </c>
      <c r="AJ828" s="26">
        <v>117.48975549395099</v>
      </c>
      <c r="AK828" s="26">
        <v>19.852577560525699</v>
      </c>
      <c r="AL828" s="11">
        <f t="shared" si="49"/>
        <v>4.6305630591846514</v>
      </c>
      <c r="AP828" s="65" t="s">
        <v>161</v>
      </c>
      <c r="AQ828" s="76">
        <v>19.852577560525699</v>
      </c>
      <c r="AR828" s="76">
        <v>117.48975549395099</v>
      </c>
      <c r="BD828" s="21" t="s">
        <v>220</v>
      </c>
    </row>
    <row r="829" spans="2:56" x14ac:dyDescent="0.3">
      <c r="B829" s="11" t="s">
        <v>221</v>
      </c>
      <c r="C829" s="28" t="s">
        <v>222</v>
      </c>
      <c r="D829" s="28"/>
      <c r="E829" s="28"/>
      <c r="F829" s="41"/>
      <c r="G829" s="28"/>
      <c r="H829" s="37"/>
      <c r="I829" s="36" t="e">
        <f t="shared" si="48"/>
        <v>#DIV/0!</v>
      </c>
      <c r="J829" s="28"/>
      <c r="K829" s="28"/>
      <c r="L829" s="28"/>
      <c r="M829" s="4" t="e">
        <f t="shared" si="47"/>
        <v>#DIV/0!</v>
      </c>
      <c r="AJ829" s="26">
        <v>102.32929922807401</v>
      </c>
      <c r="AK829" s="26">
        <v>22.599976170226999</v>
      </c>
      <c r="AL829" s="11">
        <f t="shared" si="49"/>
        <v>5.226560265431365</v>
      </c>
      <c r="AP829" s="65" t="s">
        <v>161</v>
      </c>
      <c r="AQ829" s="76">
        <v>22.599976170226999</v>
      </c>
      <c r="AR829" s="76">
        <v>102.32929922807401</v>
      </c>
      <c r="BD829" s="21" t="s">
        <v>220</v>
      </c>
    </row>
    <row r="830" spans="2:56" x14ac:dyDescent="0.3">
      <c r="B830" s="11" t="s">
        <v>221</v>
      </c>
      <c r="C830" s="28" t="s">
        <v>222</v>
      </c>
      <c r="D830" s="28"/>
      <c r="E830" s="28"/>
      <c r="F830" s="41"/>
      <c r="G830" s="28"/>
      <c r="H830" s="37"/>
      <c r="I830" s="36" t="e">
        <f t="shared" si="48"/>
        <v>#DIV/0!</v>
      </c>
      <c r="J830" s="28"/>
      <c r="K830" s="28"/>
      <c r="L830" s="28"/>
      <c r="M830" s="4" t="e">
        <f t="shared" si="47"/>
        <v>#DIV/0!</v>
      </c>
      <c r="AJ830" s="26">
        <v>144.543977074591</v>
      </c>
      <c r="AK830" s="26">
        <v>24.648133500222901</v>
      </c>
      <c r="AL830" s="11">
        <f t="shared" si="49"/>
        <v>8.7814872502432237</v>
      </c>
      <c r="AP830" s="65" t="s">
        <v>161</v>
      </c>
      <c r="AQ830" s="76">
        <v>24.648133500222901</v>
      </c>
      <c r="AR830" s="76">
        <v>144.543977074591</v>
      </c>
      <c r="BD830" s="21" t="s">
        <v>220</v>
      </c>
    </row>
    <row r="831" spans="2:56" x14ac:dyDescent="0.3">
      <c r="B831" s="11" t="s">
        <v>221</v>
      </c>
      <c r="C831" s="28" t="s">
        <v>222</v>
      </c>
      <c r="D831" s="28"/>
      <c r="E831" s="28"/>
      <c r="F831" s="41"/>
      <c r="G831" s="28"/>
      <c r="H831" s="37"/>
      <c r="I831" s="36" t="e">
        <f t="shared" si="48"/>
        <v>#DIV/0!</v>
      </c>
      <c r="J831" s="28"/>
      <c r="K831" s="28"/>
      <c r="L831" s="28"/>
      <c r="M831" s="4" t="e">
        <f t="shared" si="47"/>
        <v>#DIV/0!</v>
      </c>
      <c r="AJ831" s="26">
        <v>134.89628825916401</v>
      </c>
      <c r="AK831" s="26">
        <v>12.0753967384818</v>
      </c>
      <c r="AL831" s="11">
        <f t="shared" si="49"/>
        <v>1.9669930113989234</v>
      </c>
      <c r="AP831" s="65" t="s">
        <v>161</v>
      </c>
      <c r="AQ831" s="76">
        <v>12.0753967384818</v>
      </c>
      <c r="AR831" s="76">
        <v>134.89628825916401</v>
      </c>
      <c r="BD831" s="21" t="s">
        <v>220</v>
      </c>
    </row>
    <row r="832" spans="2:56" x14ac:dyDescent="0.3">
      <c r="B832" s="11" t="s">
        <v>224</v>
      </c>
      <c r="C832" s="28" t="s">
        <v>223</v>
      </c>
      <c r="D832" s="28"/>
      <c r="E832" s="28"/>
      <c r="F832" s="41"/>
      <c r="G832" s="28"/>
      <c r="H832" s="37"/>
      <c r="I832" s="36" t="e">
        <f t="shared" si="48"/>
        <v>#DIV/0!</v>
      </c>
      <c r="J832" s="28"/>
      <c r="K832" s="28"/>
      <c r="L832" s="28"/>
      <c r="M832" s="4" t="e">
        <f t="shared" si="47"/>
        <v>#DIV/0!</v>
      </c>
      <c r="AJ832" s="33">
        <v>4.0738027780411001E-7</v>
      </c>
      <c r="AK832" s="33">
        <v>707.75448330944801</v>
      </c>
      <c r="AL832" s="11">
        <f t="shared" si="49"/>
        <v>2.040634657102839E-5</v>
      </c>
      <c r="AP832" s="65" t="s">
        <v>161</v>
      </c>
      <c r="AQ832" s="77">
        <v>707.75448330944801</v>
      </c>
      <c r="AR832" s="77">
        <v>4.0738027780411001E-7</v>
      </c>
      <c r="BD832" s="21" t="s">
        <v>220</v>
      </c>
    </row>
    <row r="833" spans="2:56" x14ac:dyDescent="0.3">
      <c r="B833" s="11" t="s">
        <v>224</v>
      </c>
      <c r="C833" s="28" t="s">
        <v>223</v>
      </c>
      <c r="D833" s="28"/>
      <c r="E833" s="28"/>
      <c r="F833" s="41"/>
      <c r="G833" s="28"/>
      <c r="H833" s="37"/>
      <c r="I833" s="36" t="e">
        <f t="shared" si="48"/>
        <v>#DIV/0!</v>
      </c>
      <c r="J833" s="28"/>
      <c r="K833" s="28"/>
      <c r="L833" s="28"/>
      <c r="M833" s="4" t="e">
        <f t="shared" si="47"/>
        <v>#DIV/0!</v>
      </c>
      <c r="AJ833" s="33">
        <v>9.3325430079699803E-7</v>
      </c>
      <c r="AK833" s="33">
        <v>1297.4036558836699</v>
      </c>
      <c r="AL833" s="11">
        <f t="shared" si="49"/>
        <v>1.5709061312031773E-4</v>
      </c>
      <c r="AP833" s="65" t="s">
        <v>161</v>
      </c>
      <c r="AQ833" s="77">
        <v>1297.4036558836699</v>
      </c>
      <c r="AR833" s="77">
        <v>9.3325430079699803E-7</v>
      </c>
      <c r="BD833" s="21" t="s">
        <v>220</v>
      </c>
    </row>
    <row r="834" spans="2:56" x14ac:dyDescent="0.3">
      <c r="B834" s="11" t="s">
        <v>224</v>
      </c>
      <c r="C834" s="28" t="s">
        <v>223</v>
      </c>
      <c r="D834" s="28"/>
      <c r="E834" s="28"/>
      <c r="F834" s="41"/>
      <c r="G834" s="28"/>
      <c r="H834" s="37"/>
      <c r="I834" s="36" t="e">
        <f t="shared" si="48"/>
        <v>#DIV/0!</v>
      </c>
      <c r="J834" s="28"/>
      <c r="K834" s="28"/>
      <c r="L834" s="28"/>
      <c r="M834" s="4" t="e">
        <f t="shared" si="47"/>
        <v>#DIV/0!</v>
      </c>
      <c r="AJ834" s="33">
        <v>9.7723722095580906E-6</v>
      </c>
      <c r="AK834" s="33">
        <v>1218.1596932089201</v>
      </c>
      <c r="AL834" s="11">
        <f t="shared" si="49"/>
        <v>1.4501350535504462E-3</v>
      </c>
      <c r="AP834" s="65" t="s">
        <v>161</v>
      </c>
      <c r="AQ834" s="77">
        <v>1218.1596932089201</v>
      </c>
      <c r="AR834" s="77">
        <v>9.7723722095580906E-6</v>
      </c>
      <c r="BD834" s="21" t="s">
        <v>220</v>
      </c>
    </row>
    <row r="835" spans="2:56" x14ac:dyDescent="0.3">
      <c r="B835" s="11" t="s">
        <v>224</v>
      </c>
      <c r="C835" s="28" t="s">
        <v>223</v>
      </c>
      <c r="D835" s="28"/>
      <c r="E835" s="28"/>
      <c r="F835" s="41"/>
      <c r="G835" s="28"/>
      <c r="H835" s="37"/>
      <c r="I835" s="36" t="e">
        <f t="shared" si="48"/>
        <v>#DIV/0!</v>
      </c>
      <c r="J835" s="28"/>
      <c r="K835" s="28"/>
      <c r="L835" s="28"/>
      <c r="M835" s="4" t="e">
        <f t="shared" si="47"/>
        <v>#DIV/0!</v>
      </c>
      <c r="AJ835" s="33">
        <v>1.9498445997580402E-5</v>
      </c>
      <c r="AK835" s="33">
        <v>694.71633674720499</v>
      </c>
      <c r="AL835" s="11">
        <f t="shared" si="49"/>
        <v>9.4105503671842213E-4</v>
      </c>
      <c r="AP835" s="65" t="s">
        <v>161</v>
      </c>
      <c r="AQ835" s="77">
        <v>694.71633674720499</v>
      </c>
      <c r="AR835" s="77">
        <v>1.9498445997580402E-5</v>
      </c>
      <c r="BD835" s="21" t="s">
        <v>220</v>
      </c>
    </row>
    <row r="836" spans="2:56" x14ac:dyDescent="0.3">
      <c r="B836" s="11" t="s">
        <v>224</v>
      </c>
      <c r="C836" s="28" t="s">
        <v>223</v>
      </c>
      <c r="D836" s="28"/>
      <c r="E836" s="28"/>
      <c r="F836" s="41"/>
      <c r="G836" s="28"/>
      <c r="H836" s="37"/>
      <c r="I836" s="36" t="e">
        <f t="shared" si="48"/>
        <v>#DIV/0!</v>
      </c>
      <c r="J836" s="28"/>
      <c r="K836" s="28"/>
      <c r="L836" s="28"/>
      <c r="M836" s="4" t="e">
        <f t="shared" si="47"/>
        <v>#DIV/0!</v>
      </c>
      <c r="AJ836" s="33">
        <v>1.0232929922807599E-4</v>
      </c>
      <c r="AK836" s="33">
        <v>809.27959728358701</v>
      </c>
      <c r="AL836" s="11">
        <f t="shared" si="49"/>
        <v>6.7018882676093197E-3</v>
      </c>
      <c r="AP836" s="65" t="s">
        <v>161</v>
      </c>
      <c r="AQ836" s="77">
        <v>809.27959728358701</v>
      </c>
      <c r="AR836" s="77">
        <v>1.0232929922807599E-4</v>
      </c>
      <c r="BD836" s="21" t="s">
        <v>220</v>
      </c>
    </row>
    <row r="837" spans="2:56" x14ac:dyDescent="0.3">
      <c r="B837" s="11" t="s">
        <v>224</v>
      </c>
      <c r="C837" s="28" t="s">
        <v>223</v>
      </c>
      <c r="D837" s="28"/>
      <c r="E837" s="28"/>
      <c r="F837" s="41"/>
      <c r="G837" s="28"/>
      <c r="H837" s="37"/>
      <c r="I837" s="36" t="e">
        <f t="shared" si="48"/>
        <v>#DIV/0!</v>
      </c>
      <c r="J837" s="28"/>
      <c r="K837" s="28"/>
      <c r="L837" s="28"/>
      <c r="M837" s="4" t="e">
        <f t="shared" si="47"/>
        <v>#DIV/0!</v>
      </c>
      <c r="AJ837" s="33">
        <v>9.9999999999998701E-4</v>
      </c>
      <c r="AK837" s="33">
        <v>348.87998608049799</v>
      </c>
      <c r="AL837" s="11">
        <f t="shared" si="49"/>
        <v>1.2171724468752688E-2</v>
      </c>
      <c r="AP837" s="65" t="s">
        <v>161</v>
      </c>
      <c r="AQ837" s="77">
        <v>348.87998608049799</v>
      </c>
      <c r="AR837" s="77">
        <v>9.9999999999998701E-4</v>
      </c>
      <c r="BD837" s="21" t="s">
        <v>220</v>
      </c>
    </row>
    <row r="838" spans="2:56" x14ac:dyDescent="0.3">
      <c r="B838" s="11" t="s">
        <v>224</v>
      </c>
      <c r="C838" s="28" t="s">
        <v>223</v>
      </c>
      <c r="D838" s="28"/>
      <c r="E838" s="28"/>
      <c r="F838" s="41"/>
      <c r="G838" s="28"/>
      <c r="H838" s="37"/>
      <c r="I838" s="36" t="e">
        <f t="shared" si="48"/>
        <v>#DIV/0!</v>
      </c>
      <c r="J838" s="28"/>
      <c r="K838" s="28"/>
      <c r="L838" s="28"/>
      <c r="M838" s="4" t="e">
        <f t="shared" si="47"/>
        <v>#DIV/0!</v>
      </c>
      <c r="AJ838" s="33">
        <v>9.7723722095579401E-3</v>
      </c>
      <c r="AK838" s="33">
        <v>203.56772361315501</v>
      </c>
      <c r="AL838" s="11">
        <f t="shared" si="49"/>
        <v>4.0496532674066818E-2</v>
      </c>
      <c r="AP838" s="65" t="s">
        <v>161</v>
      </c>
      <c r="AQ838" s="77">
        <v>203.56772361315501</v>
      </c>
      <c r="AR838" s="77">
        <v>9.7723722095579401E-3</v>
      </c>
      <c r="BD838" s="21" t="s">
        <v>220</v>
      </c>
    </row>
    <row r="839" spans="2:56" x14ac:dyDescent="0.3">
      <c r="B839" s="11" t="s">
        <v>224</v>
      </c>
      <c r="C839" s="28" t="s">
        <v>223</v>
      </c>
      <c r="D839" s="28"/>
      <c r="E839" s="28"/>
      <c r="F839" s="41"/>
      <c r="G839" s="28"/>
      <c r="H839" s="37"/>
      <c r="I839" s="36" t="e">
        <f t="shared" si="48"/>
        <v>#DIV/0!</v>
      </c>
      <c r="J839" s="28"/>
      <c r="K839" s="28"/>
      <c r="L839" s="28"/>
      <c r="M839" s="4" t="e">
        <f t="shared" si="47"/>
        <v>#DIV/0!</v>
      </c>
      <c r="AJ839" s="33">
        <v>0.12589254117941601</v>
      </c>
      <c r="AK839" s="33">
        <v>59.479347719391399</v>
      </c>
      <c r="AL839" s="11">
        <f t="shared" si="49"/>
        <v>4.453817264033489E-2</v>
      </c>
      <c r="AP839" s="65" t="s">
        <v>161</v>
      </c>
      <c r="AQ839" s="77">
        <v>59.479347719391399</v>
      </c>
      <c r="AR839" s="77">
        <v>0.12589254117941601</v>
      </c>
      <c r="BD839" s="21" t="s">
        <v>220</v>
      </c>
    </row>
    <row r="840" spans="2:56" x14ac:dyDescent="0.3">
      <c r="B840" s="11" t="s">
        <v>224</v>
      </c>
      <c r="C840" s="28" t="s">
        <v>223</v>
      </c>
      <c r="D840" s="28"/>
      <c r="E840" s="28"/>
      <c r="F840" s="41"/>
      <c r="G840" s="28"/>
      <c r="H840" s="37"/>
      <c r="I840" s="36" t="e">
        <f t="shared" si="48"/>
        <v>#DIV/0!</v>
      </c>
      <c r="J840" s="28"/>
      <c r="K840" s="28"/>
      <c r="L840" s="28"/>
      <c r="M840" s="4" t="e">
        <f t="shared" si="47"/>
        <v>#DIV/0!</v>
      </c>
      <c r="AJ840" s="33">
        <v>1.1481536214968799</v>
      </c>
      <c r="AK840" s="33">
        <v>32.524196238768297</v>
      </c>
      <c r="AL840" s="11">
        <f t="shared" si="49"/>
        <v>0.12145436998477159</v>
      </c>
      <c r="AP840" s="65" t="s">
        <v>161</v>
      </c>
      <c r="AQ840" s="77">
        <v>32.524196238768297</v>
      </c>
      <c r="AR840" s="77">
        <v>1.1481536214968799</v>
      </c>
      <c r="BD840" s="21" t="s">
        <v>220</v>
      </c>
    </row>
    <row r="841" spans="2:56" x14ac:dyDescent="0.3">
      <c r="B841" s="11" t="s">
        <v>224</v>
      </c>
      <c r="C841" s="28" t="s">
        <v>223</v>
      </c>
      <c r="D841" s="28"/>
      <c r="E841" s="28"/>
      <c r="F841" s="41"/>
      <c r="G841" s="28"/>
      <c r="H841" s="37"/>
      <c r="I841" s="36" t="e">
        <f t="shared" si="48"/>
        <v>#DIV/0!</v>
      </c>
      <c r="J841" s="28"/>
      <c r="K841" s="28"/>
      <c r="L841" s="28"/>
      <c r="M841" s="4" t="e">
        <f t="shared" si="47"/>
        <v>#DIV/0!</v>
      </c>
      <c r="AJ841" s="33">
        <v>9.1201083935589295</v>
      </c>
      <c r="AK841" s="33">
        <v>41.323508088419999</v>
      </c>
      <c r="AL841" s="11">
        <f t="shared" si="49"/>
        <v>1.557379186143605</v>
      </c>
      <c r="AP841" s="65" t="s">
        <v>161</v>
      </c>
      <c r="AQ841" s="77">
        <v>41.323508088419999</v>
      </c>
      <c r="AR841" s="77">
        <v>9.1201083935589295</v>
      </c>
      <c r="BD841" s="21" t="s">
        <v>220</v>
      </c>
    </row>
    <row r="842" spans="2:56" x14ac:dyDescent="0.3">
      <c r="B842" s="11" t="s">
        <v>224</v>
      </c>
      <c r="C842" s="28" t="s">
        <v>223</v>
      </c>
      <c r="D842" s="28"/>
      <c r="E842" s="28"/>
      <c r="F842" s="41"/>
      <c r="G842" s="28"/>
      <c r="H842" s="37"/>
      <c r="I842" s="36" t="e">
        <f t="shared" si="48"/>
        <v>#DIV/0!</v>
      </c>
      <c r="J842" s="28"/>
      <c r="K842" s="28"/>
      <c r="L842" s="28"/>
      <c r="M842" s="4" t="e">
        <f t="shared" si="47"/>
        <v>#DIV/0!</v>
      </c>
      <c r="AJ842" s="33">
        <v>9.7723722095581493</v>
      </c>
      <c r="AK842" s="33">
        <v>19.813985050551199</v>
      </c>
      <c r="AL842" s="11">
        <f t="shared" si="49"/>
        <v>0.38365747302582398</v>
      </c>
      <c r="AP842" s="65" t="s">
        <v>161</v>
      </c>
      <c r="AQ842" s="77">
        <v>19.813985050551199</v>
      </c>
      <c r="AR842" s="77">
        <v>9.7723722095581493</v>
      </c>
      <c r="BD842" s="21" t="s">
        <v>220</v>
      </c>
    </row>
    <row r="843" spans="2:56" x14ac:dyDescent="0.3">
      <c r="B843" s="11" t="s">
        <v>224</v>
      </c>
      <c r="C843" s="28" t="s">
        <v>223</v>
      </c>
      <c r="D843" s="28"/>
      <c r="E843" s="28"/>
      <c r="F843" s="41"/>
      <c r="G843" s="28"/>
      <c r="H843" s="37"/>
      <c r="I843" s="36" t="e">
        <f t="shared" si="48"/>
        <v>#DIV/0!</v>
      </c>
      <c r="J843" s="28"/>
      <c r="K843" s="28"/>
      <c r="L843" s="28"/>
      <c r="M843" s="4" t="e">
        <f t="shared" si="47"/>
        <v>#DIV/0!</v>
      </c>
      <c r="AJ843" s="33">
        <v>95.499258602144394</v>
      </c>
      <c r="AK843" s="33">
        <v>14.9858282588841</v>
      </c>
      <c r="AL843" s="11">
        <f t="shared" si="49"/>
        <v>2.1446750642296006</v>
      </c>
      <c r="AP843" s="65" t="s">
        <v>161</v>
      </c>
      <c r="AQ843" s="77">
        <v>14.9858282588841</v>
      </c>
      <c r="AR843" s="77">
        <v>95.499258602144394</v>
      </c>
      <c r="BD843" s="21" t="s">
        <v>220</v>
      </c>
    </row>
    <row r="844" spans="2:56" x14ac:dyDescent="0.3">
      <c r="B844" s="11" t="s">
        <v>224</v>
      </c>
      <c r="C844" s="28" t="s">
        <v>223</v>
      </c>
      <c r="D844" s="28"/>
      <c r="E844" s="28"/>
      <c r="F844" s="41"/>
      <c r="G844" s="28"/>
      <c r="H844" s="37"/>
      <c r="I844" s="36" t="e">
        <f t="shared" si="48"/>
        <v>#DIV/0!</v>
      </c>
      <c r="J844" s="28"/>
      <c r="K844" s="28"/>
      <c r="L844" s="28"/>
      <c r="M844" s="4" t="e">
        <f t="shared" si="47"/>
        <v>#DIV/0!</v>
      </c>
      <c r="AJ844" s="33">
        <v>1000</v>
      </c>
      <c r="AK844" s="33">
        <v>10.173368802757</v>
      </c>
      <c r="AL844" s="11">
        <f t="shared" si="49"/>
        <v>10.349743279690941</v>
      </c>
      <c r="AP844" s="65" t="s">
        <v>161</v>
      </c>
      <c r="AQ844" s="77">
        <v>10.173368802757</v>
      </c>
      <c r="AR844" s="77">
        <v>1000</v>
      </c>
      <c r="BD844" s="21" t="s">
        <v>220</v>
      </c>
    </row>
    <row r="845" spans="2:56" x14ac:dyDescent="0.3">
      <c r="B845" s="11" t="s">
        <v>225</v>
      </c>
      <c r="C845" s="28" t="s">
        <v>226</v>
      </c>
      <c r="D845" s="28"/>
      <c r="E845" s="28"/>
      <c r="F845" s="41"/>
      <c r="G845" s="28"/>
      <c r="H845" s="37"/>
      <c r="I845" s="36" t="e">
        <f t="shared" si="48"/>
        <v>#DIV/0!</v>
      </c>
      <c r="J845" s="28"/>
      <c r="K845" s="28"/>
      <c r="L845" s="28"/>
      <c r="M845" s="4" t="e">
        <f t="shared" si="47"/>
        <v>#DIV/0!</v>
      </c>
      <c r="AJ845" s="27">
        <v>2.0892961308540501E-5</v>
      </c>
      <c r="AK845" s="27">
        <v>1192.81411586332</v>
      </c>
      <c r="AL845" s="11">
        <f t="shared" si="49"/>
        <v>2.9726620574531413E-3</v>
      </c>
      <c r="AP845" s="65" t="s">
        <v>161</v>
      </c>
      <c r="AQ845" s="75">
        <v>1192.81411586332</v>
      </c>
      <c r="AR845" s="75">
        <v>2.0892961308540501E-5</v>
      </c>
      <c r="BD845" s="21" t="s">
        <v>220</v>
      </c>
    </row>
    <row r="846" spans="2:56" x14ac:dyDescent="0.3">
      <c r="B846" s="11" t="s">
        <v>225</v>
      </c>
      <c r="C846" s="28" t="s">
        <v>226</v>
      </c>
      <c r="D846" s="28"/>
      <c r="E846" s="28"/>
      <c r="F846" s="41"/>
      <c r="G846" s="28"/>
      <c r="H846" s="37"/>
      <c r="I846" s="36" t="e">
        <f t="shared" si="48"/>
        <v>#DIV/0!</v>
      </c>
      <c r="J846" s="28"/>
      <c r="K846" s="28"/>
      <c r="L846" s="28"/>
      <c r="M846" s="4" t="e">
        <f t="shared" si="47"/>
        <v>#DIV/0!</v>
      </c>
      <c r="AJ846" s="27">
        <v>5.8884365535558501E-5</v>
      </c>
      <c r="AK846" s="27">
        <v>1004.17062252133</v>
      </c>
      <c r="AL846" s="11">
        <f t="shared" si="49"/>
        <v>5.9376558697756326E-3</v>
      </c>
      <c r="AP846" s="65" t="s">
        <v>161</v>
      </c>
      <c r="AQ846" s="75">
        <v>1004.17062252133</v>
      </c>
      <c r="AR846" s="75">
        <v>5.8884365535558501E-5</v>
      </c>
      <c r="BD846" s="21" t="s">
        <v>220</v>
      </c>
    </row>
    <row r="847" spans="2:56" x14ac:dyDescent="0.3">
      <c r="B847" s="11" t="s">
        <v>225</v>
      </c>
      <c r="C847" s="28" t="s">
        <v>226</v>
      </c>
      <c r="D847" s="28"/>
      <c r="E847" s="28"/>
      <c r="F847" s="41"/>
      <c r="G847" s="28"/>
      <c r="H847" s="37"/>
      <c r="I847" s="36" t="e">
        <f t="shared" si="48"/>
        <v>#DIV/0!</v>
      </c>
      <c r="J847" s="28"/>
      <c r="K847" s="28"/>
      <c r="L847" s="28"/>
      <c r="M847" s="4" t="e">
        <f t="shared" si="47"/>
        <v>#DIV/0!</v>
      </c>
      <c r="AJ847" s="27">
        <v>4.0738027780411299E-4</v>
      </c>
      <c r="AK847" s="27">
        <v>492.726174967031</v>
      </c>
      <c r="AL847" s="11">
        <f t="shared" si="49"/>
        <v>9.8903410480297039E-3</v>
      </c>
      <c r="AP847" s="65" t="s">
        <v>161</v>
      </c>
      <c r="AQ847" s="75">
        <v>492.726174967031</v>
      </c>
      <c r="AR847" s="75">
        <v>4.0738027780411299E-4</v>
      </c>
      <c r="BD847" s="21" t="s">
        <v>220</v>
      </c>
    </row>
    <row r="848" spans="2:56" x14ac:dyDescent="0.3">
      <c r="B848" s="11" t="s">
        <v>225</v>
      </c>
      <c r="C848" s="28" t="s">
        <v>226</v>
      </c>
      <c r="D848" s="28"/>
      <c r="E848" s="28"/>
      <c r="F848" s="41"/>
      <c r="G848" s="28"/>
      <c r="H848" s="37"/>
      <c r="I848" s="36" t="e">
        <f t="shared" si="48"/>
        <v>#DIV/0!</v>
      </c>
      <c r="J848" s="28"/>
      <c r="K848" s="28"/>
      <c r="L848" s="28"/>
      <c r="M848" s="4" t="e">
        <f t="shared" si="47"/>
        <v>#DIV/0!</v>
      </c>
      <c r="AJ848" s="27">
        <v>4.5708818961486802E-3</v>
      </c>
      <c r="AK848" s="27">
        <v>306.79936761371101</v>
      </c>
      <c r="AL848" s="11">
        <f t="shared" si="49"/>
        <v>4.3023815272089254E-2</v>
      </c>
      <c r="AP848" s="65" t="s">
        <v>161</v>
      </c>
      <c r="AQ848" s="75">
        <v>306.79936761371101</v>
      </c>
      <c r="AR848" s="75">
        <v>4.5708818961486802E-3</v>
      </c>
      <c r="BD848" s="21" t="s">
        <v>220</v>
      </c>
    </row>
    <row r="849" spans="2:56" x14ac:dyDescent="0.3">
      <c r="B849" s="11" t="s">
        <v>225</v>
      </c>
      <c r="C849" s="28" t="s">
        <v>226</v>
      </c>
      <c r="D849" s="28"/>
      <c r="E849" s="28"/>
      <c r="F849" s="41"/>
      <c r="G849" s="28"/>
      <c r="H849" s="37"/>
      <c r="I849" s="36" t="e">
        <f t="shared" si="48"/>
        <v>#DIV/0!</v>
      </c>
      <c r="J849" s="28"/>
      <c r="K849" s="28"/>
      <c r="L849" s="28"/>
      <c r="M849" s="4" t="e">
        <f t="shared" si="47"/>
        <v>#DIV/0!</v>
      </c>
      <c r="AJ849" s="27">
        <v>1.38038426460288E-2</v>
      </c>
      <c r="AK849" s="27">
        <v>199.26756768606899</v>
      </c>
      <c r="AL849" s="11">
        <f t="shared" si="49"/>
        <v>5.481169588463225E-2</v>
      </c>
      <c r="AP849" s="65" t="s">
        <v>161</v>
      </c>
      <c r="AQ849" s="75">
        <v>199.26756768606899</v>
      </c>
      <c r="AR849" s="75">
        <v>1.38038426460288E-2</v>
      </c>
      <c r="BD849" s="21" t="s">
        <v>220</v>
      </c>
    </row>
    <row r="850" spans="2:56" x14ac:dyDescent="0.3">
      <c r="B850" s="11" t="s">
        <v>225</v>
      </c>
      <c r="C850" s="28" t="s">
        <v>226</v>
      </c>
      <c r="D850" s="28"/>
      <c r="E850" s="28"/>
      <c r="F850" s="41"/>
      <c r="G850" s="28"/>
      <c r="H850" s="37"/>
      <c r="I850" s="36" t="e">
        <f t="shared" si="48"/>
        <v>#DIV/0!</v>
      </c>
      <c r="J850" s="28"/>
      <c r="K850" s="28"/>
      <c r="L850" s="28"/>
      <c r="M850" s="4" t="e">
        <f t="shared" si="47"/>
        <v>#DIV/0!</v>
      </c>
      <c r="AJ850" s="27">
        <v>9.5499258602142104E-2</v>
      </c>
      <c r="AK850" s="27">
        <v>187.03586074217</v>
      </c>
      <c r="AL850" s="11">
        <f t="shared" si="49"/>
        <v>0.33407945250541876</v>
      </c>
      <c r="AP850" s="65" t="s">
        <v>161</v>
      </c>
      <c r="AQ850" s="75">
        <v>187.03586074217</v>
      </c>
      <c r="AR850" s="75">
        <v>9.5499258602142104E-2</v>
      </c>
      <c r="BD850" s="21" t="s">
        <v>220</v>
      </c>
    </row>
    <row r="851" spans="2:56" x14ac:dyDescent="0.3">
      <c r="B851" s="11" t="s">
        <v>225</v>
      </c>
      <c r="C851" s="28" t="s">
        <v>226</v>
      </c>
      <c r="D851" s="28"/>
      <c r="E851" s="28"/>
      <c r="F851" s="41"/>
      <c r="G851" s="28"/>
      <c r="H851" s="37"/>
      <c r="I851" s="36" t="e">
        <f t="shared" si="48"/>
        <v>#DIV/0!</v>
      </c>
      <c r="J851" s="28"/>
      <c r="K851" s="28"/>
      <c r="L851" s="28"/>
      <c r="M851" s="4" t="e">
        <f t="shared" si="47"/>
        <v>#DIV/0!</v>
      </c>
      <c r="AJ851" s="27">
        <v>0.204173794466951</v>
      </c>
      <c r="AK851" s="27">
        <v>121.44780539641501</v>
      </c>
      <c r="AL851" s="11">
        <f t="shared" si="49"/>
        <v>0.30114755584213376</v>
      </c>
      <c r="AP851" s="65" t="s">
        <v>161</v>
      </c>
      <c r="AQ851" s="75">
        <v>121.44780539641501</v>
      </c>
      <c r="AR851" s="75">
        <v>0.204173794466951</v>
      </c>
      <c r="BD851" s="21" t="s">
        <v>220</v>
      </c>
    </row>
    <row r="852" spans="2:56" x14ac:dyDescent="0.3">
      <c r="B852" s="11" t="s">
        <v>225</v>
      </c>
      <c r="C852" s="28" t="s">
        <v>226</v>
      </c>
      <c r="D852" s="28"/>
      <c r="E852" s="28"/>
      <c r="F852" s="41"/>
      <c r="G852" s="28"/>
      <c r="H852" s="37"/>
      <c r="I852" s="36" t="e">
        <f t="shared" si="48"/>
        <v>#DIV/0!</v>
      </c>
      <c r="J852" s="28"/>
      <c r="K852" s="28"/>
      <c r="L852" s="28"/>
      <c r="M852" s="4" t="e">
        <f t="shared" si="47"/>
        <v>#DIV/0!</v>
      </c>
      <c r="AJ852" s="27">
        <v>0.660693448007589</v>
      </c>
      <c r="AK852" s="27">
        <v>102.25189408523801</v>
      </c>
      <c r="AL852" s="11">
        <f t="shared" si="49"/>
        <v>0.69078472079151443</v>
      </c>
      <c r="AP852" s="65" t="s">
        <v>161</v>
      </c>
      <c r="AQ852" s="75">
        <v>102.25189408523801</v>
      </c>
      <c r="AR852" s="75">
        <v>0.660693448007589</v>
      </c>
      <c r="BD852" s="21" t="s">
        <v>220</v>
      </c>
    </row>
    <row r="853" spans="2:56" x14ac:dyDescent="0.3">
      <c r="B853" s="11" t="s">
        <v>225</v>
      </c>
      <c r="C853" s="28" t="s">
        <v>226</v>
      </c>
      <c r="D853" s="28"/>
      <c r="E853" s="28"/>
      <c r="F853" s="41"/>
      <c r="G853" s="28"/>
      <c r="H853" s="37"/>
      <c r="I853" s="36" t="e">
        <f t="shared" si="48"/>
        <v>#DIV/0!</v>
      </c>
      <c r="J853" s="28"/>
      <c r="K853" s="28"/>
      <c r="L853" s="28"/>
      <c r="M853" s="4" t="e">
        <f t="shared" si="47"/>
        <v>#DIV/0!</v>
      </c>
      <c r="AJ853" s="27">
        <v>6.0255958607435103</v>
      </c>
      <c r="AK853" s="27">
        <v>62.295990275880797</v>
      </c>
      <c r="AL853" s="11">
        <f t="shared" si="49"/>
        <v>2.3384074597482929</v>
      </c>
      <c r="AP853" s="65" t="s">
        <v>161</v>
      </c>
      <c r="AQ853" s="75">
        <v>62.295990275880797</v>
      </c>
      <c r="AR853" s="75">
        <v>6.0255958607435103</v>
      </c>
      <c r="BD853" s="21" t="s">
        <v>220</v>
      </c>
    </row>
    <row r="854" spans="2:56" x14ac:dyDescent="0.3">
      <c r="B854" s="11" t="s">
        <v>225</v>
      </c>
      <c r="C854" s="28" t="s">
        <v>226</v>
      </c>
      <c r="D854" s="28"/>
      <c r="E854" s="28"/>
      <c r="F854" s="41"/>
      <c r="G854" s="28"/>
      <c r="H854" s="37"/>
      <c r="I854" s="36" t="e">
        <f t="shared" si="48"/>
        <v>#DIV/0!</v>
      </c>
      <c r="J854" s="28"/>
      <c r="K854" s="28"/>
      <c r="L854" s="28"/>
      <c r="M854" s="4" t="e">
        <f t="shared" si="47"/>
        <v>#DIV/0!</v>
      </c>
      <c r="AJ854" s="27">
        <v>29.512092266663899</v>
      </c>
      <c r="AK854" s="27">
        <v>54.7850385815997</v>
      </c>
      <c r="AL854" s="11">
        <f t="shared" si="49"/>
        <v>8.8577607080062766</v>
      </c>
      <c r="AP854" s="65" t="s">
        <v>161</v>
      </c>
      <c r="AQ854" s="75">
        <v>54.7850385815997</v>
      </c>
      <c r="AR854" s="75">
        <v>29.512092266663899</v>
      </c>
      <c r="BD854" s="21" t="s">
        <v>220</v>
      </c>
    </row>
    <row r="855" spans="2:56" x14ac:dyDescent="0.3">
      <c r="B855" s="11" t="s">
        <v>225</v>
      </c>
      <c r="C855" s="28" t="s">
        <v>226</v>
      </c>
      <c r="D855" s="28"/>
      <c r="E855" s="28"/>
      <c r="F855" s="41"/>
      <c r="G855" s="28"/>
      <c r="H855" s="37"/>
      <c r="I855" s="36" t="e">
        <f t="shared" si="48"/>
        <v>#DIV/0!</v>
      </c>
      <c r="J855" s="28"/>
      <c r="K855" s="28"/>
      <c r="L855" s="28"/>
      <c r="M855" s="4" t="e">
        <f t="shared" si="47"/>
        <v>#DIV/0!</v>
      </c>
      <c r="AJ855" s="27">
        <v>575.43993733715297</v>
      </c>
      <c r="AK855" s="27">
        <v>17.085555675781901</v>
      </c>
      <c r="AL855" s="11">
        <f t="shared" si="49"/>
        <v>16.79802471726989</v>
      </c>
      <c r="AP855" s="65" t="s">
        <v>161</v>
      </c>
      <c r="AQ855" s="75">
        <v>17.085555675781901</v>
      </c>
      <c r="AR855" s="75">
        <v>575.43993733715297</v>
      </c>
      <c r="BD855" s="21" t="s">
        <v>220</v>
      </c>
    </row>
    <row r="856" spans="2:56" x14ac:dyDescent="0.3">
      <c r="B856" s="11" t="s">
        <v>227</v>
      </c>
      <c r="C856" s="28" t="s">
        <v>228</v>
      </c>
      <c r="D856" s="28"/>
      <c r="E856" s="28"/>
      <c r="F856" s="41"/>
      <c r="G856" s="28"/>
      <c r="H856" s="37"/>
      <c r="I856" s="36" t="e">
        <f t="shared" si="48"/>
        <v>#DIV/0!</v>
      </c>
      <c r="J856" s="28"/>
      <c r="K856" s="28"/>
      <c r="L856" s="28"/>
      <c r="M856" s="4" t="e">
        <f t="shared" si="47"/>
        <v>#DIV/0!</v>
      </c>
      <c r="AJ856" s="25">
        <v>9.1201083935589793</v>
      </c>
      <c r="AK856" s="25">
        <v>161.34164436223099</v>
      </c>
      <c r="AL856" s="11">
        <f t="shared" si="49"/>
        <v>23.740669260065228</v>
      </c>
      <c r="AP856" s="65" t="s">
        <v>161</v>
      </c>
      <c r="AQ856" s="66">
        <v>161.34164436223099</v>
      </c>
      <c r="AR856" s="66">
        <v>9.1201083935589793</v>
      </c>
      <c r="BD856" s="21" t="s">
        <v>220</v>
      </c>
    </row>
    <row r="857" spans="2:56" x14ac:dyDescent="0.3">
      <c r="B857" s="11" t="s">
        <v>227</v>
      </c>
      <c r="C857" s="28" t="s">
        <v>228</v>
      </c>
      <c r="D857" s="28"/>
      <c r="E857" s="28"/>
      <c r="F857" s="41"/>
      <c r="G857" s="28"/>
      <c r="H857" s="37"/>
      <c r="I857" s="36" t="e">
        <f t="shared" si="48"/>
        <v>#DIV/0!</v>
      </c>
      <c r="J857" s="28"/>
      <c r="K857" s="28"/>
      <c r="L857" s="28"/>
      <c r="M857" s="4" t="e">
        <f t="shared" si="47"/>
        <v>#DIV/0!</v>
      </c>
      <c r="AJ857" s="25">
        <v>154.88166189124701</v>
      </c>
      <c r="AK857" s="25">
        <v>71.105207553566103</v>
      </c>
      <c r="AL857" s="11">
        <f t="shared" si="49"/>
        <v>78.307402226653721</v>
      </c>
      <c r="AP857" s="65" t="s">
        <v>161</v>
      </c>
      <c r="AQ857" s="66">
        <v>71.105207553566103</v>
      </c>
      <c r="AR857" s="66">
        <v>154.88166189124701</v>
      </c>
      <c r="BD857" s="21" t="s">
        <v>220</v>
      </c>
    </row>
    <row r="858" spans="2:56" x14ac:dyDescent="0.3">
      <c r="B858" s="11" t="s">
        <v>227</v>
      </c>
      <c r="C858" s="28" t="s">
        <v>228</v>
      </c>
      <c r="D858" s="28"/>
      <c r="E858" s="28"/>
      <c r="F858" s="41"/>
      <c r="G858" s="28"/>
      <c r="H858" s="37"/>
      <c r="I858" s="36" t="e">
        <f t="shared" si="48"/>
        <v>#DIV/0!</v>
      </c>
      <c r="J858" s="28"/>
      <c r="K858" s="28"/>
      <c r="L858" s="28"/>
      <c r="M858" s="4" t="e">
        <f t="shared" si="47"/>
        <v>#DIV/0!</v>
      </c>
      <c r="AJ858" s="25">
        <v>4897.7881936844597</v>
      </c>
      <c r="AK858" s="25">
        <v>30.025362742804099</v>
      </c>
      <c r="AL858" s="11">
        <f t="shared" si="49"/>
        <v>441.54658054458906</v>
      </c>
      <c r="AP858" s="65" t="s">
        <v>161</v>
      </c>
      <c r="AQ858" s="66">
        <v>30.025362742804099</v>
      </c>
      <c r="AR858" s="66">
        <v>4897.7881936844597</v>
      </c>
      <c r="BD858" s="21" t="s">
        <v>220</v>
      </c>
    </row>
    <row r="859" spans="2:56" x14ac:dyDescent="0.3">
      <c r="B859" s="11" t="s">
        <v>227</v>
      </c>
      <c r="C859" s="28" t="s">
        <v>228</v>
      </c>
      <c r="D859" s="28"/>
      <c r="E859" s="28"/>
      <c r="F859" s="41"/>
      <c r="G859" s="28"/>
      <c r="H859" s="37"/>
      <c r="I859" s="36" t="e">
        <f t="shared" si="48"/>
        <v>#DIV/0!</v>
      </c>
      <c r="J859" s="28"/>
      <c r="K859" s="28"/>
      <c r="L859" s="28"/>
      <c r="M859" s="4" t="e">
        <f t="shared" si="47"/>
        <v>#DIV/0!</v>
      </c>
      <c r="AJ859" s="25">
        <v>63095.734448019502</v>
      </c>
      <c r="AK859" s="25">
        <v>18.297609979138699</v>
      </c>
      <c r="AL859" s="11">
        <f t="shared" si="49"/>
        <v>2112.4611585262496</v>
      </c>
      <c r="AP859" s="65" t="s">
        <v>161</v>
      </c>
      <c r="AQ859" s="66">
        <v>18.297609979138699</v>
      </c>
      <c r="AR859" s="66">
        <v>63095.734448019502</v>
      </c>
      <c r="BD859" s="21" t="s">
        <v>220</v>
      </c>
    </row>
    <row r="860" spans="2:56" x14ac:dyDescent="0.3">
      <c r="B860" s="11" t="s">
        <v>227</v>
      </c>
      <c r="C860" s="28" t="s">
        <v>228</v>
      </c>
      <c r="D860" s="28"/>
      <c r="E860" s="28"/>
      <c r="F860" s="41"/>
      <c r="G860" s="28"/>
      <c r="H860" s="37"/>
      <c r="I860" s="36" t="e">
        <f t="shared" si="48"/>
        <v>#DIV/0!</v>
      </c>
      <c r="J860" s="28"/>
      <c r="K860" s="28"/>
      <c r="L860" s="28"/>
      <c r="M860" s="4" t="e">
        <f t="shared" si="47"/>
        <v>#DIV/0!</v>
      </c>
      <c r="AJ860" s="25">
        <v>234422.881531992</v>
      </c>
      <c r="AK860" s="25">
        <v>9.3704524971141208</v>
      </c>
      <c r="AL860" s="11">
        <f t="shared" si="49"/>
        <v>2058.3590193769132</v>
      </c>
      <c r="AP860" s="65" t="s">
        <v>161</v>
      </c>
      <c r="AQ860" s="66">
        <v>9.3704524971141208</v>
      </c>
      <c r="AR860" s="66">
        <v>234422.881531992</v>
      </c>
      <c r="BD860" s="21" t="s">
        <v>220</v>
      </c>
    </row>
    <row r="861" spans="2:56" x14ac:dyDescent="0.3">
      <c r="B861" s="11" t="s">
        <v>229</v>
      </c>
      <c r="C861" s="28" t="s">
        <v>230</v>
      </c>
      <c r="D861" s="28"/>
      <c r="E861" s="28"/>
      <c r="F861" s="41"/>
      <c r="G861" s="28"/>
      <c r="H861" s="37"/>
      <c r="I861" s="36" t="e">
        <f t="shared" si="48"/>
        <v>#DIV/0!</v>
      </c>
      <c r="J861" s="28"/>
      <c r="K861" s="28"/>
      <c r="L861" s="28"/>
      <c r="M861" s="4" t="e">
        <f t="shared" si="47"/>
        <v>#DIV/0!</v>
      </c>
      <c r="AJ861" s="33">
        <v>38.904514499427798</v>
      </c>
      <c r="AK861" s="33">
        <v>14.0348111355184</v>
      </c>
      <c r="AL861" s="11">
        <f t="shared" si="49"/>
        <v>0.76632526761106379</v>
      </c>
      <c r="AP861" s="65" t="s">
        <v>161</v>
      </c>
      <c r="AQ861" s="77">
        <v>14.0348111355184</v>
      </c>
      <c r="AR861" s="77">
        <v>38.904514499427798</v>
      </c>
      <c r="BD861" s="21" t="s">
        <v>220</v>
      </c>
    </row>
    <row r="862" spans="2:56" x14ac:dyDescent="0.3">
      <c r="B862" s="11" t="s">
        <v>229</v>
      </c>
      <c r="C862" s="28" t="s">
        <v>230</v>
      </c>
      <c r="D862" s="28"/>
      <c r="E862" s="28"/>
      <c r="F862" s="41"/>
      <c r="G862" s="28"/>
      <c r="H862" s="37"/>
      <c r="I862" s="36" t="e">
        <f t="shared" si="48"/>
        <v>#DIV/0!</v>
      </c>
      <c r="J862" s="28"/>
      <c r="K862" s="28"/>
      <c r="L862" s="28"/>
      <c r="M862" s="4" t="e">
        <f t="shared" si="47"/>
        <v>#DIV/0!</v>
      </c>
      <c r="AJ862" s="33">
        <v>218.776162394952</v>
      </c>
      <c r="AK862" s="33">
        <v>12.613774723659301</v>
      </c>
      <c r="AL862" s="11">
        <f t="shared" si="49"/>
        <v>3.4808887298812428</v>
      </c>
      <c r="AP862" s="65" t="s">
        <v>161</v>
      </c>
      <c r="AQ862" s="77">
        <v>12.613774723659301</v>
      </c>
      <c r="AR862" s="77">
        <v>218.776162394952</v>
      </c>
      <c r="BD862" s="21" t="s">
        <v>220</v>
      </c>
    </row>
    <row r="863" spans="2:56" x14ac:dyDescent="0.3">
      <c r="B863" s="11" t="s">
        <v>229</v>
      </c>
      <c r="C863" s="28" t="s">
        <v>230</v>
      </c>
      <c r="D863" s="28"/>
      <c r="E863" s="28"/>
      <c r="F863" s="41"/>
      <c r="G863" s="28"/>
      <c r="H863" s="37"/>
      <c r="I863" s="36" t="e">
        <f t="shared" si="48"/>
        <v>#DIV/0!</v>
      </c>
      <c r="J863" s="28"/>
      <c r="K863" s="28"/>
      <c r="L863" s="28"/>
      <c r="M863" s="4" t="e">
        <f t="shared" si="47"/>
        <v>#DIV/0!</v>
      </c>
      <c r="AJ863" s="33">
        <v>234.422881531993</v>
      </c>
      <c r="AK863" s="33">
        <v>13.1718836949183</v>
      </c>
      <c r="AL863" s="11">
        <f t="shared" si="49"/>
        <v>4.0672023016921131</v>
      </c>
      <c r="AP863" s="65" t="s">
        <v>161</v>
      </c>
      <c r="AQ863" s="77">
        <v>13.1718836949183</v>
      </c>
      <c r="AR863" s="77">
        <v>234.422881531993</v>
      </c>
      <c r="BD863" s="21" t="s">
        <v>220</v>
      </c>
    </row>
    <row r="864" spans="2:56" x14ac:dyDescent="0.3">
      <c r="B864" s="11" t="s">
        <v>229</v>
      </c>
      <c r="C864" s="28" t="s">
        <v>230</v>
      </c>
      <c r="D864" s="28"/>
      <c r="E864" s="28"/>
      <c r="F864" s="41"/>
      <c r="G864" s="28"/>
      <c r="H864" s="37"/>
      <c r="I864" s="36" t="e">
        <f t="shared" si="48"/>
        <v>#DIV/0!</v>
      </c>
      <c r="J864" s="28"/>
      <c r="K864" s="28"/>
      <c r="L864" s="28"/>
      <c r="M864" s="4" t="e">
        <f t="shared" ref="M864:M878" si="50">K864/L864</f>
        <v>#DIV/0!</v>
      </c>
      <c r="AJ864" s="33">
        <v>288.40315031265902</v>
      </c>
      <c r="AK864" s="33">
        <v>14.364052881030799</v>
      </c>
      <c r="AL864" s="11">
        <f t="shared" si="49"/>
        <v>5.9505072766211269</v>
      </c>
      <c r="AP864" s="65" t="s">
        <v>161</v>
      </c>
      <c r="AQ864" s="77">
        <v>14.364052881030799</v>
      </c>
      <c r="AR864" s="77">
        <v>288.40315031265902</v>
      </c>
      <c r="BD864" s="21" t="s">
        <v>220</v>
      </c>
    </row>
    <row r="865" spans="2:56" x14ac:dyDescent="0.3">
      <c r="B865" s="11" t="s">
        <v>231</v>
      </c>
      <c r="C865" s="28" t="s">
        <v>232</v>
      </c>
      <c r="D865" s="28"/>
      <c r="E865" s="28"/>
      <c r="F865" s="41"/>
      <c r="G865" s="28"/>
      <c r="H865" s="37"/>
      <c r="I865" s="36" t="e">
        <f t="shared" si="48"/>
        <v>#DIV/0!</v>
      </c>
      <c r="J865" s="28"/>
      <c r="K865" s="28"/>
      <c r="L865" s="28"/>
      <c r="M865" s="4" t="e">
        <f t="shared" si="50"/>
        <v>#DIV/0!</v>
      </c>
      <c r="AJ865" s="33">
        <v>269.15348039269003</v>
      </c>
      <c r="AK865" s="33">
        <v>24.1326844247283</v>
      </c>
      <c r="AL865" s="11">
        <f t="shared" si="49"/>
        <v>15.675134198140906</v>
      </c>
      <c r="AP865" s="65" t="s">
        <v>161</v>
      </c>
      <c r="AQ865" s="77">
        <v>24.1326844247283</v>
      </c>
      <c r="AR865" s="77">
        <v>269.15348039269003</v>
      </c>
      <c r="BD865" s="21" t="s">
        <v>220</v>
      </c>
    </row>
    <row r="866" spans="2:56" x14ac:dyDescent="0.3">
      <c r="B866" s="11" t="s">
        <v>231</v>
      </c>
      <c r="C866" s="28" t="s">
        <v>232</v>
      </c>
      <c r="D866" s="28"/>
      <c r="E866" s="28"/>
      <c r="F866" s="41"/>
      <c r="G866" s="28"/>
      <c r="H866" s="37"/>
      <c r="I866" s="36" t="e">
        <f t="shared" si="48"/>
        <v>#DIV/0!</v>
      </c>
      <c r="J866" s="28"/>
      <c r="K866" s="28"/>
      <c r="L866" s="28"/>
      <c r="M866" s="4" t="e">
        <f t="shared" si="50"/>
        <v>#DIV/0!</v>
      </c>
      <c r="AJ866" s="33">
        <v>380.18939632056299</v>
      </c>
      <c r="AK866" s="33">
        <v>22.623197692997199</v>
      </c>
      <c r="AL866" s="11">
        <f t="shared" si="49"/>
        <v>19.458438282086401</v>
      </c>
      <c r="AP866" s="65" t="s">
        <v>161</v>
      </c>
      <c r="AQ866" s="77">
        <v>22.623197692997199</v>
      </c>
      <c r="AR866" s="77">
        <v>380.18939632056299</v>
      </c>
      <c r="BD866" s="21" t="s">
        <v>220</v>
      </c>
    </row>
    <row r="867" spans="2:56" x14ac:dyDescent="0.3">
      <c r="B867" s="11" t="s">
        <v>231</v>
      </c>
      <c r="C867" s="28" t="s">
        <v>232</v>
      </c>
      <c r="D867" s="28"/>
      <c r="E867" s="28"/>
      <c r="F867" s="41"/>
      <c r="G867" s="28"/>
      <c r="H867" s="37"/>
      <c r="I867" s="36" t="e">
        <f t="shared" si="48"/>
        <v>#DIV/0!</v>
      </c>
      <c r="J867" s="28"/>
      <c r="K867" s="28"/>
      <c r="L867" s="28"/>
      <c r="M867" s="4" t="e">
        <f t="shared" si="50"/>
        <v>#DIV/0!</v>
      </c>
      <c r="AJ867" s="33">
        <v>467.735141287197</v>
      </c>
      <c r="AK867" s="33">
        <v>21.6693093914907</v>
      </c>
      <c r="AL867" s="11">
        <f t="shared" si="49"/>
        <v>21.962923094369284</v>
      </c>
      <c r="AP867" s="65" t="s">
        <v>161</v>
      </c>
      <c r="AQ867" s="77">
        <v>21.6693093914907</v>
      </c>
      <c r="AR867" s="77">
        <v>467.735141287197</v>
      </c>
      <c r="BD867" s="21" t="s">
        <v>220</v>
      </c>
    </row>
    <row r="868" spans="2:56" x14ac:dyDescent="0.3">
      <c r="B868" s="11" t="s">
        <v>231</v>
      </c>
      <c r="C868" s="28" t="s">
        <v>232</v>
      </c>
      <c r="D868" s="28"/>
      <c r="E868" s="28"/>
      <c r="F868" s="41"/>
      <c r="G868" s="28"/>
      <c r="H868" s="37"/>
      <c r="I868" s="36" t="e">
        <f t="shared" si="48"/>
        <v>#DIV/0!</v>
      </c>
      <c r="J868" s="28"/>
      <c r="K868" s="28"/>
      <c r="L868" s="28"/>
      <c r="M868" s="4" t="e">
        <f t="shared" si="50"/>
        <v>#DIV/0!</v>
      </c>
      <c r="AJ868" s="33">
        <v>812.83051616409398</v>
      </c>
      <c r="AK868" s="33">
        <v>17.463695496017699</v>
      </c>
      <c r="AL868" s="11">
        <f t="shared" si="49"/>
        <v>24.78975875948143</v>
      </c>
      <c r="AP868" s="65" t="s">
        <v>161</v>
      </c>
      <c r="AQ868" s="77">
        <v>17.463695496017699</v>
      </c>
      <c r="AR868" s="77">
        <v>812.83051616409398</v>
      </c>
      <c r="BD868" s="21" t="s">
        <v>220</v>
      </c>
    </row>
    <row r="869" spans="2:56" x14ac:dyDescent="0.3">
      <c r="B869" s="11" t="s">
        <v>231</v>
      </c>
      <c r="C869" s="28" t="s">
        <v>232</v>
      </c>
      <c r="D869" s="28"/>
      <c r="E869" s="28"/>
      <c r="F869" s="41"/>
      <c r="G869" s="28"/>
      <c r="H869" s="37"/>
      <c r="I869" s="36" t="e">
        <f t="shared" si="48"/>
        <v>#DIV/0!</v>
      </c>
      <c r="J869" s="28"/>
      <c r="K869" s="28"/>
      <c r="L869" s="28"/>
      <c r="M869" s="4" t="e">
        <f t="shared" si="50"/>
        <v>#DIV/0!</v>
      </c>
      <c r="AJ869" s="33">
        <v>933.25430079699402</v>
      </c>
      <c r="AK869" s="33">
        <v>15.340696234221401</v>
      </c>
      <c r="AL869" s="11">
        <f t="shared" si="49"/>
        <v>21.96292309436927</v>
      </c>
      <c r="AP869" s="65" t="s">
        <v>161</v>
      </c>
      <c r="AQ869" s="77">
        <v>15.340696234221401</v>
      </c>
      <c r="AR869" s="77">
        <v>933.25430079699402</v>
      </c>
      <c r="BD869" s="21" t="s">
        <v>220</v>
      </c>
    </row>
    <row r="870" spans="2:56" x14ac:dyDescent="0.3">
      <c r="B870" s="11" t="s">
        <v>234</v>
      </c>
      <c r="C870" s="28" t="s">
        <v>233</v>
      </c>
      <c r="D870" s="28"/>
      <c r="E870" s="28"/>
      <c r="F870" s="41"/>
      <c r="G870" s="28"/>
      <c r="H870" s="37"/>
      <c r="I870" s="36" t="e">
        <f t="shared" si="48"/>
        <v>#DIV/0!</v>
      </c>
      <c r="J870" s="28"/>
      <c r="K870" s="28"/>
      <c r="L870" s="28"/>
      <c r="M870" s="4" t="e">
        <f t="shared" si="50"/>
        <v>#DIV/0!</v>
      </c>
      <c r="AJ870" s="35">
        <v>1737.8008287493501</v>
      </c>
      <c r="AK870" s="35">
        <v>20.7735986680762</v>
      </c>
      <c r="AL870" s="11">
        <f t="shared" si="49"/>
        <v>74.993474317971319</v>
      </c>
      <c r="AP870" s="65" t="s">
        <v>161</v>
      </c>
      <c r="AQ870" s="80">
        <v>20.7735986680762</v>
      </c>
      <c r="AR870" s="80">
        <v>1737.8008287493501</v>
      </c>
      <c r="BD870" s="21" t="s">
        <v>220</v>
      </c>
    </row>
    <row r="871" spans="2:56" x14ac:dyDescent="0.3">
      <c r="B871" s="11" t="s">
        <v>234</v>
      </c>
      <c r="C871" s="28" t="s">
        <v>233</v>
      </c>
      <c r="D871" s="28"/>
      <c r="E871" s="28"/>
      <c r="F871" s="41"/>
      <c r="G871" s="28"/>
      <c r="H871" s="37"/>
      <c r="I871" s="36" t="e">
        <f t="shared" si="48"/>
        <v>#DIV/0!</v>
      </c>
      <c r="J871" s="28"/>
      <c r="K871" s="28"/>
      <c r="L871" s="28"/>
      <c r="M871" s="4" t="e">
        <f t="shared" si="50"/>
        <v>#DIV/0!</v>
      </c>
      <c r="AJ871" s="35">
        <v>1737.8008287493701</v>
      </c>
      <c r="AK871" s="35">
        <v>19.894470942824601</v>
      </c>
      <c r="AL871" s="11">
        <f t="shared" si="49"/>
        <v>68.780414499279573</v>
      </c>
      <c r="AP871" s="65" t="s">
        <v>161</v>
      </c>
      <c r="AQ871" s="80">
        <v>19.894470942824601</v>
      </c>
      <c r="AR871" s="80">
        <v>1737.8008287493701</v>
      </c>
      <c r="BD871" s="21" t="s">
        <v>220</v>
      </c>
    </row>
    <row r="872" spans="2:56" x14ac:dyDescent="0.3">
      <c r="B872" s="11" t="s">
        <v>234</v>
      </c>
      <c r="C872" s="28" t="s">
        <v>233</v>
      </c>
      <c r="D872" s="28"/>
      <c r="E872" s="28"/>
      <c r="F872" s="41"/>
      <c r="G872" s="28"/>
      <c r="H872" s="37"/>
      <c r="I872" s="36" t="e">
        <f t="shared" si="48"/>
        <v>#DIV/0!</v>
      </c>
      <c r="J872" s="28"/>
      <c r="K872" s="28"/>
      <c r="L872" s="28"/>
      <c r="M872" s="4" t="e">
        <f t="shared" si="50"/>
        <v>#DIV/0!</v>
      </c>
      <c r="AJ872" s="35">
        <v>1737.8008287493799</v>
      </c>
      <c r="AK872" s="35">
        <v>19.052547438644801</v>
      </c>
      <c r="AL872" s="11">
        <f t="shared" si="49"/>
        <v>63.082094298422987</v>
      </c>
      <c r="AP872" s="65" t="s">
        <v>161</v>
      </c>
      <c r="AQ872" s="80">
        <v>19.052547438644801</v>
      </c>
      <c r="AR872" s="80">
        <v>1737.8008287493799</v>
      </c>
      <c r="BD872" s="21" t="s">
        <v>220</v>
      </c>
    </row>
    <row r="873" spans="2:56" x14ac:dyDescent="0.3">
      <c r="B873" s="11" t="s">
        <v>234</v>
      </c>
      <c r="C873" s="28" t="s">
        <v>233</v>
      </c>
      <c r="D873" s="28"/>
      <c r="E873" s="28"/>
      <c r="F873" s="41"/>
      <c r="G873" s="28"/>
      <c r="H873" s="37"/>
      <c r="I873" s="36" t="e">
        <f t="shared" si="48"/>
        <v>#DIV/0!</v>
      </c>
      <c r="J873" s="28"/>
      <c r="K873" s="28"/>
      <c r="L873" s="28"/>
      <c r="M873" s="4" t="e">
        <f t="shared" si="50"/>
        <v>#DIV/0!</v>
      </c>
      <c r="AJ873" s="35">
        <v>1737.8008287493501</v>
      </c>
      <c r="AK873" s="35">
        <v>17.855994256290501</v>
      </c>
      <c r="AL873" s="11">
        <f t="shared" si="49"/>
        <v>55.407438760001234</v>
      </c>
      <c r="AP873" s="65" t="s">
        <v>161</v>
      </c>
      <c r="AQ873" s="80">
        <v>17.855994256290501</v>
      </c>
      <c r="AR873" s="80">
        <v>1737.8008287493501</v>
      </c>
      <c r="BD873" s="21" t="s">
        <v>220</v>
      </c>
    </row>
    <row r="874" spans="2:56" x14ac:dyDescent="0.3">
      <c r="B874" s="11" t="s">
        <v>234</v>
      </c>
      <c r="C874" s="28" t="s">
        <v>233</v>
      </c>
      <c r="D874" s="28"/>
      <c r="E874" s="28"/>
      <c r="F874" s="41"/>
      <c r="G874" s="28"/>
      <c r="H874" s="37"/>
      <c r="I874" s="36" t="e">
        <f t="shared" si="48"/>
        <v>#DIV/0!</v>
      </c>
      <c r="J874" s="28"/>
      <c r="K874" s="28"/>
      <c r="L874" s="28"/>
      <c r="M874" s="4" t="e">
        <f t="shared" si="50"/>
        <v>#DIV/0!</v>
      </c>
      <c r="AJ874" s="35">
        <v>1995.26231496888</v>
      </c>
      <c r="AK874" s="35">
        <v>16.736397105125501</v>
      </c>
      <c r="AL874" s="11">
        <f t="shared" si="49"/>
        <v>55.888691743646035</v>
      </c>
      <c r="AP874" s="65" t="s">
        <v>161</v>
      </c>
      <c r="AQ874" s="80">
        <v>16.736397105125501</v>
      </c>
      <c r="AR874" s="80">
        <v>1995.26231496888</v>
      </c>
      <c r="BD874" s="21" t="s">
        <v>220</v>
      </c>
    </row>
    <row r="875" spans="2:56" x14ac:dyDescent="0.3">
      <c r="B875" s="11" t="s">
        <v>235</v>
      </c>
      <c r="C875" s="28" t="s">
        <v>236</v>
      </c>
      <c r="D875" s="28"/>
      <c r="E875" s="28"/>
      <c r="F875" s="41"/>
      <c r="G875" s="28"/>
      <c r="H875" s="37"/>
      <c r="I875" s="36" t="e">
        <f t="shared" si="48"/>
        <v>#DIV/0!</v>
      </c>
      <c r="J875" s="28"/>
      <c r="K875" s="28"/>
      <c r="L875" s="28"/>
      <c r="M875" s="4" t="e">
        <f t="shared" si="50"/>
        <v>#DIV/0!</v>
      </c>
      <c r="AJ875" s="27">
        <v>870.96358995608102</v>
      </c>
      <c r="AK875" s="27">
        <v>17.091097552652499</v>
      </c>
      <c r="AL875" s="11">
        <f t="shared" si="49"/>
        <v>25.441335556949028</v>
      </c>
      <c r="AP875" s="65" t="s">
        <v>161</v>
      </c>
      <c r="AQ875" s="75">
        <v>17.091097552652499</v>
      </c>
      <c r="AR875" s="75">
        <v>870.96358995608102</v>
      </c>
      <c r="BD875" s="21" t="s">
        <v>220</v>
      </c>
    </row>
    <row r="876" spans="2:56" x14ac:dyDescent="0.3">
      <c r="B876" s="11" t="s">
        <v>235</v>
      </c>
      <c r="C876" s="28" t="s">
        <v>236</v>
      </c>
      <c r="D876" s="28"/>
      <c r="E876" s="28"/>
      <c r="F876" s="41"/>
      <c r="G876" s="28"/>
      <c r="H876" s="37"/>
      <c r="I876" s="36" t="e">
        <f t="shared" si="48"/>
        <v>#DIV/0!</v>
      </c>
      <c r="J876" s="28"/>
      <c r="K876" s="28"/>
      <c r="L876" s="28"/>
      <c r="M876" s="4" t="e">
        <f t="shared" si="50"/>
        <v>#DIV/0!</v>
      </c>
      <c r="AJ876" s="27">
        <v>933.25430079700197</v>
      </c>
      <c r="AK876" s="27">
        <v>16.368696055184799</v>
      </c>
      <c r="AL876" s="11">
        <f t="shared" si="49"/>
        <v>25.005075432365814</v>
      </c>
      <c r="AP876" s="65" t="s">
        <v>161</v>
      </c>
      <c r="AQ876" s="75">
        <v>16.368696055184799</v>
      </c>
      <c r="AR876" s="75">
        <v>933.25430079700197</v>
      </c>
      <c r="BD876" s="21" t="s">
        <v>220</v>
      </c>
    </row>
    <row r="877" spans="2:56" x14ac:dyDescent="0.3">
      <c r="B877" s="11" t="s">
        <v>235</v>
      </c>
      <c r="C877" s="28" t="s">
        <v>236</v>
      </c>
      <c r="D877" s="28"/>
      <c r="E877" s="28"/>
      <c r="F877" s="41"/>
      <c r="G877" s="28"/>
      <c r="H877" s="37"/>
      <c r="I877" s="36" t="e">
        <f t="shared" si="48"/>
        <v>#DIV/0!</v>
      </c>
      <c r="J877" s="28"/>
      <c r="K877" s="28"/>
      <c r="L877" s="28"/>
      <c r="M877" s="4" t="e">
        <f t="shared" si="50"/>
        <v>#DIV/0!</v>
      </c>
      <c r="AJ877" s="27">
        <v>1148.1536214968601</v>
      </c>
      <c r="AK877" s="27">
        <v>16.021192390628698</v>
      </c>
      <c r="AL877" s="11">
        <f t="shared" si="49"/>
        <v>29.470647060054155</v>
      </c>
      <c r="AP877" s="65" t="s">
        <v>161</v>
      </c>
      <c r="AQ877" s="75">
        <v>16.021192390628698</v>
      </c>
      <c r="AR877" s="75">
        <v>1148.1536214968601</v>
      </c>
      <c r="BD877" s="21" t="s">
        <v>220</v>
      </c>
    </row>
    <row r="878" spans="2:56" x14ac:dyDescent="0.3">
      <c r="B878" s="11" t="s">
        <v>235</v>
      </c>
      <c r="C878" s="28" t="s">
        <v>236</v>
      </c>
      <c r="D878" s="28"/>
      <c r="E878" s="28"/>
      <c r="F878" s="41"/>
      <c r="G878" s="28"/>
      <c r="H878" s="37"/>
      <c r="I878" s="36" t="e">
        <f t="shared" si="48"/>
        <v>#DIV/0!</v>
      </c>
      <c r="J878" s="28"/>
      <c r="K878" s="28"/>
      <c r="L878" s="28"/>
      <c r="M878" s="4" t="e">
        <f t="shared" si="50"/>
        <v>#DIV/0!</v>
      </c>
      <c r="AJ878" s="27">
        <v>1621.8100973589001</v>
      </c>
      <c r="AK878" s="27">
        <v>15.019075223945601</v>
      </c>
      <c r="AL878" s="11">
        <f t="shared" si="49"/>
        <v>36.583595374846588</v>
      </c>
      <c r="AP878" s="65" t="s">
        <v>161</v>
      </c>
      <c r="AQ878" s="75">
        <v>15.019075223945601</v>
      </c>
      <c r="AR878" s="75">
        <v>1621.8100973589001</v>
      </c>
      <c r="BD878" s="21" t="s">
        <v>220</v>
      </c>
    </row>
  </sheetData>
  <phoneticPr fontId="2" type="noConversion"/>
  <hyperlinks>
    <hyperlink ref="BD42" r:id="rId1" xr:uid="{C863D2C6-9CCD-4085-8AB5-2F6195C57E81}"/>
    <hyperlink ref="BD43" r:id="rId2" xr:uid="{EE6A7DB9-297C-4942-A7BF-96CA046F373F}"/>
    <hyperlink ref="BD44" r:id="rId3" xr:uid="{9AEE9382-C5BF-4FEA-BD52-74690C2AD902}"/>
    <hyperlink ref="BD45" r:id="rId4" xr:uid="{F029C3A4-2DC6-4F1B-AC95-4901CB3FBFC0}"/>
    <hyperlink ref="BD57" r:id="rId5" xr:uid="{1DC2C241-3D8C-4236-8BE1-C89E804569C8}"/>
    <hyperlink ref="BD58" r:id="rId6" xr:uid="{83D2E700-5EA7-42BD-ABEF-9E31F4FFCCE7}"/>
    <hyperlink ref="BD59" r:id="rId7" xr:uid="{43799FBB-31D3-4A0B-9AC5-B077837C0334}"/>
    <hyperlink ref="BD60" r:id="rId8" xr:uid="{E7E48B7B-A733-42D9-8B0D-1A913378BD8A}"/>
    <hyperlink ref="BD61" r:id="rId9" xr:uid="{C4A2EC0F-37E7-448E-8B62-171784117C4D}"/>
    <hyperlink ref="BD62" r:id="rId10" xr:uid="{E7626280-9E21-4535-8D44-548C05CEF953}"/>
    <hyperlink ref="BD63" r:id="rId11" xr:uid="{9157C5D5-347C-4EA1-8260-7559A22DB11C}"/>
    <hyperlink ref="BD64" r:id="rId12" xr:uid="{F8B32EA3-4802-479B-AD49-4E83B2C3D4EB}"/>
    <hyperlink ref="BD65" r:id="rId13" xr:uid="{763FBB67-3FCF-48A3-A08C-5B613E25FA3E}"/>
    <hyperlink ref="BD66" r:id="rId14" xr:uid="{DF608049-219F-4A69-BD14-4304637FF5E0}"/>
    <hyperlink ref="BD67" r:id="rId15" xr:uid="{7E292FB0-20FE-461F-8B79-DEED07142E96}"/>
    <hyperlink ref="BD68" r:id="rId16" xr:uid="{19793B9B-99BF-4B6C-8EEB-2F0F9AFA6FA9}"/>
    <hyperlink ref="BD4" r:id="rId17" xr:uid="{8FF1BDAC-143E-4EC1-A5F9-EF7D92797AEA}"/>
    <hyperlink ref="BD5" r:id="rId18" xr:uid="{428EF52D-8237-4147-8B76-E92DEE5A9983}"/>
    <hyperlink ref="BD6" r:id="rId19" xr:uid="{366F4C18-CACF-4A0F-8075-B8467ACE3FAF}"/>
    <hyperlink ref="BD7" r:id="rId20" xr:uid="{A5C9BACC-A2A4-4958-858E-9EDB1F2820AA}"/>
    <hyperlink ref="BD8" r:id="rId21" xr:uid="{035ECA5F-DB0A-4F37-B31A-E59CAD7B3A7A}"/>
    <hyperlink ref="BD9" r:id="rId22" xr:uid="{66B2F939-91D2-4463-8E7D-0EE37179E3F0}"/>
    <hyperlink ref="BD19" r:id="rId23" xr:uid="{D7892D79-2F49-4136-981C-2C89B3E4BD5E}"/>
    <hyperlink ref="BD20" r:id="rId24" xr:uid="{B3AB960F-C62D-47AD-A112-A0053B71594F}"/>
    <hyperlink ref="BD21" r:id="rId25" xr:uid="{F35D28F8-C5A6-4065-BE36-03089BAC2AE3}"/>
    <hyperlink ref="BD22" r:id="rId26" xr:uid="{7FD7D575-5F68-4A09-8569-5445E763C443}"/>
    <hyperlink ref="BD23" r:id="rId27" xr:uid="{E7853390-0543-48D4-B141-A5A107AA7494}"/>
    <hyperlink ref="BD24" r:id="rId28" xr:uid="{DBFFA773-5E54-437B-B3D0-AEB962E0DE96}"/>
    <hyperlink ref="BD25" r:id="rId29" xr:uid="{A78E3892-1A4E-4990-BDBB-A07BBA6AA0D7}"/>
    <hyperlink ref="BD26" r:id="rId30" xr:uid="{D2A86B02-D071-4B30-BDD0-D807C665231C}"/>
    <hyperlink ref="BD27" r:id="rId31" xr:uid="{AB2A0208-C725-4171-B6B9-F5F5565D506E}"/>
    <hyperlink ref="BD37" r:id="rId32" xr:uid="{E538DDED-9F80-4AD8-9CB1-A836B97B6187}"/>
    <hyperlink ref="BD38" r:id="rId33" xr:uid="{2FF67EC4-02AF-4A98-BACC-9A55772EDABF}"/>
    <hyperlink ref="BD39" r:id="rId34" xr:uid="{295216C9-92FC-4CDF-9720-28B9C0D1824C}"/>
    <hyperlink ref="BD40" r:id="rId35" xr:uid="{72B251E4-D6E8-4467-A22C-75E63673DA8D}"/>
    <hyperlink ref="BD41" r:id="rId36" xr:uid="{F82CDD13-BA71-4B32-A7D7-9EF355BAB49B}"/>
    <hyperlink ref="BD55" r:id="rId37" xr:uid="{33419597-DFFD-4147-A3DD-7A8BFF676D5C}"/>
    <hyperlink ref="BD56" r:id="rId38" xr:uid="{509325BF-7E47-4110-B417-CD42AD7391A9}"/>
    <hyperlink ref="BD69:BD266" r:id="rId39" display="https://doi.org/10.1038/s41467-019-10567-5" xr:uid="{D37AC137-08CD-4BFB-8678-D67DF9CDF809}"/>
    <hyperlink ref="BD267" r:id="rId40" xr:uid="{8DA1C040-2601-4432-B0D4-AC51B382640D}"/>
    <hyperlink ref="BD268:BD299" r:id="rId41" display="https://doi.org/10.1002/aenm.201401072" xr:uid="{85B0E1F0-CA35-4A3E-B83D-4AB3B32EFE36}"/>
    <hyperlink ref="BD300" r:id="rId42" xr:uid="{B2F00610-1BDB-4381-AD78-21D1AF2324C9}"/>
    <hyperlink ref="BD301:BD474" r:id="rId43" display="https://doi.org/10.1038/natrevmats.2016.50" xr:uid="{34043878-0BAF-4417-8D29-64EB4C7DCA95}"/>
    <hyperlink ref="BD475:BD537" r:id="rId44" display="https://doi.org/10.1038/natrevmats.2016.50" xr:uid="{8A183873-12F3-41CA-B4FD-91546A718A44}"/>
    <hyperlink ref="BD538" r:id="rId45" xr:uid="{DB82C066-0FEB-4CA0-8D2A-B7C0311AB25B}"/>
    <hyperlink ref="BD539:BD554" r:id="rId46" display="https://doi.org/10.1038/NMAT4784" xr:uid="{9F97F1F9-B8D5-4172-933F-629BC9F81885}"/>
    <hyperlink ref="BD555:BD560" r:id="rId47" display="https://doi.org/10.1038/NMAT4784" xr:uid="{29E80FB2-5DE1-49A5-AD2D-2F6C60FF8155}"/>
    <hyperlink ref="BD561:BD573" r:id="rId48" display="https://doi.org/10.1038/NMAT4784" xr:uid="{78BE9EF6-115E-4FC9-B570-1D717B513D7B}"/>
    <hyperlink ref="BD574:BD795" r:id="rId49" display="https://doi.org/10.1038/NMAT4784" xr:uid="{1612B2E8-6182-427A-BCDB-EA9AE1DCBD14}"/>
    <hyperlink ref="BD796" r:id="rId50" xr:uid="{23459E4A-8640-470F-B608-845D9628A76C}"/>
    <hyperlink ref="BD797:BD816" r:id="rId51" display="https://doi.org/10.1142/9789813148611_0008" xr:uid="{80338273-8525-4216-8A53-59C95A035C7F}"/>
    <hyperlink ref="BD817" r:id="rId52" xr:uid="{0D28A097-8DEB-40A3-8524-7CA0D5C5308F}"/>
    <hyperlink ref="BD818" r:id="rId53" xr:uid="{5F2627E1-97F1-4041-9DEC-C1A3F64DF02F}"/>
    <hyperlink ref="BD819:BD824" r:id="rId54" display="https://doi.org/10.1038/s41598-020-64951-z" xr:uid="{14D8E401-0845-4DD4-90BE-A3E961246DBF}"/>
    <hyperlink ref="BD3" r:id="rId55" xr:uid="{A22FACFB-624A-4023-80F1-D7B94C934B6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829224-9E86-4F64-B12F-AE67118B7A78}">
  <dimension ref="A1:BF8"/>
  <sheetViews>
    <sheetView tabSelected="1" topLeftCell="AL1" zoomScale="93" workbookViewId="0">
      <selection activeCell="BB7" sqref="BB7"/>
    </sheetView>
  </sheetViews>
  <sheetFormatPr defaultRowHeight="14.4" x14ac:dyDescent="0.3"/>
  <cols>
    <col min="2" max="2" width="8.88671875" customWidth="1"/>
    <col min="58" max="58" width="206.6640625" customWidth="1"/>
  </cols>
  <sheetData>
    <row r="1" spans="1:58" x14ac:dyDescent="0.3">
      <c r="B1" s="97" t="s">
        <v>454</v>
      </c>
      <c r="C1" s="97"/>
      <c r="D1" s="97"/>
      <c r="E1" s="97"/>
      <c r="F1" s="97"/>
      <c r="G1" s="97"/>
      <c r="H1" s="97"/>
      <c r="I1" s="97"/>
      <c r="J1" s="97"/>
      <c r="K1" s="97"/>
      <c r="L1" s="97"/>
      <c r="M1" s="97"/>
      <c r="N1" s="97"/>
    </row>
    <row r="2" spans="1:58" ht="72.599999999999994" customHeight="1" x14ac:dyDescent="0.3">
      <c r="A2" s="95" t="s">
        <v>446</v>
      </c>
      <c r="B2" s="95"/>
      <c r="C2" s="95"/>
      <c r="D2" s="95"/>
      <c r="E2" s="95"/>
      <c r="F2" s="95"/>
      <c r="G2" s="95"/>
      <c r="H2" s="95"/>
      <c r="I2" s="95"/>
      <c r="J2" s="92" t="s">
        <v>448</v>
      </c>
      <c r="K2" s="92"/>
      <c r="L2" s="92"/>
      <c r="M2" s="92"/>
      <c r="N2" s="92"/>
      <c r="O2" s="92"/>
      <c r="P2" s="92"/>
      <c r="Q2" s="92"/>
      <c r="R2" s="92" t="s">
        <v>447</v>
      </c>
      <c r="S2" s="96"/>
      <c r="T2" s="96"/>
      <c r="U2" s="96"/>
      <c r="V2" s="96"/>
      <c r="W2" s="96"/>
      <c r="X2" s="96"/>
      <c r="Y2" s="96"/>
      <c r="Z2" s="92" t="s">
        <v>449</v>
      </c>
      <c r="AA2" s="96"/>
      <c r="AB2" s="96"/>
      <c r="AC2" s="96"/>
      <c r="AD2" s="96"/>
      <c r="AE2" s="96"/>
      <c r="AF2" s="96"/>
      <c r="AG2" s="96"/>
      <c r="AH2" s="92" t="s">
        <v>450</v>
      </c>
      <c r="AI2" s="96"/>
      <c r="AJ2" s="96"/>
      <c r="AK2" s="96"/>
      <c r="AL2" s="96"/>
      <c r="AM2" s="96"/>
      <c r="AN2" s="96"/>
      <c r="AO2" s="96"/>
      <c r="AP2" s="92" t="s">
        <v>451</v>
      </c>
      <c r="AQ2" s="92"/>
      <c r="AR2" s="92"/>
      <c r="AS2" s="92"/>
      <c r="AT2" s="92"/>
      <c r="AU2" s="92"/>
      <c r="AV2" s="92"/>
      <c r="AW2" s="92"/>
    </row>
    <row r="3" spans="1:58" ht="15" thickBot="1" x14ac:dyDescent="0.35">
      <c r="J3" s="93" t="s">
        <v>435</v>
      </c>
      <c r="K3" s="93"/>
      <c r="L3" s="93"/>
      <c r="M3" s="93"/>
      <c r="N3" s="93"/>
      <c r="O3" s="93"/>
      <c r="P3" s="93"/>
      <c r="Q3" s="93"/>
      <c r="R3" s="94" t="s">
        <v>436</v>
      </c>
      <c r="S3" s="94"/>
      <c r="T3" s="94"/>
      <c r="U3" s="94"/>
      <c r="V3" s="94"/>
      <c r="W3" s="94"/>
      <c r="X3" s="94"/>
      <c r="Y3" s="94"/>
      <c r="Z3" s="94" t="s">
        <v>437</v>
      </c>
      <c r="AA3" s="94"/>
      <c r="AB3" s="94"/>
      <c r="AC3" s="94"/>
      <c r="AD3" s="94"/>
      <c r="AE3" s="94"/>
      <c r="AF3" s="94"/>
      <c r="AG3" s="94"/>
      <c r="AH3" s="94" t="s">
        <v>438</v>
      </c>
      <c r="AI3" s="94"/>
      <c r="AJ3" s="94"/>
      <c r="AK3" s="94"/>
      <c r="AL3" s="94"/>
      <c r="AM3" s="94"/>
      <c r="AN3" s="94"/>
      <c r="AO3" s="94"/>
      <c r="AP3" s="94" t="s">
        <v>439</v>
      </c>
      <c r="AQ3" s="94"/>
      <c r="AR3" s="94"/>
      <c r="AS3" s="94"/>
      <c r="AT3" s="94"/>
      <c r="AU3" s="94"/>
      <c r="AV3" s="94"/>
      <c r="AW3" s="94"/>
      <c r="BF3" s="1" t="s">
        <v>440</v>
      </c>
    </row>
    <row r="4" spans="1:58" ht="15" thickBot="1" x14ac:dyDescent="0.35">
      <c r="BF4" s="88" t="s">
        <v>441</v>
      </c>
    </row>
    <row r="5" spans="1:58" ht="15" thickBot="1" x14ac:dyDescent="0.35">
      <c r="BF5" s="88" t="s">
        <v>442</v>
      </c>
    </row>
    <row r="6" spans="1:58" ht="15" thickBot="1" x14ac:dyDescent="0.35">
      <c r="BF6" s="88" t="s">
        <v>443</v>
      </c>
    </row>
    <row r="7" spans="1:58" x14ac:dyDescent="0.3">
      <c r="BF7" s="89" t="s">
        <v>444</v>
      </c>
    </row>
    <row r="8" spans="1:58" x14ac:dyDescent="0.3">
      <c r="BF8" t="s">
        <v>445</v>
      </c>
    </row>
  </sheetData>
  <mergeCells count="12">
    <mergeCell ref="B1:N1"/>
    <mergeCell ref="A2:I2"/>
    <mergeCell ref="J2:Q2"/>
    <mergeCell ref="R2:Y2"/>
    <mergeCell ref="Z2:AG2"/>
    <mergeCell ref="AH2:AO2"/>
    <mergeCell ref="AP2:AW2"/>
    <mergeCell ref="J3:Q3"/>
    <mergeCell ref="R3:Y3"/>
    <mergeCell ref="Z3:AG3"/>
    <mergeCell ref="AH3:AO3"/>
    <mergeCell ref="AP3:AW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5DAF7-7FFB-4E04-A93C-59B4657011D4}">
  <dimension ref="A1"/>
  <sheetViews>
    <sheetView workbookViewId="0"/>
  </sheetViews>
  <sheetFormatPr defaultRowHeight="14.4" x14ac:dyDescent="0.3"/>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A411-1992-401E-92CC-3364D3F87F94}">
  <dimension ref="A1"/>
  <sheetViews>
    <sheetView workbookViewId="0">
      <selection activeCell="E23" sqref="E23"/>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EFDDD-AB09-493C-9439-4FBB7F31B7E9}">
  <dimension ref="A1:J63"/>
  <sheetViews>
    <sheetView topLeftCell="A3" zoomScale="108" zoomScaleNormal="100" workbookViewId="0">
      <selection activeCell="F53" sqref="F53"/>
    </sheetView>
  </sheetViews>
  <sheetFormatPr defaultRowHeight="14.4" x14ac:dyDescent="0.3"/>
  <cols>
    <col min="1" max="1" width="29.33203125" customWidth="1"/>
    <col min="2" max="2" width="86.5546875" customWidth="1"/>
    <col min="3" max="3" width="86.5546875" hidden="1" customWidth="1"/>
    <col min="4" max="4" width="28.6640625" bestFit="1" customWidth="1"/>
    <col min="5" max="5" width="46" bestFit="1" customWidth="1"/>
    <col min="6" max="6" width="109.109375" customWidth="1"/>
    <col min="7" max="7" width="41.33203125" customWidth="1"/>
    <col min="9" max="9" width="10.21875" bestFit="1" customWidth="1"/>
    <col min="10" max="10" width="20.33203125" bestFit="1" customWidth="1"/>
  </cols>
  <sheetData>
    <row r="1" spans="1:10" s="54" customFormat="1" ht="28.8" x14ac:dyDescent="0.3">
      <c r="A1" s="45" t="s">
        <v>355</v>
      </c>
      <c r="B1" s="45" t="s">
        <v>261</v>
      </c>
      <c r="C1" s="45" t="s">
        <v>356</v>
      </c>
      <c r="D1" s="53" t="s">
        <v>297</v>
      </c>
      <c r="E1" s="53" t="s">
        <v>304</v>
      </c>
      <c r="F1" s="53" t="s">
        <v>359</v>
      </c>
      <c r="G1" s="45" t="s">
        <v>352</v>
      </c>
      <c r="I1" s="55" t="s">
        <v>349</v>
      </c>
      <c r="J1" s="56" t="s">
        <v>353</v>
      </c>
    </row>
    <row r="2" spans="1:10" x14ac:dyDescent="0.3">
      <c r="A2" s="51" t="s">
        <v>262</v>
      </c>
      <c r="B2" s="52" t="s">
        <v>263</v>
      </c>
      <c r="C2" s="52"/>
      <c r="D2" s="50"/>
      <c r="E2" s="49" t="s">
        <v>303</v>
      </c>
      <c r="F2" s="49"/>
      <c r="G2" s="46"/>
      <c r="I2" s="46" t="s">
        <v>350</v>
      </c>
      <c r="J2" s="46" t="s">
        <v>351</v>
      </c>
    </row>
    <row r="3" spans="1:10" x14ac:dyDescent="0.3">
      <c r="A3" s="51" t="s">
        <v>264</v>
      </c>
      <c r="B3" s="52" t="s">
        <v>265</v>
      </c>
      <c r="C3" s="52"/>
      <c r="D3" s="50"/>
      <c r="E3" s="49" t="s">
        <v>302</v>
      </c>
      <c r="F3" s="49"/>
      <c r="G3" s="46"/>
    </row>
    <row r="4" spans="1:10" x14ac:dyDescent="0.3">
      <c r="A4" s="51" t="s">
        <v>36</v>
      </c>
      <c r="B4" s="52" t="s">
        <v>266</v>
      </c>
      <c r="C4" s="52"/>
      <c r="D4" s="50"/>
      <c r="E4" s="49" t="s">
        <v>302</v>
      </c>
      <c r="F4" s="49"/>
      <c r="G4" s="46"/>
    </row>
    <row r="5" spans="1:10" x14ac:dyDescent="0.3">
      <c r="A5" s="47" t="s">
        <v>45</v>
      </c>
      <c r="B5" s="48" t="s">
        <v>267</v>
      </c>
      <c r="C5" s="48"/>
      <c r="D5" s="50"/>
      <c r="E5" s="49" t="s">
        <v>302</v>
      </c>
      <c r="F5" s="49"/>
      <c r="G5" s="46"/>
    </row>
    <row r="6" spans="1:10" x14ac:dyDescent="0.3">
      <c r="A6" s="57" t="s">
        <v>358</v>
      </c>
      <c r="B6" s="48" t="s">
        <v>268</v>
      </c>
      <c r="C6" s="48"/>
      <c r="D6" s="50"/>
      <c r="E6" s="49" t="s">
        <v>302</v>
      </c>
      <c r="F6" s="49"/>
      <c r="G6" s="46"/>
    </row>
    <row r="7" spans="1:10" x14ac:dyDescent="0.3">
      <c r="A7" s="47" t="s">
        <v>269</v>
      </c>
      <c r="B7" s="48" t="s">
        <v>270</v>
      </c>
      <c r="C7" s="48"/>
      <c r="D7" s="50"/>
      <c r="E7" s="49" t="s">
        <v>302</v>
      </c>
      <c r="F7" s="49"/>
      <c r="G7" s="46"/>
    </row>
    <row r="8" spans="1:10" x14ac:dyDescent="0.3">
      <c r="A8" s="47" t="s">
        <v>271</v>
      </c>
      <c r="B8" s="48" t="s">
        <v>272</v>
      </c>
      <c r="C8" s="48"/>
      <c r="D8" s="50"/>
      <c r="E8" s="49" t="s">
        <v>302</v>
      </c>
      <c r="F8" s="49"/>
      <c r="G8" s="46"/>
    </row>
    <row r="9" spans="1:10" x14ac:dyDescent="0.3">
      <c r="A9" s="51" t="s">
        <v>273</v>
      </c>
      <c r="B9" s="52" t="s">
        <v>274</v>
      </c>
      <c r="C9" s="52"/>
      <c r="D9" s="50"/>
      <c r="E9" s="49" t="s">
        <v>302</v>
      </c>
      <c r="F9" s="49"/>
      <c r="G9" s="46"/>
    </row>
    <row r="10" spans="1:10" x14ac:dyDescent="0.3">
      <c r="A10" s="47" t="s">
        <v>275</v>
      </c>
      <c r="B10" s="48" t="s">
        <v>276</v>
      </c>
      <c r="C10" s="48"/>
      <c r="D10" s="50"/>
      <c r="E10" s="49" t="s">
        <v>302</v>
      </c>
      <c r="F10" s="49"/>
      <c r="G10" s="46"/>
    </row>
    <row r="11" spans="1:10" x14ac:dyDescent="0.3">
      <c r="A11" s="47" t="s">
        <v>277</v>
      </c>
      <c r="B11" s="48" t="s">
        <v>278</v>
      </c>
      <c r="C11" s="48"/>
      <c r="D11" s="50"/>
      <c r="E11" s="49" t="s">
        <v>302</v>
      </c>
      <c r="F11" s="49"/>
      <c r="G11" s="46"/>
    </row>
    <row r="12" spans="1:10" x14ac:dyDescent="0.3">
      <c r="A12" s="47" t="s">
        <v>279</v>
      </c>
      <c r="B12" s="48" t="s">
        <v>280</v>
      </c>
      <c r="C12" s="48"/>
      <c r="D12" s="50"/>
      <c r="E12" s="49" t="s">
        <v>302</v>
      </c>
      <c r="F12" s="49"/>
      <c r="G12" s="46"/>
    </row>
    <row r="13" spans="1:10" x14ac:dyDescent="0.3">
      <c r="A13" s="47" t="s">
        <v>281</v>
      </c>
      <c r="B13" s="48" t="s">
        <v>282</v>
      </c>
      <c r="C13" s="48"/>
      <c r="D13" s="50"/>
      <c r="E13" s="49" t="s">
        <v>302</v>
      </c>
      <c r="F13" s="49"/>
      <c r="G13" s="46"/>
    </row>
    <row r="14" spans="1:10" x14ac:dyDescent="0.3">
      <c r="A14" s="47" t="s">
        <v>283</v>
      </c>
      <c r="B14" s="48" t="s">
        <v>284</v>
      </c>
      <c r="C14" s="48"/>
      <c r="D14" s="50"/>
      <c r="E14" s="49" t="s">
        <v>302</v>
      </c>
      <c r="F14" s="49"/>
      <c r="G14" s="46"/>
    </row>
    <row r="15" spans="1:10" x14ac:dyDescent="0.3">
      <c r="A15" s="51" t="s">
        <v>50</v>
      </c>
      <c r="B15" s="52" t="s">
        <v>285</v>
      </c>
      <c r="C15" s="52"/>
      <c r="D15" s="50"/>
      <c r="E15" s="49" t="s">
        <v>302</v>
      </c>
      <c r="F15" s="49"/>
      <c r="G15" s="46"/>
    </row>
    <row r="16" spans="1:10" x14ac:dyDescent="0.3">
      <c r="A16" s="47" t="s">
        <v>286</v>
      </c>
      <c r="B16" s="48" t="s">
        <v>287</v>
      </c>
      <c r="C16" s="48"/>
      <c r="D16" s="50"/>
      <c r="E16" s="49" t="s">
        <v>302</v>
      </c>
      <c r="F16" s="49"/>
      <c r="G16" s="46"/>
    </row>
    <row r="17" spans="1:7" x14ac:dyDescent="0.3">
      <c r="A17" s="47" t="s">
        <v>288</v>
      </c>
      <c r="B17" s="48" t="s">
        <v>289</v>
      </c>
      <c r="C17" s="48"/>
      <c r="D17" s="44"/>
      <c r="E17" s="49" t="s">
        <v>302</v>
      </c>
      <c r="F17" s="49"/>
      <c r="G17" s="46"/>
    </row>
    <row r="18" spans="1:7" x14ac:dyDescent="0.3">
      <c r="A18" s="47" t="s">
        <v>290</v>
      </c>
      <c r="B18" s="48" t="s">
        <v>291</v>
      </c>
      <c r="C18" s="48"/>
      <c r="D18" s="44"/>
      <c r="E18" s="49" t="s">
        <v>302</v>
      </c>
      <c r="F18" s="49"/>
      <c r="G18" s="46"/>
    </row>
    <row r="19" spans="1:7" x14ac:dyDescent="0.3">
      <c r="A19" s="47" t="s">
        <v>292</v>
      </c>
      <c r="B19" s="48" t="s">
        <v>293</v>
      </c>
      <c r="C19" s="48"/>
      <c r="D19" s="50"/>
      <c r="E19" s="49" t="s">
        <v>302</v>
      </c>
      <c r="F19" s="49"/>
      <c r="G19" s="46"/>
    </row>
    <row r="20" spans="1:7" x14ac:dyDescent="0.3">
      <c r="A20" s="47" t="s">
        <v>43</v>
      </c>
      <c r="B20" s="48" t="s">
        <v>294</v>
      </c>
      <c r="C20" s="48"/>
      <c r="D20" s="50"/>
      <c r="E20" s="49" t="s">
        <v>302</v>
      </c>
      <c r="F20" s="49"/>
      <c r="G20" s="46"/>
    </row>
    <row r="21" spans="1:7" x14ac:dyDescent="0.3">
      <c r="A21" s="47" t="s">
        <v>295</v>
      </c>
      <c r="B21" s="48" t="s">
        <v>296</v>
      </c>
      <c r="C21" s="48"/>
      <c r="D21" s="58"/>
      <c r="E21" s="49" t="s">
        <v>302</v>
      </c>
      <c r="F21" s="49"/>
      <c r="G21" s="46"/>
    </row>
    <row r="22" spans="1:7" ht="28.8" x14ac:dyDescent="0.3">
      <c r="A22" s="47" t="s">
        <v>298</v>
      </c>
      <c r="B22" s="48" t="s">
        <v>301</v>
      </c>
      <c r="C22" s="48"/>
      <c r="D22" s="50"/>
      <c r="E22" s="46"/>
      <c r="F22" s="46"/>
      <c r="G22" s="46"/>
    </row>
    <row r="23" spans="1:7" x14ac:dyDescent="0.3">
      <c r="A23" s="47" t="s">
        <v>299</v>
      </c>
      <c r="B23" s="48" t="s">
        <v>300</v>
      </c>
      <c r="C23" s="48"/>
      <c r="D23" s="50"/>
      <c r="E23" s="46"/>
      <c r="F23" s="46"/>
      <c r="G23" s="46"/>
    </row>
    <row r="24" spans="1:7" x14ac:dyDescent="0.3">
      <c r="A24" s="47" t="s">
        <v>58</v>
      </c>
      <c r="B24" s="48" t="s">
        <v>305</v>
      </c>
      <c r="C24" s="48"/>
      <c r="D24" s="50"/>
      <c r="E24" s="46"/>
      <c r="F24" s="46"/>
      <c r="G24" s="46"/>
    </row>
    <row r="25" spans="1:7" x14ac:dyDescent="0.3">
      <c r="A25" s="47" t="s">
        <v>67</v>
      </c>
      <c r="B25" s="48" t="s">
        <v>306</v>
      </c>
      <c r="C25" s="48"/>
      <c r="D25" s="50"/>
      <c r="E25" s="46"/>
      <c r="F25" s="46"/>
      <c r="G25" s="46"/>
    </row>
    <row r="26" spans="1:7" x14ac:dyDescent="0.3">
      <c r="A26" s="47" t="s">
        <v>1</v>
      </c>
      <c r="B26" s="48" t="s">
        <v>307</v>
      </c>
      <c r="C26" s="48"/>
      <c r="D26" s="50"/>
      <c r="E26" s="46"/>
      <c r="F26" s="46"/>
      <c r="G26" s="46"/>
    </row>
    <row r="27" spans="1:7" x14ac:dyDescent="0.3">
      <c r="A27" s="47" t="s">
        <v>240</v>
      </c>
      <c r="B27" s="48" t="s">
        <v>308</v>
      </c>
      <c r="C27" s="48"/>
      <c r="D27" s="50"/>
      <c r="E27" s="46"/>
      <c r="F27" s="46"/>
      <c r="G27" s="46"/>
    </row>
    <row r="28" spans="1:7" x14ac:dyDescent="0.3">
      <c r="A28" s="47" t="s">
        <v>260</v>
      </c>
      <c r="B28" s="48" t="s">
        <v>309</v>
      </c>
      <c r="C28" s="48"/>
      <c r="D28" s="50"/>
      <c r="E28" s="46"/>
      <c r="F28" s="46"/>
      <c r="G28" s="46"/>
    </row>
    <row r="29" spans="1:7" x14ac:dyDescent="0.3">
      <c r="A29" s="47" t="s">
        <v>249</v>
      </c>
      <c r="B29" s="48" t="s">
        <v>310</v>
      </c>
      <c r="C29" s="48"/>
      <c r="D29" s="50"/>
      <c r="E29" s="46"/>
      <c r="F29" s="46"/>
      <c r="G29" s="46"/>
    </row>
    <row r="30" spans="1:7" ht="28.8" x14ac:dyDescent="0.3">
      <c r="A30" s="47" t="s">
        <v>248</v>
      </c>
      <c r="B30" s="48" t="s">
        <v>311</v>
      </c>
      <c r="C30" s="48"/>
      <c r="D30" s="50"/>
      <c r="E30" s="46"/>
      <c r="F30" s="46"/>
      <c r="G30" s="46"/>
    </row>
    <row r="31" spans="1:7" ht="57.6" x14ac:dyDescent="0.3">
      <c r="A31" s="47" t="s">
        <v>312</v>
      </c>
      <c r="B31" s="48" t="s">
        <v>313</v>
      </c>
      <c r="C31" s="48"/>
      <c r="D31" s="50"/>
      <c r="E31" s="46"/>
      <c r="F31" s="46"/>
      <c r="G31" s="46"/>
    </row>
    <row r="32" spans="1:7" x14ac:dyDescent="0.3">
      <c r="A32" s="47" t="s">
        <v>244</v>
      </c>
      <c r="B32" s="48" t="s">
        <v>314</v>
      </c>
      <c r="C32" s="48"/>
      <c r="D32" s="50"/>
      <c r="E32" s="46"/>
      <c r="F32" s="46"/>
      <c r="G32" s="46"/>
    </row>
    <row r="33" spans="1:7" x14ac:dyDescent="0.3">
      <c r="A33" s="47" t="s">
        <v>315</v>
      </c>
      <c r="B33" s="48" t="s">
        <v>316</v>
      </c>
      <c r="C33" s="48"/>
      <c r="D33" s="50"/>
      <c r="E33" s="46"/>
      <c r="F33" s="46"/>
      <c r="G33" s="46"/>
    </row>
    <row r="34" spans="1:7" ht="28.8" x14ac:dyDescent="0.3">
      <c r="A34" s="47" t="s">
        <v>317</v>
      </c>
      <c r="B34" s="48" t="s">
        <v>318</v>
      </c>
      <c r="C34" s="48"/>
      <c r="D34" s="50"/>
      <c r="E34" s="46"/>
      <c r="F34" s="46"/>
      <c r="G34" s="46"/>
    </row>
    <row r="35" spans="1:7" x14ac:dyDescent="0.3">
      <c r="A35" s="47" t="s">
        <v>183</v>
      </c>
      <c r="B35" s="48" t="s">
        <v>319</v>
      </c>
      <c r="C35" s="48"/>
      <c r="D35" s="50"/>
      <c r="E35" s="46"/>
      <c r="F35" s="46"/>
      <c r="G35" s="46"/>
    </row>
    <row r="36" spans="1:7" ht="28.8" x14ac:dyDescent="0.3">
      <c r="A36" s="47" t="s">
        <v>239</v>
      </c>
      <c r="B36" s="48" t="s">
        <v>320</v>
      </c>
      <c r="C36" s="48"/>
      <c r="D36" s="50"/>
      <c r="E36" s="46"/>
      <c r="F36" s="46"/>
      <c r="G36" s="46"/>
    </row>
    <row r="37" spans="1:7" x14ac:dyDescent="0.3">
      <c r="A37" s="47" t="s">
        <v>191</v>
      </c>
      <c r="B37" s="48" t="s">
        <v>321</v>
      </c>
      <c r="C37" s="48"/>
      <c r="D37" s="50"/>
      <c r="E37" s="46"/>
      <c r="F37" s="46"/>
      <c r="G37" s="46"/>
    </row>
    <row r="38" spans="1:7" ht="57.6" x14ac:dyDescent="0.3">
      <c r="A38" s="47" t="s">
        <v>149</v>
      </c>
      <c r="B38" s="48" t="s">
        <v>322</v>
      </c>
      <c r="C38" s="48"/>
      <c r="D38" s="50"/>
      <c r="E38" s="46"/>
      <c r="F38" s="61" t="s">
        <v>388</v>
      </c>
      <c r="G38" s="46"/>
    </row>
    <row r="39" spans="1:7" x14ac:dyDescent="0.3">
      <c r="A39" s="47" t="s">
        <v>48</v>
      </c>
      <c r="B39" s="48" t="s">
        <v>323</v>
      </c>
      <c r="C39" s="48"/>
      <c r="D39" s="50"/>
      <c r="E39" s="46"/>
      <c r="F39" s="46"/>
      <c r="G39" s="46"/>
    </row>
    <row r="40" spans="1:7" x14ac:dyDescent="0.3">
      <c r="A40" s="47" t="s">
        <v>60</v>
      </c>
      <c r="B40" s="48" t="s">
        <v>324</v>
      </c>
      <c r="C40" s="48"/>
      <c r="D40" s="50"/>
      <c r="E40" s="46"/>
      <c r="F40" s="46"/>
      <c r="G40" s="46"/>
    </row>
    <row r="41" spans="1:7" ht="57.6" x14ac:dyDescent="0.3">
      <c r="A41" s="47" t="s">
        <v>150</v>
      </c>
      <c r="B41" s="48" t="s">
        <v>325</v>
      </c>
      <c r="C41" s="48"/>
      <c r="D41" s="50"/>
      <c r="E41" s="46"/>
      <c r="F41" s="61" t="s">
        <v>389</v>
      </c>
      <c r="G41" s="46"/>
    </row>
    <row r="42" spans="1:7" x14ac:dyDescent="0.3">
      <c r="A42" s="47" t="s">
        <v>47</v>
      </c>
      <c r="B42" s="48" t="s">
        <v>326</v>
      </c>
      <c r="C42" s="48"/>
      <c r="D42" s="50"/>
      <c r="E42" s="46"/>
      <c r="F42" s="46"/>
      <c r="G42" s="46"/>
    </row>
    <row r="43" spans="1:7" x14ac:dyDescent="0.3">
      <c r="A43" s="47" t="s">
        <v>60</v>
      </c>
      <c r="B43" s="48" t="s">
        <v>327</v>
      </c>
      <c r="C43" s="48"/>
      <c r="D43" s="50"/>
      <c r="E43" s="46"/>
      <c r="F43" s="46"/>
      <c r="G43" s="46"/>
    </row>
    <row r="44" spans="1:7" ht="57.6" x14ac:dyDescent="0.3">
      <c r="A44" s="47" t="s">
        <v>151</v>
      </c>
      <c r="B44" s="48" t="s">
        <v>328</v>
      </c>
      <c r="C44" s="48"/>
      <c r="D44" s="50"/>
      <c r="E44" s="46"/>
      <c r="F44" s="61" t="s">
        <v>389</v>
      </c>
      <c r="G44" s="46"/>
    </row>
    <row r="45" spans="1:7" x14ac:dyDescent="0.3">
      <c r="A45" s="47" t="s">
        <v>152</v>
      </c>
      <c r="B45" s="48" t="s">
        <v>329</v>
      </c>
      <c r="C45" s="48"/>
      <c r="D45" s="50"/>
      <c r="E45" s="46"/>
      <c r="F45" s="46"/>
      <c r="G45" s="46"/>
    </row>
    <row r="46" spans="1:7" x14ac:dyDescent="0.3">
      <c r="A46" s="47" t="s">
        <v>60</v>
      </c>
      <c r="B46" s="48" t="s">
        <v>330</v>
      </c>
      <c r="C46" s="48"/>
      <c r="D46" s="50"/>
      <c r="E46" s="46"/>
      <c r="F46" s="46"/>
      <c r="G46" s="46"/>
    </row>
    <row r="47" spans="1:7" ht="57.6" x14ac:dyDescent="0.3">
      <c r="A47" s="47" t="s">
        <v>156</v>
      </c>
      <c r="B47" s="48" t="s">
        <v>331</v>
      </c>
      <c r="C47" s="48"/>
      <c r="D47" s="50"/>
      <c r="E47" s="46"/>
      <c r="F47" s="61" t="s">
        <v>389</v>
      </c>
      <c r="G47" s="46"/>
    </row>
    <row r="48" spans="1:7" x14ac:dyDescent="0.3">
      <c r="A48" s="47" t="s">
        <v>154</v>
      </c>
      <c r="B48" s="48" t="s">
        <v>332</v>
      </c>
      <c r="C48" s="48"/>
      <c r="D48" s="50"/>
      <c r="E48" s="46"/>
      <c r="F48" s="46"/>
      <c r="G48" s="46"/>
    </row>
    <row r="49" spans="1:7" ht="28.8" x14ac:dyDescent="0.3">
      <c r="A49" s="47" t="s">
        <v>333</v>
      </c>
      <c r="B49" s="48" t="s">
        <v>334</v>
      </c>
      <c r="C49" s="48"/>
      <c r="D49" s="50"/>
      <c r="E49" s="46"/>
      <c r="F49" s="46"/>
      <c r="G49" s="46"/>
    </row>
    <row r="50" spans="1:7" ht="57.6" x14ac:dyDescent="0.3">
      <c r="A50" s="47" t="s">
        <v>160</v>
      </c>
      <c r="B50" s="48" t="s">
        <v>335</v>
      </c>
      <c r="C50" s="48"/>
      <c r="D50" s="50"/>
      <c r="E50" s="46"/>
      <c r="F50" s="61" t="s">
        <v>389</v>
      </c>
      <c r="G50" s="46"/>
    </row>
    <row r="51" spans="1:7" x14ac:dyDescent="0.3">
      <c r="A51" s="47" t="s">
        <v>48</v>
      </c>
      <c r="B51" s="48" t="s">
        <v>336</v>
      </c>
      <c r="C51" s="48"/>
      <c r="D51" s="50"/>
      <c r="E51" s="46"/>
      <c r="F51" s="46"/>
      <c r="G51" s="46"/>
    </row>
    <row r="52" spans="1:7" x14ac:dyDescent="0.3">
      <c r="A52" s="47" t="s">
        <v>47</v>
      </c>
      <c r="B52" s="48" t="s">
        <v>337</v>
      </c>
      <c r="C52" s="48"/>
      <c r="D52" s="50"/>
      <c r="E52" s="46"/>
      <c r="F52" s="46"/>
      <c r="G52" s="46"/>
    </row>
    <row r="53" spans="1:7" ht="57.6" x14ac:dyDescent="0.3">
      <c r="A53" s="47" t="s">
        <v>185</v>
      </c>
      <c r="B53" s="48" t="s">
        <v>338</v>
      </c>
      <c r="C53" s="48"/>
      <c r="D53" s="50"/>
      <c r="E53" s="46"/>
      <c r="F53" s="61" t="s">
        <v>389</v>
      </c>
      <c r="G53" s="46"/>
    </row>
    <row r="54" spans="1:7" x14ac:dyDescent="0.3">
      <c r="A54" s="47" t="s">
        <v>152</v>
      </c>
      <c r="B54" s="48" t="s">
        <v>339</v>
      </c>
      <c r="C54" s="48"/>
      <c r="D54" s="50"/>
      <c r="E54" s="46"/>
      <c r="F54" s="46"/>
      <c r="G54" s="46"/>
    </row>
    <row r="55" spans="1:7" x14ac:dyDescent="0.3">
      <c r="A55" s="47" t="s">
        <v>47</v>
      </c>
      <c r="B55" s="48" t="s">
        <v>340</v>
      </c>
      <c r="C55" s="48"/>
      <c r="D55" s="50"/>
      <c r="E55" s="46"/>
      <c r="F55" s="46"/>
      <c r="G55" s="46"/>
    </row>
    <row r="56" spans="1:7" x14ac:dyDescent="0.3">
      <c r="A56" s="47" t="s">
        <v>354</v>
      </c>
      <c r="B56" s="48" t="s">
        <v>341</v>
      </c>
      <c r="C56" s="48"/>
      <c r="D56" s="50"/>
      <c r="E56" s="46"/>
      <c r="F56" s="46"/>
      <c r="G56" s="46"/>
    </row>
    <row r="57" spans="1:7" ht="28.8" x14ac:dyDescent="0.3">
      <c r="A57" s="47" t="s">
        <v>153</v>
      </c>
      <c r="B57" s="48" t="s">
        <v>342</v>
      </c>
      <c r="C57" s="48"/>
      <c r="D57" s="50"/>
      <c r="E57" s="46"/>
      <c r="F57" s="46"/>
      <c r="G57" s="46"/>
    </row>
    <row r="58" spans="1:7" x14ac:dyDescent="0.3">
      <c r="A58" s="47" t="s">
        <v>155</v>
      </c>
      <c r="B58" s="48" t="s">
        <v>343</v>
      </c>
      <c r="C58" s="48"/>
      <c r="D58" s="50"/>
      <c r="E58" s="46"/>
      <c r="F58" s="46"/>
      <c r="G58" s="46"/>
    </row>
    <row r="59" spans="1:7" x14ac:dyDescent="0.3">
      <c r="A59" s="47" t="s">
        <v>64</v>
      </c>
      <c r="B59" s="48" t="s">
        <v>344</v>
      </c>
      <c r="C59" s="48"/>
      <c r="D59" s="50"/>
      <c r="E59" s="46"/>
      <c r="F59" s="46"/>
      <c r="G59" s="46"/>
    </row>
    <row r="60" spans="1:7" x14ac:dyDescent="0.3">
      <c r="A60" s="47" t="s">
        <v>65</v>
      </c>
      <c r="B60" s="48" t="s">
        <v>345</v>
      </c>
      <c r="C60" s="48"/>
      <c r="D60" s="50"/>
      <c r="E60" s="46"/>
      <c r="F60" s="46"/>
      <c r="G60" s="46"/>
    </row>
    <row r="61" spans="1:7" x14ac:dyDescent="0.3">
      <c r="A61" s="47" t="s">
        <v>66</v>
      </c>
      <c r="B61" s="48" t="s">
        <v>346</v>
      </c>
      <c r="C61" s="48"/>
      <c r="D61" s="50"/>
      <c r="E61" s="46"/>
      <c r="F61" s="46"/>
      <c r="G61" s="46"/>
    </row>
    <row r="62" spans="1:7" x14ac:dyDescent="0.3">
      <c r="A62" s="47" t="s">
        <v>23</v>
      </c>
      <c r="B62" s="48" t="s">
        <v>347</v>
      </c>
      <c r="C62" s="48"/>
      <c r="D62" s="50"/>
      <c r="E62" s="46"/>
      <c r="F62" s="46"/>
      <c r="G62" s="46"/>
    </row>
    <row r="63" spans="1:7" x14ac:dyDescent="0.3">
      <c r="A63" s="47" t="s">
        <v>24</v>
      </c>
      <c r="B63" s="48" t="s">
        <v>348</v>
      </c>
      <c r="C63" s="48"/>
      <c r="D63" s="50"/>
      <c r="E63" s="46"/>
      <c r="F63" s="46"/>
      <c r="G63" s="46"/>
    </row>
  </sheetData>
  <hyperlinks>
    <hyperlink ref="E3:E21" r:id="rId1" display="Horates Database" xr:uid="{C059A029-7160-4444-A740-59E740042663}"/>
    <hyperlink ref="E2" r:id="rId2" display="Horates Database" xr:uid="{4D83A359-160C-49CA-98FF-9C00FAFC4AE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175D-41EF-4D5D-951D-7B18AA9F79E9}">
  <dimension ref="A1:AF13"/>
  <sheetViews>
    <sheetView zoomScale="73" workbookViewId="0">
      <selection activeCell="S32" sqref="S32"/>
    </sheetView>
  </sheetViews>
  <sheetFormatPr defaultColWidth="18.44140625" defaultRowHeight="14.4" x14ac:dyDescent="0.3"/>
  <cols>
    <col min="21" max="21" width="23.33203125" bestFit="1" customWidth="1"/>
  </cols>
  <sheetData>
    <row r="1" spans="1:32" x14ac:dyDescent="0.3">
      <c r="A1" s="2" t="s">
        <v>27</v>
      </c>
      <c r="B1" s="2" t="s">
        <v>28</v>
      </c>
    </row>
    <row r="2" spans="1:32" x14ac:dyDescent="0.3">
      <c r="B2" s="1" t="s">
        <v>67</v>
      </c>
      <c r="C2" s="1" t="s">
        <v>30</v>
      </c>
      <c r="D2" s="1" t="s">
        <v>3</v>
      </c>
      <c r="E2" s="1" t="s">
        <v>31</v>
      </c>
      <c r="F2" s="1" t="s">
        <v>20</v>
      </c>
      <c r="G2" s="1" t="s">
        <v>32</v>
      </c>
      <c r="H2" s="1" t="s">
        <v>33</v>
      </c>
      <c r="I2" s="1" t="s">
        <v>34</v>
      </c>
      <c r="J2" s="1" t="s">
        <v>35</v>
      </c>
      <c r="K2" s="1" t="s">
        <v>36</v>
      </c>
      <c r="L2" s="1" t="s">
        <v>37</v>
      </c>
      <c r="M2" s="1" t="s">
        <v>38</v>
      </c>
      <c r="N2" s="1" t="s">
        <v>39</v>
      </c>
      <c r="O2" s="1" t="s">
        <v>40</v>
      </c>
      <c r="P2" s="1" t="s">
        <v>41</v>
      </c>
      <c r="Q2" s="1" t="s">
        <v>42</v>
      </c>
      <c r="R2" s="1" t="s">
        <v>43</v>
      </c>
      <c r="S2" s="1" t="s">
        <v>44</v>
      </c>
      <c r="T2" s="1" t="s">
        <v>45</v>
      </c>
      <c r="U2" s="1" t="s">
        <v>46</v>
      </c>
      <c r="V2" s="1" t="s">
        <v>47</v>
      </c>
      <c r="W2" s="1" t="s">
        <v>48</v>
      </c>
      <c r="X2" s="1" t="s">
        <v>49</v>
      </c>
      <c r="Y2" s="1" t="s">
        <v>50</v>
      </c>
      <c r="Z2" s="1" t="s">
        <v>51</v>
      </c>
      <c r="AA2" s="1" t="s">
        <v>52</v>
      </c>
      <c r="AB2" s="1" t="s">
        <v>53</v>
      </c>
      <c r="AC2" s="1" t="s">
        <v>54</v>
      </c>
      <c r="AD2" s="1" t="s">
        <v>55</v>
      </c>
      <c r="AE2" s="1" t="s">
        <v>23</v>
      </c>
      <c r="AF2" s="1" t="s">
        <v>24</v>
      </c>
    </row>
    <row r="3" spans="1:32" ht="28.8" x14ac:dyDescent="0.3">
      <c r="A3" s="3"/>
      <c r="B3" s="4" t="s">
        <v>69</v>
      </c>
      <c r="C3" s="4" t="s">
        <v>70</v>
      </c>
      <c r="D3" s="3" t="s">
        <v>72</v>
      </c>
      <c r="E3" s="3" t="s">
        <v>112</v>
      </c>
      <c r="F3" s="3" t="s">
        <v>85</v>
      </c>
      <c r="G3" s="3" t="s">
        <v>113</v>
      </c>
      <c r="H3" s="3" t="s">
        <v>114</v>
      </c>
      <c r="I3" s="3" t="s">
        <v>115</v>
      </c>
      <c r="J3" s="3" t="s">
        <v>116</v>
      </c>
      <c r="K3" s="3" t="s">
        <v>117</v>
      </c>
      <c r="L3" s="10" t="s">
        <v>118</v>
      </c>
      <c r="M3" s="3" t="s">
        <v>74</v>
      </c>
      <c r="N3" s="3" t="s">
        <v>119</v>
      </c>
      <c r="O3" s="3" t="s">
        <v>120</v>
      </c>
      <c r="P3" s="3" t="s">
        <v>121</v>
      </c>
      <c r="Q3" s="3" t="s">
        <v>122</v>
      </c>
      <c r="R3" s="3" t="s">
        <v>123</v>
      </c>
      <c r="S3" s="3" t="s">
        <v>81</v>
      </c>
      <c r="T3" s="3" t="s">
        <v>124</v>
      </c>
      <c r="U3" s="3" t="s">
        <v>125</v>
      </c>
      <c r="V3" s="8" t="s">
        <v>126</v>
      </c>
      <c r="W3" s="9" t="s">
        <v>74</v>
      </c>
      <c r="X3" s="8" t="s">
        <v>127</v>
      </c>
      <c r="Y3" s="4" t="s">
        <v>128</v>
      </c>
      <c r="Z3" s="3" t="s">
        <v>74</v>
      </c>
      <c r="AA3" s="3" t="s">
        <v>129</v>
      </c>
      <c r="AB3" s="3" t="s">
        <v>130</v>
      </c>
      <c r="AC3" s="3" t="s">
        <v>131</v>
      </c>
      <c r="AD3" s="3" t="s">
        <v>132</v>
      </c>
      <c r="AE3" s="3" t="s">
        <v>88</v>
      </c>
      <c r="AF3" s="3"/>
    </row>
    <row r="4" spans="1:32" ht="28.8" x14ac:dyDescent="0.3">
      <c r="A4" s="3"/>
      <c r="B4" s="4" t="s">
        <v>110</v>
      </c>
      <c r="C4" s="4" t="s">
        <v>89</v>
      </c>
      <c r="D4" s="3" t="s">
        <v>91</v>
      </c>
      <c r="E4" s="3" t="s">
        <v>112</v>
      </c>
      <c r="F4" s="3" t="s">
        <v>85</v>
      </c>
      <c r="G4" s="3" t="s">
        <v>113</v>
      </c>
      <c r="H4" s="3" t="s">
        <v>114</v>
      </c>
      <c r="I4" s="3" t="s">
        <v>115</v>
      </c>
      <c r="J4" s="3" t="s">
        <v>116</v>
      </c>
      <c r="K4" s="3" t="s">
        <v>117</v>
      </c>
      <c r="L4" s="10" t="s">
        <v>118</v>
      </c>
      <c r="M4" s="3" t="s">
        <v>74</v>
      </c>
      <c r="N4" s="3" t="s">
        <v>119</v>
      </c>
      <c r="O4" s="3" t="s">
        <v>120</v>
      </c>
      <c r="P4" s="3" t="s">
        <v>121</v>
      </c>
      <c r="Q4" s="3" t="s">
        <v>133</v>
      </c>
      <c r="R4" s="3" t="s">
        <v>123</v>
      </c>
      <c r="S4" s="3" t="s">
        <v>81</v>
      </c>
      <c r="T4" s="3" t="s">
        <v>124</v>
      </c>
      <c r="U4" s="3" t="s">
        <v>125</v>
      </c>
      <c r="V4" s="8" t="s">
        <v>134</v>
      </c>
      <c r="W4" s="9" t="s">
        <v>74</v>
      </c>
      <c r="X4" s="9" t="s">
        <v>74</v>
      </c>
      <c r="Y4" s="4" t="s">
        <v>135</v>
      </c>
      <c r="Z4" s="3" t="s">
        <v>74</v>
      </c>
      <c r="AA4" s="3" t="s">
        <v>129</v>
      </c>
      <c r="AB4" s="3" t="s">
        <v>130</v>
      </c>
      <c r="AC4" s="3" t="s">
        <v>131</v>
      </c>
      <c r="AD4" s="3" t="s">
        <v>132</v>
      </c>
      <c r="AE4" s="3" t="s">
        <v>88</v>
      </c>
      <c r="AF4" s="3"/>
    </row>
    <row r="5" spans="1:32" ht="28.8" x14ac:dyDescent="0.3">
      <c r="A5" s="3"/>
      <c r="B5" s="4" t="s">
        <v>111</v>
      </c>
      <c r="C5" s="4" t="s">
        <v>99</v>
      </c>
      <c r="D5" s="3" t="s">
        <v>136</v>
      </c>
      <c r="E5" s="3" t="s">
        <v>137</v>
      </c>
      <c r="F5" s="3" t="s">
        <v>85</v>
      </c>
      <c r="G5" s="3" t="s">
        <v>113</v>
      </c>
      <c r="H5" s="3" t="s">
        <v>114</v>
      </c>
      <c r="I5" s="3" t="s">
        <v>115</v>
      </c>
      <c r="J5" s="3" t="s">
        <v>116</v>
      </c>
      <c r="K5" s="3" t="s">
        <v>117</v>
      </c>
      <c r="L5" s="10" t="s">
        <v>118</v>
      </c>
      <c r="M5" s="3" t="s">
        <v>138</v>
      </c>
      <c r="N5" s="3" t="s">
        <v>119</v>
      </c>
      <c r="O5" s="3" t="s">
        <v>120</v>
      </c>
      <c r="P5" s="3" t="s">
        <v>121</v>
      </c>
      <c r="Q5" s="3" t="s">
        <v>139</v>
      </c>
      <c r="R5" s="3" t="s">
        <v>140</v>
      </c>
      <c r="S5" s="3" t="s">
        <v>81</v>
      </c>
      <c r="T5" s="3" t="s">
        <v>124</v>
      </c>
      <c r="U5" s="3" t="s">
        <v>141</v>
      </c>
      <c r="V5" s="8" t="s">
        <v>142</v>
      </c>
      <c r="W5" s="8" t="s">
        <v>143</v>
      </c>
      <c r="X5" s="8" t="s">
        <v>144</v>
      </c>
      <c r="Y5" s="4" t="s">
        <v>145</v>
      </c>
      <c r="Z5" s="4">
        <v>1.28</v>
      </c>
      <c r="AA5" s="3" t="s">
        <v>146</v>
      </c>
      <c r="AB5" s="3" t="s">
        <v>81</v>
      </c>
      <c r="AC5" s="3" t="s">
        <v>147</v>
      </c>
      <c r="AD5" s="3" t="s">
        <v>148</v>
      </c>
      <c r="AE5" s="3" t="s">
        <v>88</v>
      </c>
      <c r="AF5" s="3"/>
    </row>
    <row r="6" spans="1:32" x14ac:dyDescent="0.3">
      <c r="A6" s="3"/>
      <c r="AF6" s="3"/>
    </row>
    <row r="7" spans="1:32" ht="18" x14ac:dyDescent="0.3">
      <c r="A7" s="3"/>
      <c r="B7" s="5"/>
      <c r="AF7" s="3"/>
    </row>
    <row r="8" spans="1:32" x14ac:dyDescent="0.3">
      <c r="A8" s="3"/>
      <c r="B8" s="6"/>
      <c r="AF8" s="3"/>
    </row>
    <row r="9" spans="1:32" x14ac:dyDescent="0.3">
      <c r="A9" s="3"/>
      <c r="B9" s="7"/>
      <c r="AF9" s="3"/>
    </row>
    <row r="10" spans="1:32" x14ac:dyDescent="0.3">
      <c r="A10" s="3"/>
      <c r="B10" s="7"/>
      <c r="AF10" s="3"/>
    </row>
    <row r="11" spans="1:32" x14ac:dyDescent="0.3">
      <c r="A11" s="3"/>
      <c r="B11" s="7"/>
      <c r="AF11" s="3"/>
    </row>
    <row r="12" spans="1:32" x14ac:dyDescent="0.3">
      <c r="A12" s="3"/>
      <c r="B12" s="7"/>
      <c r="AF12" s="3"/>
    </row>
    <row r="13" spans="1:32"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Structure</vt:lpstr>
      <vt:lpstr>Graphs (6 Types)</vt:lpstr>
      <vt:lpstr>Areas of Optimization</vt:lpstr>
      <vt:lpstr>Machine-Learning-Kit</vt:lpstr>
      <vt:lpstr>new</vt:lpstr>
      <vt:lpstr>ReadMe</vt:lpstr>
      <vt:lpstr>Extra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Ahmad Chowdhury</dc:creator>
  <cp:lastModifiedBy>Ahmad Chowdhury</cp:lastModifiedBy>
  <dcterms:created xsi:type="dcterms:W3CDTF">2026-03-10T12:18:58Z</dcterms:created>
  <dcterms:modified xsi:type="dcterms:W3CDTF">2026-05-20T08:17:53Z</dcterms:modified>
</cp:coreProperties>
</file>