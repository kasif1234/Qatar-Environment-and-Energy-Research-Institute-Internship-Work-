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if\Documents\Qatar-Environment-and-Energy-Research-Institute-Internship-Work-\Scalable_Work\"/>
    </mc:Choice>
  </mc:AlternateContent>
  <xr:revisionPtr revIDLastSave="0" documentId="13_ncr:1_{FDFE63C1-153A-4EF3-935A-DE3274EE52D3}" xr6:coauthVersionLast="47" xr6:coauthVersionMax="47" xr10:uidLastSave="{00000000-0000-0000-0000-000000000000}"/>
  <bookViews>
    <workbookView xWindow="-108" yWindow="-108" windowWidth="23256" windowHeight="12456" activeTab="1" xr2:uid="{D029F850-DD1B-4CC2-9730-F8119DD79F26}"/>
  </bookViews>
  <sheets>
    <sheet name="Structure" sheetId="1" r:id="rId1"/>
    <sheet name="Graphs (6 Types)" sheetId="3" r:id="rId2"/>
    <sheet name="ReadMe" sheetId="4" r:id="rId3"/>
    <sheet name="Extr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U13" i="3" l="1"/>
  <c r="AU14" i="3"/>
  <c r="AU15" i="3"/>
  <c r="AU16" i="3"/>
  <c r="AU17" i="3"/>
  <c r="AU18" i="3"/>
  <c r="AU19" i="3"/>
  <c r="AU20" i="3"/>
  <c r="AU21" i="3"/>
  <c r="AU22" i="3"/>
  <c r="AU23" i="3"/>
  <c r="AU24" i="3"/>
  <c r="AU25" i="3"/>
  <c r="AU26" i="3"/>
  <c r="AU27" i="3"/>
  <c r="AU28" i="3"/>
  <c r="AU29" i="3"/>
  <c r="AU30" i="3"/>
  <c r="AU31" i="3"/>
  <c r="AU32" i="3"/>
  <c r="AU33" i="3"/>
  <c r="AU34" i="3"/>
  <c r="AU35" i="3"/>
  <c r="AU36" i="3"/>
  <c r="AU37" i="3"/>
  <c r="AU38" i="3"/>
  <c r="AU39" i="3"/>
  <c r="AU40" i="3"/>
  <c r="AU41" i="3"/>
  <c r="AU42" i="3"/>
  <c r="AU43" i="3"/>
  <c r="AU44" i="3"/>
  <c r="AU45" i="3"/>
  <c r="AU46" i="3"/>
  <c r="AU47" i="3"/>
  <c r="AU48" i="3"/>
  <c r="AU49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U63" i="3"/>
  <c r="AU64" i="3"/>
  <c r="AU65" i="3"/>
  <c r="AU66" i="3"/>
  <c r="AU67" i="3"/>
  <c r="AU68" i="3"/>
  <c r="AU69" i="3"/>
  <c r="AU70" i="3"/>
  <c r="AU71" i="3"/>
  <c r="AU72" i="3"/>
  <c r="AU73" i="3"/>
  <c r="AU74" i="3"/>
  <c r="AU75" i="3"/>
  <c r="AU76" i="3"/>
  <c r="AU77" i="3"/>
  <c r="AU78" i="3"/>
  <c r="AU79" i="3"/>
  <c r="AU80" i="3"/>
  <c r="AU81" i="3"/>
  <c r="AU82" i="3"/>
  <c r="AU83" i="3"/>
  <c r="AU84" i="3"/>
  <c r="AU85" i="3"/>
  <c r="AU86" i="3"/>
  <c r="AU87" i="3"/>
  <c r="AU88" i="3"/>
  <c r="AU89" i="3"/>
  <c r="AU90" i="3"/>
  <c r="AU91" i="3"/>
  <c r="AU92" i="3"/>
  <c r="AU93" i="3"/>
  <c r="AU94" i="3"/>
  <c r="AU95" i="3"/>
  <c r="AU96" i="3"/>
  <c r="AU97" i="3"/>
  <c r="AU98" i="3"/>
  <c r="AU99" i="3"/>
  <c r="AU100" i="3"/>
  <c r="AU101" i="3"/>
  <c r="AU102" i="3"/>
  <c r="AU103" i="3"/>
  <c r="AU104" i="3"/>
  <c r="AU105" i="3"/>
  <c r="AU106" i="3"/>
  <c r="AU107" i="3"/>
  <c r="AU108" i="3"/>
  <c r="AU109" i="3"/>
  <c r="AU110" i="3"/>
  <c r="AU111" i="3"/>
  <c r="AU112" i="3"/>
  <c r="AU113" i="3"/>
  <c r="AU114" i="3"/>
  <c r="AU115" i="3"/>
  <c r="AU116" i="3"/>
  <c r="AU117" i="3"/>
  <c r="AU118" i="3"/>
  <c r="AU119" i="3"/>
  <c r="AU120" i="3"/>
  <c r="AU121" i="3"/>
  <c r="AU122" i="3"/>
  <c r="AU123" i="3"/>
  <c r="AU124" i="3"/>
  <c r="AU125" i="3"/>
  <c r="AU126" i="3"/>
  <c r="AU127" i="3"/>
  <c r="AU128" i="3"/>
  <c r="AU129" i="3"/>
  <c r="AU130" i="3"/>
  <c r="AU131" i="3"/>
  <c r="AU132" i="3"/>
  <c r="AU133" i="3"/>
  <c r="AU134" i="3"/>
  <c r="AU135" i="3"/>
  <c r="AU136" i="3"/>
  <c r="AU137" i="3"/>
  <c r="AU138" i="3"/>
  <c r="AU139" i="3"/>
  <c r="AU140" i="3"/>
  <c r="AU141" i="3"/>
  <c r="AU142" i="3"/>
  <c r="AU143" i="3"/>
  <c r="AU144" i="3"/>
  <c r="AU145" i="3"/>
  <c r="AU146" i="3"/>
  <c r="AU147" i="3"/>
  <c r="AU148" i="3"/>
  <c r="AU149" i="3"/>
  <c r="AU150" i="3"/>
  <c r="AU151" i="3"/>
  <c r="AU152" i="3"/>
  <c r="AU153" i="3"/>
  <c r="AU154" i="3"/>
  <c r="AU155" i="3"/>
  <c r="AU156" i="3"/>
  <c r="AU157" i="3"/>
  <c r="AU158" i="3"/>
  <c r="AU159" i="3"/>
  <c r="AU160" i="3"/>
  <c r="AU161" i="3"/>
  <c r="AU162" i="3"/>
  <c r="AU163" i="3"/>
  <c r="AU164" i="3"/>
  <c r="AU165" i="3"/>
  <c r="AU166" i="3"/>
  <c r="AU167" i="3"/>
  <c r="AU168" i="3"/>
  <c r="AU169" i="3"/>
  <c r="AU170" i="3"/>
  <c r="AU171" i="3"/>
  <c r="AU172" i="3"/>
  <c r="AU173" i="3"/>
  <c r="AU174" i="3"/>
  <c r="AU175" i="3"/>
  <c r="AU176" i="3"/>
  <c r="AU177" i="3"/>
  <c r="AU178" i="3"/>
  <c r="AU179" i="3"/>
  <c r="AU180" i="3"/>
  <c r="AU181" i="3"/>
  <c r="AU182" i="3"/>
  <c r="AU183" i="3"/>
  <c r="AU184" i="3"/>
  <c r="AU185" i="3"/>
  <c r="AU186" i="3"/>
  <c r="AU187" i="3"/>
  <c r="AU188" i="3"/>
  <c r="AU189" i="3"/>
  <c r="AU190" i="3"/>
  <c r="AU191" i="3"/>
  <c r="AU192" i="3"/>
  <c r="AU193" i="3"/>
  <c r="AU194" i="3"/>
  <c r="AU195" i="3"/>
  <c r="AU196" i="3"/>
  <c r="AU197" i="3"/>
  <c r="AU198" i="3"/>
  <c r="AU199" i="3"/>
  <c r="AU200" i="3"/>
  <c r="AU201" i="3"/>
  <c r="AU202" i="3"/>
  <c r="AU203" i="3"/>
  <c r="AU204" i="3"/>
  <c r="AU205" i="3"/>
  <c r="AU206" i="3"/>
  <c r="AU207" i="3"/>
  <c r="AU208" i="3"/>
  <c r="AU209" i="3"/>
  <c r="AU210" i="3"/>
  <c r="AU211" i="3"/>
  <c r="AU212" i="3"/>
  <c r="AU213" i="3"/>
  <c r="AU214" i="3"/>
  <c r="AU215" i="3"/>
  <c r="AU216" i="3"/>
  <c r="AU217" i="3"/>
  <c r="AU218" i="3"/>
  <c r="AU219" i="3"/>
  <c r="AU220" i="3"/>
  <c r="AU221" i="3"/>
  <c r="AU222" i="3"/>
  <c r="AU223" i="3"/>
  <c r="AU224" i="3"/>
  <c r="AU225" i="3"/>
  <c r="AU226" i="3"/>
  <c r="AU227" i="3"/>
  <c r="AU228" i="3"/>
  <c r="AU229" i="3"/>
  <c r="AU230" i="3"/>
  <c r="AU231" i="3"/>
  <c r="AU232" i="3"/>
  <c r="AU233" i="3"/>
  <c r="AU234" i="3"/>
  <c r="AU235" i="3"/>
  <c r="AU236" i="3"/>
  <c r="AU237" i="3"/>
  <c r="AU238" i="3"/>
  <c r="AU239" i="3"/>
  <c r="AU240" i="3"/>
  <c r="AU241" i="3"/>
  <c r="AU242" i="3"/>
  <c r="AU243" i="3"/>
  <c r="AU244" i="3"/>
  <c r="AU245" i="3"/>
  <c r="AU246" i="3"/>
  <c r="AU247" i="3"/>
  <c r="AU248" i="3"/>
  <c r="AU249" i="3"/>
  <c r="AU250" i="3"/>
  <c r="AU251" i="3"/>
  <c r="AU252" i="3"/>
  <c r="AU253" i="3"/>
  <c r="AU254" i="3"/>
  <c r="AU255" i="3"/>
  <c r="AU256" i="3"/>
  <c r="AU257" i="3"/>
  <c r="AU258" i="3"/>
  <c r="AU259" i="3"/>
  <c r="AU260" i="3"/>
  <c r="AU261" i="3"/>
  <c r="AU262" i="3"/>
  <c r="AU263" i="3"/>
  <c r="AU264" i="3"/>
  <c r="AU265" i="3"/>
  <c r="AU266" i="3"/>
  <c r="AU267" i="3"/>
  <c r="AU268" i="3"/>
  <c r="AU269" i="3"/>
  <c r="AU270" i="3"/>
  <c r="AU271" i="3"/>
  <c r="AU272" i="3"/>
  <c r="AU273" i="3"/>
  <c r="AU274" i="3"/>
  <c r="AU275" i="3"/>
  <c r="AU276" i="3"/>
  <c r="AU277" i="3"/>
  <c r="AU278" i="3"/>
  <c r="AU279" i="3"/>
  <c r="AU280" i="3"/>
  <c r="AU281" i="3"/>
  <c r="AU282" i="3"/>
  <c r="AU283" i="3"/>
  <c r="AU284" i="3"/>
  <c r="AU285" i="3"/>
  <c r="AU286" i="3"/>
  <c r="AU287" i="3"/>
  <c r="AU288" i="3"/>
  <c r="AU289" i="3"/>
  <c r="AU290" i="3"/>
  <c r="AU291" i="3"/>
  <c r="AU292" i="3"/>
  <c r="AU293" i="3"/>
  <c r="AU294" i="3"/>
  <c r="AU295" i="3"/>
  <c r="AU296" i="3"/>
  <c r="AU297" i="3"/>
  <c r="AU298" i="3"/>
  <c r="AU299" i="3"/>
  <c r="AU300" i="3"/>
  <c r="AU301" i="3"/>
  <c r="AU302" i="3"/>
  <c r="AU303" i="3"/>
  <c r="AU304" i="3"/>
  <c r="AU305" i="3"/>
  <c r="AU306" i="3"/>
  <c r="AU307" i="3"/>
  <c r="AU308" i="3"/>
  <c r="AU309" i="3"/>
  <c r="AU310" i="3"/>
  <c r="AU311" i="3"/>
  <c r="AU312" i="3"/>
  <c r="AU313" i="3"/>
  <c r="AU314" i="3"/>
  <c r="AU315" i="3"/>
  <c r="AU316" i="3"/>
  <c r="AU317" i="3"/>
  <c r="AU318" i="3"/>
  <c r="AU319" i="3"/>
  <c r="AU320" i="3"/>
  <c r="AU321" i="3"/>
  <c r="AU322" i="3"/>
  <c r="AU323" i="3"/>
  <c r="AU324" i="3"/>
  <c r="AU325" i="3"/>
  <c r="AU326" i="3"/>
  <c r="AU327" i="3"/>
  <c r="AU328" i="3"/>
  <c r="AU329" i="3"/>
  <c r="AU330" i="3"/>
  <c r="AU331" i="3"/>
  <c r="AU332" i="3"/>
  <c r="AU333" i="3"/>
  <c r="AU334" i="3"/>
  <c r="AU335" i="3"/>
  <c r="AU336" i="3"/>
  <c r="AU337" i="3"/>
  <c r="AU338" i="3"/>
  <c r="AU339" i="3"/>
  <c r="AU340" i="3"/>
  <c r="AU341" i="3"/>
  <c r="AU342" i="3"/>
  <c r="AU343" i="3"/>
  <c r="AU344" i="3"/>
  <c r="AU345" i="3"/>
  <c r="AU346" i="3"/>
  <c r="AU347" i="3"/>
  <c r="AU348" i="3"/>
  <c r="AU349" i="3"/>
  <c r="AU350" i="3"/>
  <c r="AU351" i="3"/>
  <c r="AU352" i="3"/>
  <c r="AU353" i="3"/>
  <c r="AU354" i="3"/>
  <c r="AU355" i="3"/>
  <c r="AU356" i="3"/>
  <c r="AU357" i="3"/>
  <c r="AU358" i="3"/>
  <c r="AU359" i="3"/>
  <c r="AU360" i="3"/>
  <c r="AU361" i="3"/>
  <c r="AU362" i="3"/>
  <c r="AU363" i="3"/>
  <c r="AU364" i="3"/>
  <c r="AU365" i="3"/>
  <c r="AU366" i="3"/>
  <c r="AU367" i="3"/>
  <c r="AU368" i="3"/>
  <c r="AU369" i="3"/>
  <c r="AU370" i="3"/>
  <c r="AU371" i="3"/>
  <c r="AU372" i="3"/>
  <c r="AU373" i="3"/>
  <c r="AU374" i="3"/>
  <c r="AU375" i="3"/>
  <c r="AU376" i="3"/>
  <c r="AU377" i="3"/>
  <c r="AU378" i="3"/>
  <c r="AU379" i="3"/>
  <c r="AU380" i="3"/>
  <c r="AU381" i="3"/>
  <c r="AU382" i="3"/>
  <c r="AU383" i="3"/>
  <c r="AU384" i="3"/>
  <c r="AU385" i="3"/>
  <c r="AU386" i="3"/>
  <c r="AU387" i="3"/>
  <c r="AU388" i="3"/>
  <c r="AU389" i="3"/>
  <c r="AU390" i="3"/>
  <c r="AU391" i="3"/>
  <c r="AU392" i="3"/>
  <c r="AU393" i="3"/>
  <c r="AU394" i="3"/>
  <c r="AU395" i="3"/>
  <c r="AU396" i="3"/>
  <c r="AU397" i="3"/>
  <c r="AU398" i="3"/>
  <c r="AU399" i="3"/>
  <c r="AU400" i="3"/>
  <c r="AU401" i="3"/>
  <c r="AU402" i="3"/>
  <c r="AU403" i="3"/>
  <c r="AU404" i="3"/>
  <c r="AU405" i="3"/>
  <c r="AU406" i="3"/>
  <c r="AU407" i="3"/>
  <c r="AU408" i="3"/>
  <c r="AU409" i="3"/>
  <c r="AU410" i="3"/>
  <c r="AU411" i="3"/>
  <c r="AU412" i="3"/>
  <c r="AU413" i="3"/>
  <c r="AU414" i="3"/>
  <c r="AU415" i="3"/>
  <c r="AU416" i="3"/>
  <c r="AU417" i="3"/>
  <c r="AU418" i="3"/>
  <c r="AU419" i="3"/>
  <c r="AU420" i="3"/>
  <c r="AU421" i="3"/>
  <c r="AU422" i="3"/>
  <c r="AU423" i="3"/>
  <c r="AU424" i="3"/>
  <c r="AU425" i="3"/>
  <c r="AU426" i="3"/>
  <c r="AU427" i="3"/>
  <c r="AU428" i="3"/>
  <c r="AU429" i="3"/>
  <c r="AU430" i="3"/>
  <c r="AU431" i="3"/>
  <c r="AU432" i="3"/>
  <c r="AU433" i="3"/>
  <c r="AU434" i="3"/>
  <c r="AU435" i="3"/>
  <c r="AU436" i="3"/>
  <c r="AU437" i="3"/>
  <c r="AU438" i="3"/>
  <c r="AU439" i="3"/>
  <c r="AU440" i="3"/>
  <c r="AU441" i="3"/>
  <c r="AU442" i="3"/>
  <c r="AU443" i="3"/>
  <c r="AU444" i="3"/>
  <c r="AU445" i="3"/>
  <c r="AU446" i="3"/>
  <c r="AU447" i="3"/>
  <c r="AU448" i="3"/>
  <c r="AU449" i="3"/>
  <c r="AU450" i="3"/>
  <c r="AU451" i="3"/>
  <c r="AU452" i="3"/>
  <c r="AU453" i="3"/>
  <c r="AU454" i="3"/>
  <c r="AU455" i="3"/>
  <c r="AU456" i="3"/>
  <c r="AU457" i="3"/>
  <c r="AU458" i="3"/>
  <c r="AU459" i="3"/>
  <c r="AU460" i="3"/>
  <c r="AU461" i="3"/>
  <c r="AU462" i="3"/>
  <c r="AU463" i="3"/>
  <c r="AU464" i="3"/>
  <c r="AU465" i="3"/>
  <c r="AU466" i="3"/>
  <c r="AU467" i="3"/>
  <c r="AU468" i="3"/>
  <c r="AU469" i="3"/>
  <c r="AU470" i="3"/>
  <c r="AU471" i="3"/>
  <c r="AU472" i="3"/>
  <c r="AU473" i="3"/>
  <c r="AU474" i="3"/>
  <c r="AU475" i="3"/>
  <c r="AU476" i="3"/>
  <c r="AU477" i="3"/>
  <c r="AU478" i="3"/>
  <c r="AU479" i="3"/>
  <c r="AU480" i="3"/>
  <c r="AU481" i="3"/>
  <c r="AU482" i="3"/>
  <c r="AU483" i="3"/>
  <c r="AU484" i="3"/>
  <c r="AU485" i="3"/>
  <c r="AU486" i="3"/>
  <c r="AU487" i="3"/>
  <c r="AU488" i="3"/>
  <c r="AU489" i="3"/>
  <c r="AU490" i="3"/>
  <c r="AU491" i="3"/>
  <c r="AU492" i="3"/>
  <c r="AU493" i="3"/>
  <c r="AU494" i="3"/>
  <c r="AU495" i="3"/>
  <c r="AU496" i="3"/>
  <c r="AU497" i="3"/>
  <c r="AU498" i="3"/>
  <c r="AU499" i="3"/>
  <c r="AU500" i="3"/>
  <c r="AU501" i="3"/>
  <c r="AU502" i="3"/>
  <c r="AU503" i="3"/>
  <c r="AU504" i="3"/>
  <c r="AU505" i="3"/>
  <c r="AU506" i="3"/>
  <c r="AU507" i="3"/>
  <c r="AU508" i="3"/>
  <c r="AU509" i="3"/>
  <c r="AU510" i="3"/>
  <c r="AU511" i="3"/>
  <c r="AU512" i="3"/>
  <c r="AU513" i="3"/>
  <c r="AU514" i="3"/>
  <c r="AU515" i="3"/>
  <c r="AU516" i="3"/>
  <c r="AU517" i="3"/>
  <c r="AU518" i="3"/>
  <c r="AU519" i="3"/>
  <c r="AU520" i="3"/>
  <c r="AU521" i="3"/>
  <c r="AU522" i="3"/>
  <c r="AU523" i="3"/>
  <c r="AU524" i="3"/>
  <c r="AU525" i="3"/>
  <c r="AU526" i="3"/>
  <c r="AU527" i="3"/>
  <c r="AU528" i="3"/>
  <c r="AU529" i="3"/>
  <c r="AU530" i="3"/>
  <c r="AU531" i="3"/>
  <c r="AU532" i="3"/>
  <c r="AU533" i="3"/>
  <c r="AU534" i="3"/>
  <c r="AU535" i="3"/>
  <c r="AU536" i="3"/>
  <c r="AU537" i="3"/>
  <c r="AU538" i="3"/>
  <c r="AU539" i="3"/>
  <c r="AU540" i="3"/>
  <c r="AU541" i="3"/>
  <c r="AU542" i="3"/>
  <c r="AU543" i="3"/>
  <c r="AU544" i="3"/>
  <c r="AU545" i="3"/>
  <c r="AU546" i="3"/>
  <c r="AU547" i="3"/>
  <c r="AU548" i="3"/>
  <c r="AU549" i="3"/>
  <c r="AU550" i="3"/>
  <c r="AU551" i="3"/>
  <c r="AU552" i="3"/>
  <c r="AU553" i="3"/>
  <c r="AU554" i="3"/>
  <c r="AU555" i="3"/>
  <c r="AU556" i="3"/>
  <c r="AU557" i="3"/>
  <c r="AU558" i="3"/>
  <c r="AU559" i="3"/>
  <c r="AU560" i="3"/>
  <c r="AU561" i="3"/>
  <c r="AU562" i="3"/>
  <c r="AU563" i="3"/>
  <c r="AU564" i="3"/>
  <c r="AU565" i="3"/>
  <c r="AU566" i="3"/>
  <c r="AU567" i="3"/>
  <c r="AU568" i="3"/>
  <c r="AU569" i="3"/>
  <c r="AU570" i="3"/>
  <c r="AU571" i="3"/>
  <c r="AU572" i="3"/>
  <c r="AU573" i="3"/>
  <c r="AU574" i="3"/>
  <c r="AU575" i="3"/>
  <c r="AU576" i="3"/>
  <c r="AU577" i="3"/>
  <c r="AU578" i="3"/>
  <c r="AU579" i="3"/>
  <c r="AU580" i="3"/>
  <c r="AU581" i="3"/>
  <c r="AU582" i="3"/>
  <c r="AU583" i="3"/>
  <c r="AU584" i="3"/>
  <c r="AU585" i="3"/>
  <c r="AU586" i="3"/>
  <c r="AU587" i="3"/>
  <c r="AU588" i="3"/>
  <c r="AU589" i="3"/>
  <c r="AU590" i="3"/>
  <c r="AU591" i="3"/>
  <c r="AU592" i="3"/>
  <c r="AU593" i="3"/>
  <c r="AU594" i="3"/>
  <c r="AU595" i="3"/>
  <c r="AU596" i="3"/>
  <c r="AU597" i="3"/>
  <c r="AU598" i="3"/>
  <c r="AU599" i="3"/>
  <c r="AU600" i="3"/>
  <c r="AU601" i="3"/>
  <c r="AU602" i="3"/>
  <c r="AU603" i="3"/>
  <c r="AU604" i="3"/>
  <c r="AU605" i="3"/>
  <c r="AU606" i="3"/>
  <c r="AU607" i="3"/>
  <c r="AU608" i="3"/>
  <c r="AU609" i="3"/>
  <c r="AU610" i="3"/>
  <c r="AU611" i="3"/>
  <c r="AU612" i="3"/>
  <c r="AU613" i="3"/>
  <c r="AU614" i="3"/>
  <c r="AU615" i="3"/>
  <c r="AU616" i="3"/>
  <c r="AU617" i="3"/>
  <c r="AU618" i="3"/>
  <c r="AU619" i="3"/>
  <c r="AU620" i="3"/>
  <c r="AU621" i="3"/>
  <c r="AU622" i="3"/>
  <c r="AU623" i="3"/>
  <c r="AU624" i="3"/>
  <c r="AU625" i="3"/>
  <c r="AU626" i="3"/>
  <c r="AU627" i="3"/>
  <c r="AU628" i="3"/>
  <c r="AU629" i="3"/>
  <c r="AU630" i="3"/>
  <c r="AU631" i="3"/>
  <c r="AU632" i="3"/>
  <c r="AU633" i="3"/>
  <c r="AU634" i="3"/>
  <c r="AU635" i="3"/>
  <c r="AU636" i="3"/>
  <c r="AU637" i="3"/>
  <c r="AU638" i="3"/>
  <c r="AU639" i="3"/>
  <c r="AU640" i="3"/>
  <c r="AU641" i="3"/>
  <c r="AU642" i="3"/>
  <c r="AU643" i="3"/>
  <c r="AU644" i="3"/>
  <c r="AU645" i="3"/>
  <c r="AU646" i="3"/>
  <c r="AU647" i="3"/>
  <c r="AU648" i="3"/>
  <c r="AU649" i="3"/>
  <c r="AU650" i="3"/>
  <c r="AU651" i="3"/>
  <c r="AU652" i="3"/>
  <c r="AU653" i="3"/>
  <c r="AU654" i="3"/>
  <c r="AU655" i="3"/>
  <c r="AU656" i="3"/>
  <c r="AU657" i="3"/>
  <c r="AU658" i="3"/>
  <c r="AU659" i="3"/>
  <c r="AU660" i="3"/>
  <c r="AU661" i="3"/>
  <c r="AU662" i="3"/>
  <c r="AU663" i="3"/>
  <c r="AU664" i="3"/>
  <c r="AU665" i="3"/>
  <c r="AU666" i="3"/>
  <c r="AU667" i="3"/>
  <c r="AU668" i="3"/>
  <c r="AU669" i="3"/>
  <c r="AU670" i="3"/>
  <c r="AU671" i="3"/>
  <c r="AU672" i="3"/>
  <c r="AU673" i="3"/>
  <c r="AU674" i="3"/>
  <c r="AU675" i="3"/>
  <c r="AU676" i="3"/>
  <c r="AU677" i="3"/>
  <c r="AU678" i="3"/>
  <c r="AU679" i="3"/>
  <c r="AU680" i="3"/>
  <c r="AU681" i="3"/>
  <c r="AU682" i="3"/>
  <c r="AU683" i="3"/>
  <c r="AU684" i="3"/>
  <c r="AU685" i="3"/>
  <c r="AU686" i="3"/>
  <c r="AU687" i="3"/>
  <c r="AU688" i="3"/>
  <c r="AU689" i="3"/>
  <c r="AU690" i="3"/>
  <c r="AU691" i="3"/>
  <c r="AU692" i="3"/>
  <c r="AU693" i="3"/>
  <c r="AU694" i="3"/>
  <c r="AU695" i="3"/>
  <c r="AU696" i="3"/>
  <c r="AU697" i="3"/>
  <c r="AU698" i="3"/>
  <c r="AU699" i="3"/>
  <c r="AU700" i="3"/>
  <c r="AU701" i="3"/>
  <c r="AU702" i="3"/>
  <c r="AU703" i="3"/>
  <c r="AU704" i="3"/>
  <c r="AU705" i="3"/>
  <c r="AU706" i="3"/>
  <c r="AU707" i="3"/>
  <c r="AU708" i="3"/>
  <c r="AU709" i="3"/>
  <c r="AU710" i="3"/>
  <c r="AU711" i="3"/>
  <c r="AU712" i="3"/>
  <c r="AU713" i="3"/>
  <c r="AU714" i="3"/>
  <c r="AU715" i="3"/>
  <c r="AU716" i="3"/>
  <c r="AU717" i="3"/>
  <c r="AU718" i="3"/>
  <c r="AU719" i="3"/>
  <c r="AU720" i="3"/>
  <c r="AU721" i="3"/>
  <c r="AU722" i="3"/>
  <c r="AU723" i="3"/>
  <c r="AU724" i="3"/>
  <c r="AU725" i="3"/>
  <c r="AU726" i="3"/>
  <c r="AU727" i="3"/>
  <c r="AU728" i="3"/>
  <c r="AU729" i="3"/>
  <c r="AU730" i="3"/>
  <c r="AU731" i="3"/>
  <c r="AU732" i="3"/>
  <c r="AU733" i="3"/>
  <c r="AU734" i="3"/>
  <c r="AU735" i="3"/>
  <c r="AU736" i="3"/>
  <c r="AU737" i="3"/>
  <c r="AU738" i="3"/>
  <c r="AU739" i="3"/>
  <c r="AU740" i="3"/>
  <c r="AU741" i="3"/>
  <c r="AU742" i="3"/>
  <c r="AU743" i="3"/>
  <c r="AU744" i="3"/>
  <c r="AU745" i="3"/>
  <c r="AU746" i="3"/>
  <c r="AU747" i="3"/>
  <c r="AU748" i="3"/>
  <c r="AU749" i="3"/>
  <c r="AU750" i="3"/>
  <c r="AU751" i="3"/>
  <c r="AU752" i="3"/>
  <c r="AU753" i="3"/>
  <c r="AU754" i="3"/>
  <c r="AU755" i="3"/>
  <c r="AU756" i="3"/>
  <c r="AU757" i="3"/>
  <c r="AU758" i="3"/>
  <c r="AU759" i="3"/>
  <c r="AU760" i="3"/>
  <c r="AU761" i="3"/>
  <c r="AU762" i="3"/>
  <c r="AU763" i="3"/>
  <c r="AU764" i="3"/>
  <c r="AU765" i="3"/>
  <c r="AU766" i="3"/>
  <c r="AU767" i="3"/>
  <c r="AU768" i="3"/>
  <c r="AU769" i="3"/>
  <c r="AU770" i="3"/>
  <c r="AU771" i="3"/>
  <c r="AU772" i="3"/>
  <c r="AU773" i="3"/>
  <c r="AU774" i="3"/>
  <c r="AU775" i="3"/>
  <c r="AU776" i="3"/>
  <c r="AU777" i="3"/>
  <c r="AU778" i="3"/>
  <c r="AU779" i="3"/>
  <c r="AU780" i="3"/>
  <c r="AU781" i="3"/>
  <c r="AU782" i="3"/>
  <c r="AU783" i="3"/>
  <c r="AU784" i="3"/>
  <c r="AU785" i="3"/>
  <c r="AU786" i="3"/>
  <c r="AU787" i="3"/>
  <c r="AU788" i="3"/>
  <c r="AU789" i="3"/>
  <c r="AU790" i="3"/>
  <c r="AU791" i="3"/>
  <c r="AU792" i="3"/>
  <c r="AU793" i="3"/>
  <c r="AU794" i="3"/>
  <c r="AU795" i="3"/>
  <c r="AU796" i="3"/>
  <c r="AU797" i="3"/>
  <c r="AU798" i="3"/>
  <c r="AU799" i="3"/>
  <c r="AU800" i="3"/>
  <c r="AU801" i="3"/>
  <c r="AU802" i="3"/>
  <c r="AU803" i="3"/>
  <c r="AU804" i="3"/>
  <c r="AU805" i="3"/>
  <c r="AU806" i="3"/>
  <c r="AU807" i="3"/>
  <c r="AU808" i="3"/>
  <c r="AU809" i="3"/>
  <c r="AU810" i="3"/>
  <c r="AU811" i="3"/>
  <c r="AU812" i="3"/>
  <c r="AU813" i="3"/>
  <c r="AU814" i="3"/>
  <c r="AU815" i="3"/>
  <c r="AU816" i="3"/>
  <c r="AU817" i="3"/>
  <c r="AU818" i="3"/>
  <c r="AU819" i="3"/>
  <c r="AU820" i="3"/>
  <c r="AU821" i="3"/>
  <c r="AU822" i="3"/>
  <c r="AU823" i="3"/>
  <c r="AU824" i="3"/>
  <c r="AU825" i="3"/>
  <c r="AU826" i="3"/>
  <c r="AU827" i="3"/>
  <c r="AU828" i="3"/>
  <c r="AU829" i="3"/>
  <c r="AU830" i="3"/>
  <c r="AU831" i="3"/>
  <c r="AU832" i="3"/>
  <c r="AU833" i="3"/>
  <c r="AU834" i="3"/>
  <c r="AU835" i="3"/>
  <c r="AU836" i="3"/>
  <c r="AU837" i="3"/>
  <c r="AU838" i="3"/>
  <c r="AU839" i="3"/>
  <c r="AU840" i="3"/>
  <c r="AU841" i="3"/>
  <c r="AU842" i="3"/>
  <c r="AU843" i="3"/>
  <c r="AU844" i="3"/>
  <c r="AU845" i="3"/>
  <c r="AU846" i="3"/>
  <c r="AU847" i="3"/>
  <c r="AU848" i="3"/>
  <c r="AU849" i="3"/>
  <c r="AU850" i="3"/>
  <c r="AU851" i="3"/>
  <c r="AU12" i="3"/>
  <c r="AU4" i="3"/>
  <c r="AU5" i="3"/>
  <c r="AU6" i="3"/>
  <c r="AU7" i="3"/>
  <c r="AU8" i="3"/>
  <c r="AU9" i="3"/>
  <c r="AU10" i="3"/>
  <c r="AU11" i="3"/>
  <c r="AU3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68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3" i="3"/>
  <c r="H12" i="3"/>
  <c r="H6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68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31" i="3"/>
  <c r="H32" i="3"/>
  <c r="H33" i="3"/>
  <c r="H34" i="3"/>
  <c r="H35" i="3"/>
  <c r="H36" i="3"/>
  <c r="H37" i="3"/>
  <c r="H38" i="3"/>
  <c r="H39" i="3"/>
  <c r="H40" i="3"/>
  <c r="H41" i="3"/>
  <c r="H30" i="3"/>
  <c r="H19" i="3"/>
  <c r="H3" i="3"/>
  <c r="H16" i="3"/>
  <c r="H13" i="3"/>
  <c r="H14" i="3"/>
  <c r="H15" i="3"/>
  <c r="H17" i="3"/>
  <c r="H18" i="3"/>
  <c r="H20" i="3"/>
  <c r="H5" i="3"/>
  <c r="H7" i="3"/>
  <c r="H8" i="3"/>
  <c r="H9" i="3"/>
  <c r="H10" i="3"/>
  <c r="H11" i="3"/>
  <c r="H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<sst xmlns="http://schemas.openxmlformats.org/spreadsheetml/2006/main" count="9239" uniqueCount="441">
  <si>
    <t>polymer_id</t>
  </si>
  <si>
    <t>exact_polymer_name</t>
  </si>
  <si>
    <t>repeat_unit_name</t>
  </si>
  <si>
    <t>parent_family</t>
  </si>
  <si>
    <t>monomer_structure_text</t>
  </si>
  <si>
    <t>smiles</t>
  </si>
  <si>
    <t>structure_2d</t>
  </si>
  <si>
    <t>structure_3d</t>
  </si>
  <si>
    <t>heteroatom_type</t>
  </si>
  <si>
    <t>fused_ring_count</t>
  </si>
  <si>
    <t>ring_system_type</t>
  </si>
  <si>
    <t>backbone_type</t>
  </si>
  <si>
    <t>backbone_planarity</t>
  </si>
  <si>
    <t>conjugation_length</t>
  </si>
  <si>
    <t>side_chain_present</t>
  </si>
  <si>
    <t>side_chain_type</t>
  </si>
  <si>
    <t>side_chain_length</t>
  </si>
  <si>
    <t>side_chain_branching</t>
  </si>
  <si>
    <t>polarity</t>
  </si>
  <si>
    <t>dipole_related_feature</t>
  </si>
  <si>
    <t>charge_type</t>
  </si>
  <si>
    <t>base_polymer_or_derivative</t>
  </si>
  <si>
    <t>notes_on_structure</t>
  </si>
  <si>
    <t>reference_doi</t>
  </si>
  <si>
    <t>evidence_location</t>
  </si>
  <si>
    <t xml:space="preserve">Dataset 1 </t>
  </si>
  <si>
    <t>Monomer Structure</t>
  </si>
  <si>
    <t>Dataset 2</t>
  </si>
  <si>
    <t>Material / Processing / Performance</t>
  </si>
  <si>
    <t>record_id</t>
  </si>
  <si>
    <t>exact_material_name</t>
  </si>
  <si>
    <t>material_type</t>
  </si>
  <si>
    <t>solvent</t>
  </si>
  <si>
    <t>dopant</t>
  </si>
  <si>
    <t>dopant_category</t>
  </si>
  <si>
    <t>doping_status</t>
  </si>
  <si>
    <t>doping_method</t>
  </si>
  <si>
    <t>doping_level</t>
  </si>
  <si>
    <t>secondary_component</t>
  </si>
  <si>
    <t>filler_or_additive</t>
  </si>
  <si>
    <t>film_preparation_method</t>
  </si>
  <si>
    <t>material_form</t>
  </si>
  <si>
    <t>thickness</t>
  </si>
  <si>
    <t>post_treatment</t>
  </si>
  <si>
    <t>annealing</t>
  </si>
  <si>
    <t>annealing_temperature</t>
  </si>
  <si>
    <t>measurement_temperature</t>
  </si>
  <si>
    <t>electrical_conductivity</t>
  </si>
  <si>
    <t>seebeck_coefficient</t>
  </si>
  <si>
    <t>power_factor</t>
  </si>
  <si>
    <t>thermal_conductivity</t>
  </si>
  <si>
    <t>zt</t>
  </si>
  <si>
    <t>graph_format</t>
  </si>
  <si>
    <t>paired_sigma_seebeck_extracted</t>
  </si>
  <si>
    <t>reason_for_performance</t>
  </si>
  <si>
    <t>application</t>
  </si>
  <si>
    <t>Dataset 3</t>
  </si>
  <si>
    <t>Graph Extracted Data</t>
  </si>
  <si>
    <t>datapoint_id</t>
  </si>
  <si>
    <t>graph_variable</t>
  </si>
  <si>
    <t>doping_or_oxidation_level</t>
  </si>
  <si>
    <t>power_factor_calculated</t>
  </si>
  <si>
    <t>units_seebeck</t>
  </si>
  <si>
    <t>units_conductivity</t>
  </si>
  <si>
    <t>units_doping_level</t>
  </si>
  <si>
    <t>graph_type</t>
  </si>
  <si>
    <t>digitization_method</t>
  </si>
  <si>
    <t>id</t>
  </si>
  <si>
    <t>https://doi.org/10.1038/s41586-024-07724-2</t>
  </si>
  <si>
    <t>A1</t>
  </si>
  <si>
    <t>PDPPSe-12</t>
  </si>
  <si>
    <t>selenium-substituted diketopyrrolopyrrole</t>
  </si>
  <si>
    <t>Diketopyrrolopyrrole (DPP)</t>
  </si>
  <si>
    <r>
      <t>Diketopyrrolopyrrole core</t>
    </r>
    <r>
      <rPr>
        <sz val="11"/>
        <color theme="1"/>
        <rFont val="Aptos Narrow"/>
        <family val="2"/>
        <scheme val="minor"/>
      </rPr>
      <t xml:space="preserve"> with </t>
    </r>
    <r>
      <rPr>
        <b/>
        <sz val="11"/>
        <color theme="1"/>
        <rFont val="Aptos Narrow"/>
        <family val="2"/>
        <scheme val="minor"/>
      </rPr>
      <t>selenium-substituted thiophene</t>
    </r>
    <r>
      <rPr>
        <sz val="11"/>
        <color theme="1"/>
        <rFont val="Aptos Narrow"/>
        <family val="2"/>
        <scheme val="minor"/>
      </rPr>
      <t xml:space="preserve"> units and branched alkyl side chains</t>
    </r>
  </si>
  <si>
    <t>NA</t>
  </si>
  <si>
    <t>Fig. 1b</t>
  </si>
  <si>
    <t>Extended Data Fig. 1b</t>
  </si>
  <si>
    <t>Se, N, O, S</t>
  </si>
  <si>
    <t>Heterocyclic</t>
  </si>
  <si>
    <t>Conjugated</t>
  </si>
  <si>
    <t>Planar</t>
  </si>
  <si>
    <t>Yes</t>
  </si>
  <si>
    <t>Alkyl</t>
  </si>
  <si>
    <t>$C_{12}, C_{10}$</t>
  </si>
  <si>
    <t>Branched</t>
  </si>
  <si>
    <t>p-type</t>
  </si>
  <si>
    <t>Base</t>
  </si>
  <si>
    <t>polycrystalline, high-mobility</t>
  </si>
  <si>
    <t>10.1038/s41586-024-07724-2</t>
  </si>
  <si>
    <t>PBTTT</t>
  </si>
  <si>
    <t>poly(2,5-bis(3-tetradecylthiophen-2-yl)thieno[3,2-b]thiophene)</t>
  </si>
  <si>
    <t>Polythiophene</t>
  </si>
  <si>
    <r>
      <t xml:space="preserve">Alternating </t>
    </r>
    <r>
      <rPr>
        <b/>
        <sz val="11"/>
        <color theme="1"/>
        <rFont val="Aptos Narrow"/>
        <family val="2"/>
        <scheme val="minor"/>
      </rPr>
      <t>thieno[3,2-b]thiophene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thiophene units</t>
    </r>
    <r>
      <rPr>
        <sz val="11"/>
        <color theme="1"/>
        <rFont val="Aptos Narrow"/>
        <family val="2"/>
        <scheme val="minor"/>
      </rPr>
      <t xml:space="preserve"> with linear tetradecyl side chains</t>
    </r>
  </si>
  <si>
    <t>Fig. 1c</t>
  </si>
  <si>
    <t>Extended Data Fig. 1c</t>
  </si>
  <si>
    <t>S</t>
  </si>
  <si>
    <t>$C_{14}$</t>
  </si>
  <si>
    <t>Linear</t>
  </si>
  <si>
    <t>liquid-crystalline features, high-mobility</t>
  </si>
  <si>
    <t>(6, 4, 4) PMHJ</t>
  </si>
  <si>
    <t>Polymeric multi-heterojunction</t>
  </si>
  <si>
    <r>
      <t>Periodic dual-heterojunction</t>
    </r>
    <r>
      <rPr>
        <sz val="11"/>
        <color theme="1"/>
        <rFont val="Aptos Narrow"/>
        <family val="2"/>
        <scheme val="minor"/>
      </rPr>
      <t xml:space="preserve"> structure composed of alternating sub-10-nm layers of P1 and P2</t>
    </r>
  </si>
  <si>
    <t>Fig. 1a</t>
  </si>
  <si>
    <t>Extended Data Fig. 1b-d</t>
  </si>
  <si>
    <t>Se, N, O, S, F</t>
  </si>
  <si>
    <t>Combined</t>
  </si>
  <si>
    <t>Composite</t>
  </si>
  <si>
    <t>Mixed</t>
  </si>
  <si>
    <t>Architecture</t>
  </si>
  <si>
    <t>6 nm P1 layer, 4 nm PBTTT layer, 4 nm interpenetrating interface</t>
  </si>
  <si>
    <t>A2</t>
  </si>
  <si>
    <t>A3</t>
  </si>
  <si>
    <t>single polymer</t>
  </si>
  <si>
    <t>o-dichlorobenzene</t>
  </si>
  <si>
    <t>FeCl₃</t>
  </si>
  <si>
    <t>Lewis acid</t>
  </si>
  <si>
    <t>doped</t>
  </si>
  <si>
    <t>immersion</t>
  </si>
  <si>
    <t>12 mmol l⁻¹</t>
  </si>
  <si>
    <t>4Bx (2 wt%)</t>
  </si>
  <si>
    <t>spin-coating</t>
  </si>
  <si>
    <t>thin film</t>
  </si>
  <si>
    <t>6.3 ± 0.5 nm (layer)</t>
  </si>
  <si>
    <t>photocrosslinking</t>
  </si>
  <si>
    <t>383 K</t>
  </si>
  <si>
    <t>298 K</t>
  </si>
  <si>
    <t>252 S cm⁻¹</t>
  </si>
  <si>
    <t>280 μW m⁻¹ K⁻²</t>
  </si>
  <si>
    <t>0.45 W m⁻¹ K⁻¹</t>
  </si>
  <si>
    <t>Fig. 3g</t>
  </si>
  <si>
    <t>No</t>
  </si>
  <si>
    <t>host–dopant interaction</t>
  </si>
  <si>
    <t>plastic thermoelectrics</t>
  </si>
  <si>
    <t>4.2 ± 0.4 nm (layer)</t>
  </si>
  <si>
    <t>520 S cm⁻¹</t>
  </si>
  <si>
    <t>0.79 W m⁻¹ K⁻¹</t>
  </si>
  <si>
    <t>DPP:Polythiophene</t>
  </si>
  <si>
    <t>PMHJ</t>
  </si>
  <si>
    <t>PDPPSe-12 and PBTTT</t>
  </si>
  <si>
    <t>110 nm (6 periods)</t>
  </si>
  <si>
    <t>CYTOP-M encapsulation</t>
  </si>
  <si>
    <t>368 K</t>
  </si>
  <si>
    <t>196 S cm⁻¹</t>
  </si>
  <si>
    <t>179 μV K⁻¹</t>
  </si>
  <si>
    <t>628 μW m⁻¹ K⁻²</t>
  </si>
  <si>
    <t>0.18 W m⁻¹ K⁻¹</t>
  </si>
  <si>
    <t>Fig. 3h</t>
  </si>
  <si>
    <t>interfacial propagon scattering</t>
  </si>
  <si>
    <t>wearable TEGs</t>
  </si>
  <si>
    <t>Seebeck vs Doping Level [S (µV K⁻¹) vs (mmol l⁻¹)]</t>
  </si>
  <si>
    <t>graph_variable [Y vs X] [Type 1]</t>
  </si>
  <si>
    <t>graph_variable [Y vs X] [Type 2]</t>
  </si>
  <si>
    <t>Electrical Conductivity vs Doping Level [σ (S cm⁻¹) vs (mmol l⁻¹)]</t>
  </si>
  <si>
    <t>graph_variable [Y vs X] [Type 3]</t>
  </si>
  <si>
    <t>Power Factor  vs Doping Level [PF (µW m⁻¹ K⁻²) vs (mmol l⁻¹)]</t>
  </si>
  <si>
    <t>power_factor_Extracted</t>
  </si>
  <si>
    <t>power_factor_Calculated</t>
  </si>
  <si>
    <t>ZT</t>
  </si>
  <si>
    <t>ZT_Calculated</t>
  </si>
  <si>
    <t xml:space="preserve">Temperature </t>
  </si>
  <si>
    <t>graph_variable [Y vs X] [Type 4]</t>
  </si>
  <si>
    <t>ZT vs Temperature  [vs (K)]</t>
  </si>
  <si>
    <t>Molecular Weight (Number of repeated monomers)</t>
  </si>
  <si>
    <t>https://doi.org/10.1038/s41467-019-10567-5</t>
  </si>
  <si>
    <t>A4</t>
  </si>
  <si>
    <t>graph_variable [Y vs X] [Type 5]</t>
  </si>
  <si>
    <t>Seebeck vs Conductivity [S (µV K⁻¹) vs σ (S cm⁻¹)]</t>
  </si>
  <si>
    <t>P3HT</t>
  </si>
  <si>
    <t>A5</t>
  </si>
  <si>
    <t>PDPP4T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</si>
  <si>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</si>
  <si>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</si>
  <si>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</si>
  <si>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</si>
  <si>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</si>
  <si>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</si>
  <si>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</si>
  <si>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</si>
  <si>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</si>
  <si>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</si>
  <si>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</si>
  <si>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</si>
  <si>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</si>
  <si>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</si>
  <si>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PBTTT-C14</t>
  </si>
  <si>
    <t>P2TDC17-FT4</t>
  </si>
  <si>
    <t>https://doi.org/10.1002/aenm.201401072</t>
  </si>
  <si>
    <t xml:space="preserve">P3HT </t>
  </si>
  <si>
    <t>Dopant</t>
  </si>
  <si>
    <t>F4TCNQ</t>
  </si>
  <si>
    <t>graph_variable [Y vs X] [Type 6]</t>
  </si>
  <si>
    <t xml:space="preserve">Power Factor  vs Electrical Conductivity [PF (µW m⁻¹ K⁻²) vs σ (S cm⁻¹)] </t>
  </si>
  <si>
    <t>PBTTT-C'14</t>
  </si>
  <si>
    <t>P2TDC'17-FT4</t>
  </si>
  <si>
    <t>FTS</t>
  </si>
  <si>
    <t>https://doi.org/10.1038/natrevmats.2016.50</t>
  </si>
  <si>
    <t>carrier_type</t>
  </si>
  <si>
    <t xml:space="preserve">p </t>
  </si>
  <si>
    <t>PEDOTS</t>
  </si>
  <si>
    <t>Polythiophenes</t>
  </si>
  <si>
    <t>PA/PANI</t>
  </si>
  <si>
    <t>n</t>
  </si>
  <si>
    <t>PEDOT-Tos</t>
  </si>
  <si>
    <t>PH3T</t>
  </si>
  <si>
    <t>https://doi.org/10.1038/NMAT4784</t>
  </si>
  <si>
    <t>P2TD'17-FT4</t>
  </si>
  <si>
    <t>PDPP3T</t>
  </si>
  <si>
    <t>A20</t>
  </si>
  <si>
    <t>A21</t>
  </si>
  <si>
    <t>A22</t>
  </si>
  <si>
    <t>PSBTBT</t>
  </si>
  <si>
    <t>A23</t>
  </si>
  <si>
    <t>Polyacetylene</t>
  </si>
  <si>
    <t>A24</t>
  </si>
  <si>
    <t>P3HT:F4TCNQ mixed P3HT</t>
  </si>
  <si>
    <t>A25</t>
  </si>
  <si>
    <t>A26</t>
  </si>
  <si>
    <t>A27</t>
  </si>
  <si>
    <t>PEDOT:tosylate</t>
  </si>
  <si>
    <t>PEDOS-C6</t>
  </si>
  <si>
    <t>A28</t>
  </si>
  <si>
    <t>A29</t>
  </si>
  <si>
    <t>Electrical Conductivity vs Oxidation Level [σ (S cm⁻¹) vs (%)]</t>
  </si>
  <si>
    <t>Seebeck vs Oxidation Level [S (µV K⁻¹) vs (%)]</t>
  </si>
  <si>
    <t>Power Factor  vs Oxidation Level [PF (µW m⁻¹ K⁻²) vs (%)]</t>
  </si>
  <si>
    <t>https://doi.org/10.1142/9789813148611_0008</t>
  </si>
  <si>
    <t>A30</t>
  </si>
  <si>
    <t>PEDOT-Tos (1 µm)</t>
  </si>
  <si>
    <t>https://doi.org/10.1038/s41598-020-64951-z</t>
  </si>
  <si>
    <t>A31</t>
  </si>
  <si>
    <t>PEDOT-Tos (500 nm)</t>
  </si>
  <si>
    <t>doped PAC</t>
  </si>
  <si>
    <t>A32</t>
  </si>
  <si>
    <t>A33</t>
  </si>
  <si>
    <t>doped PT</t>
  </si>
  <si>
    <t>A34</t>
  </si>
  <si>
    <t>doped PBTTT (oriented)</t>
  </si>
  <si>
    <t>A35</t>
  </si>
  <si>
    <t>PEDOT-PSS</t>
  </si>
  <si>
    <t>A36</t>
  </si>
  <si>
    <t>PEDOT-Tos-(HCl)</t>
  </si>
  <si>
    <t>PEDOT-Tos-(HI)</t>
  </si>
  <si>
    <t>A37</t>
  </si>
  <si>
    <t>A38</t>
  </si>
  <si>
    <t>PEDOT-Tos-(H2SO4)</t>
  </si>
  <si>
    <t xml:space="preserve">PDI (Polydispersity Index) </t>
  </si>
  <si>
    <t>Iron chloride (FeCl₃)</t>
  </si>
  <si>
    <t>Doping Level (Solution Concentration)</t>
  </si>
  <si>
    <t>Polymer Family</t>
  </si>
  <si>
    <t>Diketopyrrolopyrrole (DPP) derivative</t>
  </si>
  <si>
    <t>Polythiophene derivative</t>
  </si>
  <si>
    <t>Polymeric multi-heterojunction (PMHJ)</t>
  </si>
  <si>
    <t>Film Method Preparation</t>
  </si>
  <si>
    <t>Spin-coating</t>
  </si>
  <si>
    <t>Sequential Solution Casting</t>
  </si>
  <si>
    <r>
      <t xml:space="preserve">Molecular Weight - (polymer molecular weight/repeat-unit molecular weight) </t>
    </r>
    <r>
      <rPr>
        <b/>
        <sz val="11"/>
        <color theme="1"/>
        <rFont val="Aptos Narrow"/>
        <family val="2"/>
        <scheme val="minor"/>
      </rPr>
      <t>(Number of repeated monomers)</t>
    </r>
  </si>
  <si>
    <t>Molecular Weight of the Repeating Unit (g/mol)</t>
  </si>
  <si>
    <t>Repeating Unit Formula</t>
  </si>
  <si>
    <t>C42H62S4</t>
  </si>
  <si>
    <t>C10H14S</t>
  </si>
  <si>
    <t>Drop-casting from 5 mg/mL chloroform solution onto 45 °C glass</t>
  </si>
  <si>
    <t>Iodine vapor (I2)</t>
  </si>
  <si>
    <t>C62H90N2O2S4</t>
  </si>
  <si>
    <t>Drop-casting from 8 mg/mL chloroform solution onto 45 °C glass</t>
  </si>
  <si>
    <t xml:space="preserve">polythiophene </t>
  </si>
  <si>
    <t>diketopyrrolopyrrole (DPP)-based</t>
  </si>
  <si>
    <t>p</t>
  </si>
  <si>
    <t>Same as above</t>
  </si>
  <si>
    <t>Chemical Structure (Image)</t>
  </si>
  <si>
    <t>Why it is needed</t>
  </si>
  <si>
    <t>polymer_solvent</t>
  </si>
  <si>
    <t>The solvent strongly changes dissolution, drying, crystallinity, and final film morphology.</t>
  </si>
  <si>
    <t>dopant_solvent</t>
  </si>
  <si>
    <t>Dopant uptake and distribution depend heavily on the solvent carrying the dopant.</t>
  </si>
  <si>
    <t>Immersion, vapor, spin-coating, and co-processing can give very different doping efficiency.</t>
  </si>
  <si>
    <t>Whether doping is sequential or co-processed affects morphology and charge transport.</t>
  </si>
  <si>
    <t>Thermal treatment can change ordering, phase separation, and conductivity a lot.</t>
  </si>
  <si>
    <t>annealing_time</t>
  </si>
  <si>
    <t>Temperature alone is not enough; duration also changes the final microstructure.</t>
  </si>
  <si>
    <t>annealing_atmosphere</t>
  </si>
  <si>
    <t>Air, nitrogen, glovebox, or vacuum can change oxidation and doping stability.</t>
  </si>
  <si>
    <t>film_thickness_nm</t>
  </si>
  <si>
    <t>Electrical and thermoelectric properties often depend strongly on thickness.</t>
  </si>
  <si>
    <t>substrate_type</t>
  </si>
  <si>
    <t>Glass, Si/SiO2, flexible plastic, etc. can affect film formation and measurement setup.</t>
  </si>
  <si>
    <t>measurement_atmosphere</t>
  </si>
  <si>
    <t>Values measured in air vs glovebox vs vacuum may differ because materials can degrade or dedope.</t>
  </si>
  <si>
    <t>measurement_temperature_K</t>
  </si>
  <si>
    <t>A single standardized temperature field helps compare values fairly across papers.</t>
  </si>
  <si>
    <t>orientation_or_alignment</t>
  </si>
  <si>
    <t>Aligned films can show much higher directional transport than random films.</t>
  </si>
  <si>
    <t>sample_form</t>
  </si>
  <si>
    <t>Thin film, pellet, fiber, foam, or bulk sample changes how the data should be interpreted.</t>
  </si>
  <si>
    <t>You need this directly if you want ZT to be reproducible and not just copied from papers.</t>
  </si>
  <si>
    <t>thermal_conductivity_method</t>
  </si>
  <si>
    <t>Thermal conductivity is very method-sensitive, so the method must be stored.</t>
  </si>
  <si>
    <t>electrical_conductivity_method</t>
  </si>
  <si>
    <t>2-point, 4-point, van der Pauw, etc. can produce different reliability levels.</t>
  </si>
  <si>
    <t>seebeck_measurement_method</t>
  </si>
  <si>
    <t>Seebeck values depend on setup, temperature gradient, and reference method.</t>
  </si>
  <si>
    <t>doping_time</t>
  </si>
  <si>
    <t>Exposure time during doping directly affects dopant loading and final performance.</t>
  </si>
  <si>
    <t>Washing, rinsing, solvent vapor exposure, or acid treatment can change results a lot.</t>
  </si>
  <si>
    <t>replicate_count / error_bar</t>
  </si>
  <si>
    <t>This tells whether the value is a single point or statistically reliable.</t>
  </si>
  <si>
    <t>Added to the Database?</t>
  </si>
  <si>
    <t>Mn</t>
  </si>
  <si>
    <t>SMILES/InChI</t>
  </si>
  <si>
    <t>Chemical formats like SMILES/InChI, so searching and computation are harder.</t>
  </si>
  <si>
    <r>
      <t xml:space="preserve">It means the average chain mass calculated by counting how many molecules there are, so it tells you the typical polymer chain length. </t>
    </r>
    <r>
      <rPr>
        <b/>
        <sz val="11"/>
        <color theme="1"/>
        <rFont val="Aptos Narrow"/>
        <family val="2"/>
        <scheme val="minor"/>
      </rPr>
      <t>(PDI = Mw / Mn)</t>
    </r>
  </si>
  <si>
    <t>Horates Database</t>
  </si>
  <si>
    <t xml:space="preserve">Horates Database </t>
  </si>
  <si>
    <t>Compared our Current to which existing database</t>
  </si>
  <si>
    <t>Gives each extracted record a unique identity so every datapoint can be tracked separately.</t>
  </si>
  <si>
    <t>Links related datapoints from the same source, material, or experiment under a common identifier.</t>
  </si>
  <si>
    <t>Stores the precise material name so you know exactly which polymer was studied.</t>
  </si>
  <si>
    <t>Groups similar polymers together for broader comparison and trend analysis.</t>
  </si>
  <si>
    <t>Preserves the actual visual molecular structure, which helps verify chemistry and manual interpretation.</t>
  </si>
  <si>
    <t>Captures the polymer repeat unit in text form so composition can be analyzed computationally.</t>
  </si>
  <si>
    <t>Gives the mass of one repeat unit, which is needed for chemistry calculations and normalization.</t>
  </si>
  <si>
    <t>Molecular Weight - (polymer molecular weight/repeat-unit molecular weight) (Number of repeated monomers)</t>
  </si>
  <si>
    <t>Estimates degree of polymerization, which helps relate chain length to properties.</t>
  </si>
  <si>
    <t>Records how the film was made, since processing strongly affects morphology and performance.</t>
  </si>
  <si>
    <t>Mw (Molecular Weight) [kDa]</t>
  </si>
  <si>
    <t>Stores the weight-average molecular weight, which affects chain entanglement, ordering, and transport.</t>
  </si>
  <si>
    <t>PDI (Polydispersity Index)</t>
  </si>
  <si>
    <t>Shows how broad the polymer chain-size distribution is, which influences reproducibility and material behavior.</t>
  </si>
  <si>
    <t>Identifies the chemical used to introduce charge carriers into the polymer.</t>
  </si>
  <si>
    <t>Shows how much dopant was used, which directly affects conductivity and Seebeck behavior.</t>
  </si>
  <si>
    <t>Tells whether the material is p-type or n-type, which is essential for thermoelectric classification.</t>
  </si>
  <si>
    <t>Stores how the first graph was reported, so extracted values can be interpreted in the right context.</t>
  </si>
  <si>
    <t>Gives the thermovoltage response per temperature difference, one of the core thermoelectric properties.</t>
  </si>
  <si>
    <t>Records the doping state tied to that property value, helping relate performance to charge concentration.</t>
  </si>
  <si>
    <t>Stores the second graph relationship so the corresponding extracted measurements remain traceable.</t>
  </si>
  <si>
    <t>Measures how easily charge flows through the material, a key thermoelectric parameter.</t>
  </si>
  <si>
    <t>Again links conductivity data to a specific doping state for fair comparison.</t>
  </si>
  <si>
    <t>Describes the third graph source so extracted power-factor data can be understood properly.</t>
  </si>
  <si>
    <t>Stores power factor taken directly from a graph or paper, useful for preserving reported performance.</t>
  </si>
  <si>
    <t>Connects the extracted power factor to the exact doping condition used.</t>
  </si>
  <si>
    <t>Describes the fourth graph relationship for the reported ZT data.</t>
  </si>
  <si>
    <t>Gives the reported dimensionless thermoelectric figure of merit, which summarizes overall performance.</t>
  </si>
  <si>
    <t>Temperature</t>
  </si>
  <si>
    <t>Records the temperature at which the property was measured, since thermoelectric values depend strongly on temperature.</t>
  </si>
  <si>
    <t>Stores the graph relationship where Seebeck and conductivity may be compared directly.</t>
  </si>
  <si>
    <t>Used again here because some graphs report Seebeck in relation to another variable, not just doping level.</t>
  </si>
  <si>
    <t>Used again here because some graphs compare conductivity directly with Seebeck or another property.</t>
  </si>
  <si>
    <t>Stores the graph relationship for another reported comparison, usually involving power factor or conductivity.</t>
  </si>
  <si>
    <t>Keeps extracted power factor values from this graph type for comparison with calculated values.</t>
  </si>
  <si>
    <t>Helps preserve the paired conductivity value when the graph reports PF against conductivity.</t>
  </si>
  <si>
    <t>Records the temperature during doping, which can affect dopant uptake and final material properties.</t>
  </si>
  <si>
    <t>Stores power factor computed from Seebeck and conductivity, useful for validation against extracted values.</t>
  </si>
  <si>
    <t>Stores ZT calculated from available inputs, helping fill gaps when the paper does not report it directly.</t>
  </si>
  <si>
    <t>Prevents ambiguity by specifying the unit used for doping level.</t>
  </si>
  <si>
    <t>Tells what kind of graph the datapoint came from, which helps organize extracted data.</t>
  </si>
  <si>
    <t>Records how the value was obtained from the source, improving transparency and reproducibility.</t>
  </si>
  <si>
    <t>Links the datapoint to the original publication so the source can be verified quickly.</t>
  </si>
  <si>
    <t>Points to the exact figure, table, or section where the value came from, making the record audit-friendly.</t>
  </si>
  <si>
    <t>Key</t>
  </si>
  <si>
    <t>Yellow Cell</t>
  </si>
  <si>
    <t>Most Important to add</t>
  </si>
  <si>
    <t>How can this field help in material informatics of Organic Thermoelectric Polymers</t>
  </si>
  <si>
    <t>Key Definition</t>
  </si>
  <si>
    <t xml:space="preserve">Doping Temperature </t>
  </si>
  <si>
    <t>All Colunm Names (Defined)</t>
  </si>
  <si>
    <t>Why it is needed (Write it yourself)</t>
  </si>
  <si>
    <t>Polymer_Solvent</t>
  </si>
  <si>
    <t>annealing condition</t>
  </si>
  <si>
    <t>Rules</t>
  </si>
  <si>
    <t>Nitromethane (CH₃NO₂)</t>
  </si>
  <si>
    <t>Immersion (30 s)</t>
  </si>
  <si>
    <t>180 °C</t>
  </si>
  <si>
    <t>180 °C for 1 h</t>
  </si>
  <si>
    <t>180 °C (or 383 K pre-test)</t>
  </si>
  <si>
    <t>180 °C (1 h) + 383 K (3 min)</t>
  </si>
  <si>
    <t>1 h</t>
  </si>
  <si>
    <t>1 h (fabrication)</t>
  </si>
  <si>
    <t>Nitrogen</t>
  </si>
  <si>
    <t>Glass</t>
  </si>
  <si>
    <t>Glass, Polyimide, or PET</t>
  </si>
  <si>
    <t>Vacuum</t>
  </si>
  <si>
    <t>298 K to 368 K</t>
  </si>
  <si>
    <t>Ordered molecular packing</t>
  </si>
  <si>
    <t>Liquid-crystalline order</t>
  </si>
  <si>
    <t>In-plane transport optimized</t>
  </si>
  <si>
    <t>Thin film</t>
  </si>
  <si>
    <t>Thin film / periodic architecture</t>
  </si>
  <si>
    <t>Linseis thin-film analyser</t>
  </si>
  <si>
    <t>Linseis thin-film analyser / 3ω SThM</t>
  </si>
  <si>
    <t>30 s</t>
  </si>
  <si>
    <t>Room Temperature</t>
  </si>
  <si>
    <t>Methods, Fig 1, Fig 3</t>
  </si>
  <si>
    <t>Methods, Fig 1-4</t>
  </si>
  <si>
    <t>Notes</t>
  </si>
  <si>
    <t>Same as Above</t>
  </si>
  <si>
    <r>
      <rPr>
        <b/>
        <sz val="11"/>
        <color theme="1"/>
        <rFont val="Aptos Narrow"/>
        <family val="2"/>
        <scheme val="minor"/>
      </rPr>
      <t>Notes on the PMHJ (6, 4, 4) Structure:</t>
    </r>
    <r>
      <rPr>
        <sz val="11"/>
        <color theme="1"/>
        <rFont val="Aptos Narrow"/>
        <family val="2"/>
        <scheme val="minor"/>
      </rPr>
      <t xml:space="preserve">
Indexing: The (6, 4, 4) refers to the thicknesses (in nm) of the PDPPSe-12 layer, the interpenetrating interface, and the PBTTT layer, respectively
Crosslinker: All films utilized 2 wt% 4Bx (an azide-based crosslinker) to inhibit solvent corrosion and enable sequential solution processing
Performance: The record ZT of 1.28 was achieved at 368 K for the (6, 4, 4) PMHJ structure doped with 12 mmol l⁻¹ FeCl 
3</t>
    </r>
  </si>
  <si>
    <t>0.15 W m⁻¹ K⁻¹ at 298K &amp; 0.18 W m⁻¹ K⁻¹ at 368k</t>
  </si>
  <si>
    <t>C53H78N2O2S2Se</t>
  </si>
  <si>
    <t xml:space="preserve">Mw (Weight Average Molecular Weight) [kDa] </t>
  </si>
  <si>
    <t xml:space="preserve">Mn (Number Average Molecular Weight)  [kDa] 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</si>
  <si>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</t>
  </si>
  <si>
    <t>Although all six graphs correspond to the same governing equation with four fitted parameters, the extracted data points are not arranged such that each row represents a single complete observation. Instead, values were digitized from different locations across the original graphs, so each Graph type {1 to 6}column should be interpreted independently according to its source graph and parameter context. We will make these changes in future improovements.</t>
  </si>
  <si>
    <t>Number of Additional Papers Covered</t>
  </si>
  <si>
    <t>Selenium-substituted diketopyrrolopyrrole polymer for high-performance p-type organic thermoelectric materials
Angew. Chem. Int. Ed. 58, 18994–18999 (2019) (Ref 3)
PDPPSe-12</t>
  </si>
  <si>
    <t>Number of Additional Papers Covered - Extra Information</t>
  </si>
  <si>
    <t>Impact of the Doping Method on Conductivity and Thermopower in Semiconducting Polythiophenes</t>
  </si>
  <si>
    <t>Key Insights from this paper</t>
  </si>
  <si>
    <t>Key Insights from the Sources:
Variable Integration: The (6, 4, 4) PMHJ is a complex architecture that integrates both PDPPSe-12 (6 nm) and PBTTT (4 nm) layers separated by a 4-nm interpenetrating interface
Record Performance: The paper titled "Multi-heterojunctioned plastics..." reports that the combination of these variables results in a record-breaking ZT of 1.28 at 368 K
History Context: The third paper mentioned, regarding the impact of doping methods, was used in previous turns to compare how different dopants (F4TCNQ and FTS) affect the transport properties of PBTTT-C14.</t>
  </si>
  <si>
    <t>Chloroform</t>
  </si>
  <si>
    <t>Vapor exposure</t>
  </si>
  <si>
    <t>Drop-cast at 45 °C</t>
  </si>
  <si>
    <t>~10 min (evaporation)</t>
  </si>
  <si>
    <t>Ambient</t>
  </si>
  <si>
    <t>~4,000 (4 µm)</t>
  </si>
  <si>
    <t>~9,000 (9 µm)</t>
  </si>
  <si>
    <t>Glass coverslip</t>
  </si>
  <si>
    <t>Grounded metal box</t>
  </si>
  <si>
    <t>2 hours</t>
  </si>
  <si>
    <t>Spontaneous de-doping</t>
  </si>
  <si>
    <t>Doping Temperature Celcius</t>
  </si>
  <si>
    <t>The study utilizes spontaneous de-doping over a period of 4–24 hours to capture a broad range of Seebeck coefficients and conductivities using a single sample</t>
  </si>
  <si>
    <t xml:space="preserve">The study demonstrates that dopant clustering (spatial heterogeneity) profoundly alters the density of states (DOS), creating a "heavy-tailed" quasi-exponential distribution that depresses the Seebeck coefficient
Doping at 75 °C results in a more homogeneous dopant distribution, which maintains a more ideal Gaussian DOS and alters the charge transport dynamics
</t>
  </si>
  <si>
    <t>Reference 9: Kang and Snyder's two-parameter transport model
Reference 31: High-performance DPP-based polymers
Reference 58: Modeling disorder effects in polymers</t>
  </si>
  <si>
    <t>Art. 16, Fig 1-4, Meth.</t>
  </si>
  <si>
    <t>Quartz/Glass</t>
  </si>
  <si>
    <t>Substrate-aligned</t>
  </si>
  <si>
    <t>Solution mixed</t>
  </si>
  <si>
    <t>Key Insights and Notes
Universal Trend: The paper's most significant finding is an empirical power law, α∝σ 
−1/4
 , which holds across nine orders of magnitude of conductivity
. This relationship appears independent of the specific polymer or the doping method used
.
Doping Stability: F4TCNQ-doped P3HT and PBTTT-C14 films are thermally stable upon annealing at 150 °C, whereas P2TDC17-FT4 is unstable to thermal treatment
.
Morphological Effects: F4TCNQ is known to intercalate into the ordered crystalline regions, potentially disrupting molecular packing, while FTS is believed to reside primarily on the surface, stabilizing carriers via a surface dipole
.
Thermoelectric Performance: Higher electrical conductivities and power factors were achieved using the vapor-phase FTS doping compared to the solution-based F4TCNQ doping</t>
  </si>
  <si>
    <t>Additional Papers Covered: The source references 59 additional papers to benchmark its findings against foundational polymers like polyacetylene and polyaniline</t>
  </si>
  <si>
    <t>Fig 1-5, Table 1-2</t>
  </si>
  <si>
    <t>Thermal annealing</t>
  </si>
  <si>
    <t>Ambient de-doping</t>
  </si>
  <si>
    <t>10 min</t>
  </si>
  <si>
    <t>150 °C</t>
  </si>
  <si>
    <t xml:space="preserve">	
10 min, N2</t>
  </si>
  <si>
    <t>As-cast only</t>
  </si>
  <si>
    <t>CB/DCB (1:1)</t>
  </si>
  <si>
    <t>Solution casting</t>
  </si>
  <si>
    <t>Vapor deposition</t>
  </si>
  <si>
    <t>thermal_conductivity (W m⁻¹ K⁻¹)</t>
  </si>
  <si>
    <t>seebeck</t>
  </si>
  <si>
    <t>power_factor_Calculated (W m⁻¹ K⁻²)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</si>
</sst>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.00000000000"/>
    <numFmt numFmtId="165" formatCode="0.000000000000"/>
    <numFmt numFmtId="166" formatCode="0.0000000000000"/>
    <numFmt numFmtId="167" formatCode="0.00000000000000"/>
    <numFmt numFmtId="168" formatCode="0.000000000000000"/>
    <numFmt numFmtId="169" formatCode="0.0000000000000000"/>
    <numFmt numFmtId="170" formatCode="0.000000000000000000"/>
    <numFmt numFmtId="171" formatCode="0.0000000000000E+00"/>
    <numFmt numFmtId="172" formatCode="0.00000000000000E+00"/>
    <numFmt numFmtId="173" formatCode="0.000000000000000E+00"/>
    <numFmt numFmtId="174" formatCode="0.00000000000000000E+00"/>
    <numFmt numFmtId="175" formatCode="0.00000000000000000"/>
    <numFmt numFmtId="176" formatCode="0.0000000000000000000000E+00"/>
    <numFmt numFmtId="177" formatCode="0.0000000000000000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sz val="12"/>
      <color theme="1"/>
      <name val="Aptos"/>
      <family val="2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8" fillId="0" borderId="0" xfId="0" applyFont="1" applyAlignment="1">
      <alignment horizontal="left"/>
    </xf>
    <xf numFmtId="0" fontId="4" fillId="0" borderId="0" xfId="1" applyAlignment="1">
      <alignment horizontal="left"/>
    </xf>
    <xf numFmtId="0" fontId="0" fillId="4" borderId="0" xfId="0" applyFill="1"/>
    <xf numFmtId="0" fontId="4" fillId="0" borderId="0" xfId="1"/>
    <xf numFmtId="0" fontId="0" fillId="5" borderId="0" xfId="0" applyFill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7" fontId="0" fillId="0" borderId="0" xfId="0" applyNumberFormat="1" applyAlignment="1">
      <alignment horizontal="left"/>
    </xf>
    <xf numFmtId="168" fontId="0" fillId="0" borderId="0" xfId="0" applyNumberFormat="1" applyAlignment="1">
      <alignment horizontal="left"/>
    </xf>
    <xf numFmtId="168" fontId="0" fillId="2" borderId="7" xfId="0" applyNumberFormat="1" applyFill="1" applyBorder="1" applyAlignment="1">
      <alignment horizontal="left"/>
    </xf>
    <xf numFmtId="168" fontId="0" fillId="2" borderId="2" xfId="0" applyNumberFormat="1" applyFill="1" applyBorder="1" applyAlignment="1">
      <alignment horizontal="left"/>
    </xf>
    <xf numFmtId="168" fontId="0" fillId="0" borderId="4" xfId="0" applyNumberFormat="1" applyBorder="1" applyAlignment="1">
      <alignment horizontal="left"/>
    </xf>
    <xf numFmtId="168" fontId="0" fillId="0" borderId="8" xfId="0" applyNumberFormat="1" applyBorder="1" applyAlignment="1">
      <alignment horizontal="left"/>
    </xf>
    <xf numFmtId="168" fontId="0" fillId="0" borderId="6" xfId="0" applyNumberFormat="1" applyBorder="1" applyAlignment="1">
      <alignment horizontal="left"/>
    </xf>
    <xf numFmtId="168" fontId="0" fillId="0" borderId="0" xfId="0" applyNumberFormat="1"/>
    <xf numFmtId="169" fontId="0" fillId="0" borderId="0" xfId="0" applyNumberFormat="1" applyAlignment="1">
      <alignment horizontal="left"/>
    </xf>
    <xf numFmtId="170" fontId="0" fillId="0" borderId="0" xfId="0" applyNumberFormat="1" applyAlignment="1">
      <alignment horizontal="left"/>
    </xf>
    <xf numFmtId="0" fontId="1" fillId="0" borderId="0" xfId="0" applyFont="1"/>
    <xf numFmtId="171" fontId="0" fillId="0" borderId="0" xfId="0" applyNumberFormat="1" applyAlignment="1">
      <alignment horizontal="left"/>
    </xf>
    <xf numFmtId="172" fontId="0" fillId="0" borderId="0" xfId="0" applyNumberFormat="1" applyAlignment="1">
      <alignment horizontal="left"/>
    </xf>
    <xf numFmtId="173" fontId="0" fillId="0" borderId="0" xfId="0" applyNumberFormat="1" applyAlignment="1">
      <alignment horizontal="left"/>
    </xf>
    <xf numFmtId="174" fontId="0" fillId="0" borderId="0" xfId="0" applyNumberFormat="1" applyAlignment="1">
      <alignment horizontal="left"/>
    </xf>
    <xf numFmtId="175" fontId="0" fillId="0" borderId="0" xfId="0" applyNumberFormat="1" applyAlignment="1">
      <alignment horizontal="left"/>
    </xf>
    <xf numFmtId="176" fontId="0" fillId="0" borderId="0" xfId="0" applyNumberFormat="1" applyAlignment="1">
      <alignment horizontal="left"/>
    </xf>
    <xf numFmtId="177" fontId="0" fillId="0" borderId="0" xfId="0" applyNumberForma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/>
    </xf>
    <xf numFmtId="1" fontId="0" fillId="5" borderId="0" xfId="0" applyNumberFormat="1" applyFill="1" applyAlignment="1">
      <alignment horizontal="left"/>
    </xf>
    <xf numFmtId="1" fontId="0" fillId="2" borderId="0" xfId="0" applyNumberFormat="1" applyFill="1" applyAlignment="1">
      <alignment horizontal="left"/>
    </xf>
    <xf numFmtId="1" fontId="0" fillId="0" borderId="0" xfId="0" applyNumberFormat="1"/>
    <xf numFmtId="0" fontId="0" fillId="6" borderId="0" xfId="0" applyFill="1" applyAlignment="1">
      <alignment horizontal="left"/>
    </xf>
    <xf numFmtId="0" fontId="1" fillId="6" borderId="0" xfId="0" applyFont="1" applyFill="1"/>
    <xf numFmtId="0" fontId="1" fillId="6" borderId="0" xfId="0" applyFont="1" applyFill="1" applyAlignment="1">
      <alignment horizontal="left" vertical="center" wrapText="1"/>
    </xf>
    <xf numFmtId="0" fontId="0" fillId="6" borderId="0" xfId="0" applyFill="1"/>
    <xf numFmtId="0" fontId="0" fillId="7" borderId="9" xfId="0" applyFill="1" applyBorder="1"/>
    <xf numFmtId="0" fontId="1" fillId="3" borderId="9" xfId="0" applyFont="1" applyFill="1" applyBorder="1" applyAlignment="1">
      <alignment horizontal="center" vertical="center" wrapText="1"/>
    </xf>
    <xf numFmtId="0" fontId="0" fillId="0" borderId="9" xfId="0" applyBorder="1"/>
    <xf numFmtId="0" fontId="1" fillId="0" borderId="9" xfId="0" applyFont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4" fillId="0" borderId="9" xfId="1" applyBorder="1"/>
    <xf numFmtId="0" fontId="0" fillId="8" borderId="9" xfId="0" applyFill="1" applyBorder="1"/>
    <xf numFmtId="0" fontId="1" fillId="2" borderId="9" xfId="0" applyFont="1" applyFill="1" applyBorder="1" applyAlignment="1">
      <alignment vertical="center" wrapText="1"/>
    </xf>
    <xf numFmtId="0" fontId="0" fillId="2" borderId="9" xfId="0" applyFill="1" applyBorder="1" applyAlignment="1">
      <alignment vertical="center" wrapText="1"/>
    </xf>
    <xf numFmtId="0" fontId="1" fillId="3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9" borderId="9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1" fillId="5" borderId="10" xfId="0" applyFont="1" applyFill="1" applyBorder="1" applyAlignment="1">
      <alignment vertical="center" wrapText="1"/>
    </xf>
    <xf numFmtId="0" fontId="3" fillId="7" borderId="9" xfId="0" applyFont="1" applyFill="1" applyBorder="1"/>
    <xf numFmtId="0" fontId="0" fillId="0" borderId="0" xfId="0" applyAlignment="1">
      <alignment horizontal="left" wrapText="1"/>
    </xf>
    <xf numFmtId="0" fontId="0" fillId="8" borderId="0" xfId="0" applyFill="1" applyAlignment="1">
      <alignment horizontal="left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6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79</xdr:col>
      <xdr:colOff>0</xdr:colOff>
      <xdr:row>1</xdr:row>
      <xdr:rowOff>0</xdr:rowOff>
    </xdr:from>
    <xdr:to>
      <xdr:col>85</xdr:col>
      <xdr:colOff>152731</xdr:colOff>
      <xdr:row>21</xdr:row>
      <xdr:rowOff>67918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E4C2D3-8A46-CB6F-1A0B-7F217A471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116180" y="182880"/>
          <a:ext cx="3810330" cy="589077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38/s41467-019-10567-5" TargetMode="External"/><Relationship Id="rId18" Type="http://schemas.openxmlformats.org/officeDocument/2006/relationships/hyperlink" Target="https://doi.org/10.1038/s41586-024-07724-2" TargetMode="External"/><Relationship Id="rId26" Type="http://schemas.openxmlformats.org/officeDocument/2006/relationships/hyperlink" Target="https://doi.org/10.1038/s41586-024-07724-2" TargetMode="External"/><Relationship Id="rId39" Type="http://schemas.openxmlformats.org/officeDocument/2006/relationships/hyperlink" Target="https://doi.org/10.1038/s41467-019-10567-5" TargetMode="External"/><Relationship Id="rId21" Type="http://schemas.openxmlformats.org/officeDocument/2006/relationships/hyperlink" Target="https://doi.org/10.1038/s41586-024-07724-2" TargetMode="External"/><Relationship Id="rId34" Type="http://schemas.openxmlformats.org/officeDocument/2006/relationships/hyperlink" Target="https://doi.org/10.1038/s41586-024-07724-2" TargetMode="External"/><Relationship Id="rId42" Type="http://schemas.openxmlformats.org/officeDocument/2006/relationships/hyperlink" Target="https://doi.org/10.1038/natrevmats.2016.50" TargetMode="External"/><Relationship Id="rId47" Type="http://schemas.openxmlformats.org/officeDocument/2006/relationships/hyperlink" Target="https://doi.org/10.1038/NMAT4784" TargetMode="External"/><Relationship Id="rId50" Type="http://schemas.openxmlformats.org/officeDocument/2006/relationships/hyperlink" Target="https://doi.org/10.1142/9789813148611_0008" TargetMode="External"/><Relationship Id="rId55" Type="http://schemas.openxmlformats.org/officeDocument/2006/relationships/hyperlink" Target="https://doi.org/10.1038/s41586-024-07724-2" TargetMode="External"/><Relationship Id="rId7" Type="http://schemas.openxmlformats.org/officeDocument/2006/relationships/hyperlink" Target="https://doi.org/10.1038/s41467-019-10567-5" TargetMode="External"/><Relationship Id="rId2" Type="http://schemas.openxmlformats.org/officeDocument/2006/relationships/hyperlink" Target="https://doi.org/10.1038/s41586-024-07724-2" TargetMode="External"/><Relationship Id="rId16" Type="http://schemas.openxmlformats.org/officeDocument/2006/relationships/hyperlink" Target="https://doi.org/10.1038/s41467-019-10567-5" TargetMode="External"/><Relationship Id="rId29" Type="http://schemas.openxmlformats.org/officeDocument/2006/relationships/hyperlink" Target="https://doi.org/10.1038/s41586-024-07724-2" TargetMode="External"/><Relationship Id="rId11" Type="http://schemas.openxmlformats.org/officeDocument/2006/relationships/hyperlink" Target="https://doi.org/10.1038/s41467-019-10567-5" TargetMode="External"/><Relationship Id="rId24" Type="http://schemas.openxmlformats.org/officeDocument/2006/relationships/hyperlink" Target="https://doi.org/10.1038/s41586-024-07724-2" TargetMode="External"/><Relationship Id="rId32" Type="http://schemas.openxmlformats.org/officeDocument/2006/relationships/hyperlink" Target="https://doi.org/10.1038/s41586-024-07724-2" TargetMode="External"/><Relationship Id="rId37" Type="http://schemas.openxmlformats.org/officeDocument/2006/relationships/hyperlink" Target="https://doi.org/10.1038/s41586-024-07724-2" TargetMode="External"/><Relationship Id="rId40" Type="http://schemas.openxmlformats.org/officeDocument/2006/relationships/hyperlink" Target="https://doi.org/10.1002/aenm.201401072" TargetMode="External"/><Relationship Id="rId45" Type="http://schemas.openxmlformats.org/officeDocument/2006/relationships/hyperlink" Target="https://doi.org/10.1038/NMAT4784" TargetMode="External"/><Relationship Id="rId53" Type="http://schemas.openxmlformats.org/officeDocument/2006/relationships/hyperlink" Target="https://doi.org/10.1038/s41598-020-64951-z" TargetMode="External"/><Relationship Id="rId5" Type="http://schemas.openxmlformats.org/officeDocument/2006/relationships/hyperlink" Target="https://doi.org/10.1038/s41467-019-10567-5" TargetMode="External"/><Relationship Id="rId10" Type="http://schemas.openxmlformats.org/officeDocument/2006/relationships/hyperlink" Target="https://doi.org/10.1038/s41467-019-10567-5" TargetMode="External"/><Relationship Id="rId19" Type="http://schemas.openxmlformats.org/officeDocument/2006/relationships/hyperlink" Target="https://doi.org/10.1038/s41586-024-07724-2" TargetMode="External"/><Relationship Id="rId31" Type="http://schemas.openxmlformats.org/officeDocument/2006/relationships/hyperlink" Target="https://doi.org/10.1038/s41586-024-07724-2" TargetMode="External"/><Relationship Id="rId44" Type="http://schemas.openxmlformats.org/officeDocument/2006/relationships/hyperlink" Target="https://doi.org/10.1038/natrevmats.2016.50" TargetMode="External"/><Relationship Id="rId52" Type="http://schemas.openxmlformats.org/officeDocument/2006/relationships/hyperlink" Target="https://doi.org/10.1038/s41598-020-64951-z" TargetMode="External"/><Relationship Id="rId4" Type="http://schemas.openxmlformats.org/officeDocument/2006/relationships/hyperlink" Target="https://doi.org/10.1038/s41586-024-07724-2" TargetMode="External"/><Relationship Id="rId9" Type="http://schemas.openxmlformats.org/officeDocument/2006/relationships/hyperlink" Target="https://doi.org/10.1038/s41467-019-10567-5" TargetMode="External"/><Relationship Id="rId14" Type="http://schemas.openxmlformats.org/officeDocument/2006/relationships/hyperlink" Target="https://doi.org/10.1038/s41467-019-10567-5" TargetMode="External"/><Relationship Id="rId22" Type="http://schemas.openxmlformats.org/officeDocument/2006/relationships/hyperlink" Target="https://doi.org/10.1038/s41586-024-07724-2" TargetMode="External"/><Relationship Id="rId27" Type="http://schemas.openxmlformats.org/officeDocument/2006/relationships/hyperlink" Target="https://doi.org/10.1038/s41586-024-07724-2" TargetMode="External"/><Relationship Id="rId30" Type="http://schemas.openxmlformats.org/officeDocument/2006/relationships/hyperlink" Target="https://doi.org/10.1038/s41586-024-07724-2" TargetMode="External"/><Relationship Id="rId35" Type="http://schemas.openxmlformats.org/officeDocument/2006/relationships/hyperlink" Target="https://doi.org/10.1038/s41586-024-07724-2" TargetMode="External"/><Relationship Id="rId43" Type="http://schemas.openxmlformats.org/officeDocument/2006/relationships/hyperlink" Target="https://doi.org/10.1038/natrevmats.2016.50" TargetMode="External"/><Relationship Id="rId48" Type="http://schemas.openxmlformats.org/officeDocument/2006/relationships/hyperlink" Target="https://doi.org/10.1038/NMAT4784" TargetMode="External"/><Relationship Id="rId8" Type="http://schemas.openxmlformats.org/officeDocument/2006/relationships/hyperlink" Target="https://doi.org/10.1038/s41467-019-10567-5" TargetMode="External"/><Relationship Id="rId51" Type="http://schemas.openxmlformats.org/officeDocument/2006/relationships/hyperlink" Target="https://doi.org/10.1142/9789813148611_0008" TargetMode="External"/><Relationship Id="rId3" Type="http://schemas.openxmlformats.org/officeDocument/2006/relationships/hyperlink" Target="https://doi.org/10.1038/s41586-024-07724-2" TargetMode="External"/><Relationship Id="rId12" Type="http://schemas.openxmlformats.org/officeDocument/2006/relationships/hyperlink" Target="https://doi.org/10.1038/s41467-019-10567-5" TargetMode="External"/><Relationship Id="rId17" Type="http://schemas.openxmlformats.org/officeDocument/2006/relationships/hyperlink" Target="https://doi.org/10.1038/s41586-024-07724-2" TargetMode="External"/><Relationship Id="rId25" Type="http://schemas.openxmlformats.org/officeDocument/2006/relationships/hyperlink" Target="https://doi.org/10.1038/s41586-024-07724-2" TargetMode="External"/><Relationship Id="rId33" Type="http://schemas.openxmlformats.org/officeDocument/2006/relationships/hyperlink" Target="https://doi.org/10.1038/s41586-024-07724-2" TargetMode="External"/><Relationship Id="rId38" Type="http://schemas.openxmlformats.org/officeDocument/2006/relationships/hyperlink" Target="https://doi.org/10.1038/s41586-024-07724-2" TargetMode="External"/><Relationship Id="rId46" Type="http://schemas.openxmlformats.org/officeDocument/2006/relationships/hyperlink" Target="https://doi.org/10.1038/NMAT4784" TargetMode="External"/><Relationship Id="rId20" Type="http://schemas.openxmlformats.org/officeDocument/2006/relationships/hyperlink" Target="https://doi.org/10.1038/s41586-024-07724-2" TargetMode="External"/><Relationship Id="rId41" Type="http://schemas.openxmlformats.org/officeDocument/2006/relationships/hyperlink" Target="https://doi.org/10.1002/aenm.201401072" TargetMode="External"/><Relationship Id="rId54" Type="http://schemas.openxmlformats.org/officeDocument/2006/relationships/hyperlink" Target="https://doi.org/10.1038/s41598-020-64951-z" TargetMode="External"/><Relationship Id="rId1" Type="http://schemas.openxmlformats.org/officeDocument/2006/relationships/hyperlink" Target="https://doi.org/10.1038/s41586-024-07724-2" TargetMode="External"/><Relationship Id="rId6" Type="http://schemas.openxmlformats.org/officeDocument/2006/relationships/hyperlink" Target="https://doi.org/10.1038/s41467-019-10567-5" TargetMode="External"/><Relationship Id="rId15" Type="http://schemas.openxmlformats.org/officeDocument/2006/relationships/hyperlink" Target="https://doi.org/10.1038/s41467-019-10567-5" TargetMode="External"/><Relationship Id="rId23" Type="http://schemas.openxmlformats.org/officeDocument/2006/relationships/hyperlink" Target="https://doi.org/10.1038/s41586-024-07724-2" TargetMode="External"/><Relationship Id="rId28" Type="http://schemas.openxmlformats.org/officeDocument/2006/relationships/hyperlink" Target="https://doi.org/10.1038/s41586-024-07724-2" TargetMode="External"/><Relationship Id="rId36" Type="http://schemas.openxmlformats.org/officeDocument/2006/relationships/hyperlink" Target="https://doi.org/10.1038/s41586-024-07724-2" TargetMode="External"/><Relationship Id="rId49" Type="http://schemas.openxmlformats.org/officeDocument/2006/relationships/hyperlink" Target="https://doi.org/10.1038/NMAT4784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5281/zenodo.10629203" TargetMode="External"/><Relationship Id="rId1" Type="http://schemas.openxmlformats.org/officeDocument/2006/relationships/hyperlink" Target="https://doi.org/10.5281/zenodo.106292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65C3F-FD17-477A-AADE-4F47F8D4E14E}">
  <dimension ref="A1:BY14"/>
  <sheetViews>
    <sheetView zoomScale="79" workbookViewId="0">
      <selection activeCell="F2" sqref="F2"/>
    </sheetView>
  </sheetViews>
  <sheetFormatPr defaultRowHeight="14.4" x14ac:dyDescent="0.3"/>
  <cols>
    <col min="1" max="1" width="9.44140625" bestFit="1" customWidth="1"/>
    <col min="2" max="2" width="20.88671875" customWidth="1"/>
    <col min="3" max="3" width="16.5546875" bestFit="1" customWidth="1"/>
    <col min="4" max="4" width="12.88671875" bestFit="1" customWidth="1"/>
    <col min="5" max="5" width="22.21875" bestFit="1" customWidth="1"/>
    <col min="6" max="6" width="46.109375" bestFit="1" customWidth="1"/>
    <col min="7" max="7" width="6.6640625" bestFit="1" customWidth="1"/>
    <col min="8" max="9" width="11.6640625" bestFit="1" customWidth="1"/>
    <col min="10" max="10" width="15.44140625" bestFit="1" customWidth="1"/>
    <col min="11" max="11" width="15.88671875" bestFit="1" customWidth="1"/>
    <col min="12" max="12" width="15.77734375" bestFit="1" customWidth="1"/>
    <col min="13" max="13" width="14" bestFit="1" customWidth="1"/>
    <col min="14" max="14" width="18.44140625" bestFit="1" customWidth="1"/>
    <col min="15" max="15" width="17.77734375" bestFit="1" customWidth="1"/>
    <col min="16" max="16" width="18" bestFit="1" customWidth="1"/>
    <col min="17" max="17" width="14.88671875" bestFit="1" customWidth="1"/>
    <col min="18" max="18" width="16.6640625" bestFit="1" customWidth="1"/>
    <col min="19" max="19" width="20.33203125" bestFit="1" customWidth="1"/>
    <col min="20" max="20" width="7.5546875" bestFit="1" customWidth="1"/>
    <col min="21" max="21" width="20.5546875" bestFit="1" customWidth="1"/>
    <col min="22" max="22" width="11.21875" bestFit="1" customWidth="1"/>
    <col min="23" max="23" width="25.44140625" bestFit="1" customWidth="1"/>
    <col min="24" max="24" width="17.6640625" bestFit="1" customWidth="1"/>
    <col min="25" max="25" width="25.5546875" bestFit="1" customWidth="1"/>
    <col min="26" max="26" width="16.6640625" bestFit="1" customWidth="1"/>
    <col min="27" max="27" width="15.6640625" customWidth="1"/>
    <col min="29" max="29" width="9.109375" bestFit="1" customWidth="1"/>
    <col min="30" max="30" width="32.5546875" bestFit="1" customWidth="1"/>
    <col min="31" max="31" width="19.6640625" bestFit="1" customWidth="1"/>
    <col min="32" max="32" width="12.88671875" bestFit="1" customWidth="1"/>
    <col min="33" max="33" width="12.6640625" bestFit="1" customWidth="1"/>
    <col min="34" max="34" width="11.21875" bestFit="1" customWidth="1"/>
    <col min="35" max="36" width="7.109375" bestFit="1" customWidth="1"/>
    <col min="37" max="37" width="15.44140625" bestFit="1" customWidth="1"/>
    <col min="38" max="38" width="13.33203125" bestFit="1" customWidth="1"/>
    <col min="39" max="39" width="14.5546875" bestFit="1" customWidth="1"/>
    <col min="40" max="40" width="11.77734375" bestFit="1" customWidth="1"/>
    <col min="41" max="41" width="21.109375" bestFit="1" customWidth="1"/>
    <col min="42" max="42" width="15.44140625" bestFit="1" customWidth="1"/>
    <col min="43" max="43" width="23.33203125" bestFit="1" customWidth="1"/>
    <col min="44" max="44" width="13.33203125" bestFit="1" customWidth="1"/>
    <col min="45" max="45" width="9.21875" bestFit="1" customWidth="1"/>
    <col min="46" max="46" width="14" bestFit="1" customWidth="1"/>
    <col min="47" max="47" width="9.6640625" bestFit="1" customWidth="1"/>
    <col min="48" max="48" width="21.44140625" bestFit="1" customWidth="1"/>
    <col min="49" max="49" width="24.77734375" bestFit="1" customWidth="1"/>
    <col min="50" max="50" width="20.5546875" bestFit="1" customWidth="1"/>
    <col min="51" max="51" width="18.109375" bestFit="1" customWidth="1"/>
    <col min="52" max="52" width="12.21875" bestFit="1" customWidth="1"/>
    <col min="53" max="53" width="19.21875" bestFit="1" customWidth="1"/>
    <col min="54" max="54" width="2.33203125" bestFit="1" customWidth="1"/>
    <col min="55" max="55" width="12.6640625" bestFit="1" customWidth="1"/>
    <col min="56" max="56" width="30.109375" bestFit="1" customWidth="1"/>
    <col min="57" max="57" width="22.6640625" bestFit="1" customWidth="1"/>
    <col min="58" max="58" width="10.88671875" bestFit="1" customWidth="1"/>
    <col min="59" max="59" width="12.6640625" bestFit="1" customWidth="1"/>
    <col min="60" max="60" width="16.6640625" bestFit="1" customWidth="1"/>
    <col min="62" max="62" width="11.88671875" bestFit="1" customWidth="1"/>
    <col min="63" max="63" width="19.33203125" bestFit="1" customWidth="1"/>
    <col min="64" max="64" width="9.109375" bestFit="1" customWidth="1"/>
    <col min="65" max="65" width="14" bestFit="1" customWidth="1"/>
    <col min="66" max="66" width="23.88671875" bestFit="1" customWidth="1"/>
    <col min="67" max="67" width="18.109375" bestFit="1" customWidth="1"/>
    <col min="68" max="68" width="20.5546875" bestFit="1" customWidth="1"/>
    <col min="69" max="69" width="22.6640625" bestFit="1" customWidth="1"/>
    <col min="70" max="70" width="24.77734375" bestFit="1" customWidth="1"/>
    <col min="71" max="71" width="13.33203125" bestFit="1" customWidth="1"/>
    <col min="72" max="72" width="16.6640625" bestFit="1" customWidth="1"/>
    <col min="73" max="73" width="17.21875" bestFit="1" customWidth="1"/>
    <col min="74" max="74" width="10.33203125" bestFit="1" customWidth="1"/>
    <col min="75" max="75" width="18.44140625" bestFit="1" customWidth="1"/>
    <col min="76" max="76" width="12.6640625" bestFit="1" customWidth="1"/>
    <col min="77" max="77" width="16.6640625" bestFit="1" customWidth="1"/>
  </cols>
  <sheetData>
    <row r="1" spans="1:77" x14ac:dyDescent="0.3">
      <c r="A1" s="2" t="s">
        <v>25</v>
      </c>
      <c r="B1" s="2" t="s">
        <v>26</v>
      </c>
      <c r="AC1" s="2" t="s">
        <v>27</v>
      </c>
      <c r="AD1" s="2" t="s">
        <v>28</v>
      </c>
      <c r="BJ1" s="2" t="s">
        <v>56</v>
      </c>
      <c r="BK1" s="2" t="s">
        <v>57</v>
      </c>
    </row>
    <row r="2" spans="1:77" x14ac:dyDescent="0.3">
      <c r="A2" s="1" t="s">
        <v>67</v>
      </c>
      <c r="B2" s="1" t="s">
        <v>1</v>
      </c>
      <c r="C2" s="1" t="s">
        <v>2</v>
      </c>
      <c r="D2" s="1" t="s">
        <v>3</v>
      </c>
      <c r="E2" s="1" t="s">
        <v>4</v>
      </c>
      <c r="F2" s="24" t="s">
        <v>162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 t="s">
        <v>23</v>
      </c>
      <c r="Z2" s="1" t="s">
        <v>24</v>
      </c>
      <c r="AA2" s="1"/>
      <c r="AB2" s="1"/>
      <c r="AC2" s="1" t="s">
        <v>29</v>
      </c>
      <c r="AD2" s="1" t="s">
        <v>0</v>
      </c>
      <c r="AE2" s="1" t="s">
        <v>30</v>
      </c>
      <c r="AF2" s="1" t="s">
        <v>3</v>
      </c>
      <c r="AG2" s="1" t="s">
        <v>31</v>
      </c>
      <c r="AH2" s="1" t="s">
        <v>20</v>
      </c>
      <c r="AI2" s="1" t="s">
        <v>32</v>
      </c>
      <c r="AJ2" s="1" t="s">
        <v>33</v>
      </c>
      <c r="AK2" s="1" t="s">
        <v>34</v>
      </c>
      <c r="AL2" s="1" t="s">
        <v>35</v>
      </c>
      <c r="AM2" s="1" t="s">
        <v>36</v>
      </c>
      <c r="AN2" s="1" t="s">
        <v>37</v>
      </c>
      <c r="AO2" s="1" t="s">
        <v>38</v>
      </c>
      <c r="AP2" s="1" t="s">
        <v>39</v>
      </c>
      <c r="AQ2" s="1" t="s">
        <v>40</v>
      </c>
      <c r="AR2" s="1" t="s">
        <v>41</v>
      </c>
      <c r="AS2" s="1" t="s">
        <v>42</v>
      </c>
      <c r="AT2" s="1" t="s">
        <v>43</v>
      </c>
      <c r="AU2" s="1" t="s">
        <v>44</v>
      </c>
      <c r="AV2" s="1" t="s">
        <v>45</v>
      </c>
      <c r="AW2" s="1" t="s">
        <v>46</v>
      </c>
      <c r="AX2" s="1" t="s">
        <v>47</v>
      </c>
      <c r="AY2" s="1" t="s">
        <v>48</v>
      </c>
      <c r="AZ2" s="1" t="s">
        <v>49</v>
      </c>
      <c r="BA2" s="1" t="s">
        <v>50</v>
      </c>
      <c r="BB2" s="1" t="s">
        <v>51</v>
      </c>
      <c r="BC2" s="1" t="s">
        <v>52</v>
      </c>
      <c r="BD2" s="1" t="s">
        <v>53</v>
      </c>
      <c r="BE2" s="1" t="s">
        <v>54</v>
      </c>
      <c r="BF2" s="1" t="s">
        <v>55</v>
      </c>
      <c r="BG2" s="1" t="s">
        <v>23</v>
      </c>
      <c r="BH2" s="1" t="s">
        <v>24</v>
      </c>
      <c r="BJ2" s="1" t="s">
        <v>58</v>
      </c>
      <c r="BK2" s="1" t="s">
        <v>0</v>
      </c>
      <c r="BL2" s="1" t="s">
        <v>29</v>
      </c>
      <c r="BM2" s="1" t="s">
        <v>59</v>
      </c>
      <c r="BN2" s="1" t="s">
        <v>60</v>
      </c>
      <c r="BO2" s="1" t="s">
        <v>48</v>
      </c>
      <c r="BP2" s="1" t="s">
        <v>47</v>
      </c>
      <c r="BQ2" s="1" t="s">
        <v>61</v>
      </c>
      <c r="BR2" s="1" t="s">
        <v>46</v>
      </c>
      <c r="BS2" s="1" t="s">
        <v>62</v>
      </c>
      <c r="BT2" s="1" t="s">
        <v>63</v>
      </c>
      <c r="BU2" s="1" t="s">
        <v>64</v>
      </c>
      <c r="BV2" s="1" t="s">
        <v>65</v>
      </c>
      <c r="BW2" s="1" t="s">
        <v>66</v>
      </c>
      <c r="BX2" s="1" t="s">
        <v>23</v>
      </c>
      <c r="BY2" s="1" t="s">
        <v>24</v>
      </c>
    </row>
    <row r="3" spans="1:77" ht="72" x14ac:dyDescent="0.3">
      <c r="A3" s="4" t="s">
        <v>69</v>
      </c>
      <c r="B3" s="4" t="s">
        <v>70</v>
      </c>
      <c r="C3" s="3" t="s">
        <v>71</v>
      </c>
      <c r="D3" s="3" t="s">
        <v>72</v>
      </c>
      <c r="E3" s="4" t="s">
        <v>73</v>
      </c>
      <c r="F3" s="4"/>
      <c r="G3" s="3" t="s">
        <v>74</v>
      </c>
      <c r="H3" s="3" t="s">
        <v>75</v>
      </c>
      <c r="I3" s="3" t="s">
        <v>76</v>
      </c>
      <c r="J3" s="4" t="s">
        <v>77</v>
      </c>
      <c r="K3" s="3">
        <v>2</v>
      </c>
      <c r="L3" s="3" t="s">
        <v>78</v>
      </c>
      <c r="M3" s="3" t="s">
        <v>79</v>
      </c>
      <c r="N3" s="3" t="s">
        <v>80</v>
      </c>
      <c r="O3" s="3" t="s">
        <v>74</v>
      </c>
      <c r="P3" s="3" t="s">
        <v>81</v>
      </c>
      <c r="Q3" s="3" t="s">
        <v>82</v>
      </c>
      <c r="R3" s="3" t="s">
        <v>83</v>
      </c>
      <c r="S3" s="4" t="s">
        <v>84</v>
      </c>
      <c r="T3" s="3" t="s">
        <v>74</v>
      </c>
      <c r="U3" s="3" t="s">
        <v>74</v>
      </c>
      <c r="V3" s="4" t="s">
        <v>85</v>
      </c>
      <c r="W3" s="3" t="s">
        <v>86</v>
      </c>
      <c r="X3" s="3" t="s">
        <v>87</v>
      </c>
      <c r="Y3" s="3" t="s">
        <v>88</v>
      </c>
      <c r="Z3" s="3"/>
      <c r="AA3" s="3"/>
    </row>
    <row r="4" spans="1:77" ht="72" x14ac:dyDescent="0.3">
      <c r="A4" s="4" t="s">
        <v>110</v>
      </c>
      <c r="B4" s="4" t="s">
        <v>89</v>
      </c>
      <c r="C4" s="3" t="s">
        <v>90</v>
      </c>
      <c r="D4" s="3" t="s">
        <v>91</v>
      </c>
      <c r="E4" s="3" t="s">
        <v>92</v>
      </c>
      <c r="F4" s="3"/>
      <c r="G4" s="3" t="s">
        <v>74</v>
      </c>
      <c r="H4" s="3" t="s">
        <v>93</v>
      </c>
      <c r="I4" s="3" t="s">
        <v>94</v>
      </c>
      <c r="J4" s="4" t="s">
        <v>95</v>
      </c>
      <c r="K4" s="3">
        <v>2</v>
      </c>
      <c r="L4" s="3" t="s">
        <v>78</v>
      </c>
      <c r="M4" s="3" t="s">
        <v>79</v>
      </c>
      <c r="N4" s="3" t="s">
        <v>80</v>
      </c>
      <c r="O4" s="3" t="s">
        <v>74</v>
      </c>
      <c r="P4" s="3" t="s">
        <v>81</v>
      </c>
      <c r="Q4" s="3" t="s">
        <v>82</v>
      </c>
      <c r="R4" s="3" t="s">
        <v>96</v>
      </c>
      <c r="S4" s="4" t="s">
        <v>97</v>
      </c>
      <c r="T4" s="3" t="s">
        <v>74</v>
      </c>
      <c r="U4" s="3" t="s">
        <v>74</v>
      </c>
      <c r="V4" s="4" t="s">
        <v>85</v>
      </c>
      <c r="W4" s="3" t="s">
        <v>86</v>
      </c>
      <c r="X4" s="3" t="s">
        <v>98</v>
      </c>
      <c r="Y4" s="3" t="s">
        <v>88</v>
      </c>
      <c r="Z4" s="3"/>
      <c r="AA4" s="3"/>
    </row>
    <row r="5" spans="1:77" ht="72" x14ac:dyDescent="0.3">
      <c r="A5" s="4" t="s">
        <v>111</v>
      </c>
      <c r="B5" s="4" t="s">
        <v>99</v>
      </c>
      <c r="C5" s="3" t="s">
        <v>74</v>
      </c>
      <c r="D5" s="3" t="s">
        <v>100</v>
      </c>
      <c r="E5" s="4" t="s">
        <v>101</v>
      </c>
      <c r="F5" s="4"/>
      <c r="G5" s="3" t="s">
        <v>74</v>
      </c>
      <c r="H5" s="3" t="s">
        <v>102</v>
      </c>
      <c r="I5" s="3" t="s">
        <v>103</v>
      </c>
      <c r="J5" s="3" t="s">
        <v>104</v>
      </c>
      <c r="K5" s="3" t="s">
        <v>74</v>
      </c>
      <c r="L5" s="3" t="s">
        <v>105</v>
      </c>
      <c r="M5" s="3" t="s">
        <v>106</v>
      </c>
      <c r="N5" s="3" t="s">
        <v>74</v>
      </c>
      <c r="O5" s="3" t="s">
        <v>74</v>
      </c>
      <c r="P5" s="3" t="s">
        <v>81</v>
      </c>
      <c r="Q5" s="3" t="s">
        <v>107</v>
      </c>
      <c r="R5" s="3" t="s">
        <v>74</v>
      </c>
      <c r="S5" s="3" t="s">
        <v>74</v>
      </c>
      <c r="T5" s="3" t="s">
        <v>74</v>
      </c>
      <c r="U5" s="3" t="s">
        <v>74</v>
      </c>
      <c r="V5" s="4" t="s">
        <v>85</v>
      </c>
      <c r="W5" s="3" t="s">
        <v>108</v>
      </c>
      <c r="X5" s="4" t="s">
        <v>109</v>
      </c>
      <c r="Y5" s="3" t="s">
        <v>88</v>
      </c>
      <c r="Z5" s="3"/>
      <c r="AA5" s="3"/>
    </row>
    <row r="6" spans="1:77" x14ac:dyDescent="0.3">
      <c r="A6" s="4" t="s">
        <v>164</v>
      </c>
      <c r="B6" s="4" t="s">
        <v>187</v>
      </c>
      <c r="C6" s="3"/>
      <c r="D6" s="3"/>
      <c r="E6" s="4"/>
      <c r="F6" s="4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4"/>
      <c r="W6" s="3"/>
      <c r="X6" s="4"/>
      <c r="Y6" s="3"/>
      <c r="Z6" s="3"/>
      <c r="AA6" s="3"/>
    </row>
    <row r="7" spans="1:77" x14ac:dyDescent="0.3">
      <c r="A7" s="4" t="s">
        <v>168</v>
      </c>
      <c r="B7" s="4" t="s">
        <v>169</v>
      </c>
      <c r="C7" s="3"/>
      <c r="D7" s="3"/>
      <c r="E7" s="4"/>
      <c r="F7" s="4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4"/>
      <c r="W7" s="3"/>
      <c r="X7" s="4"/>
      <c r="Y7" s="3"/>
      <c r="Z7" s="3"/>
      <c r="AA7" s="3"/>
    </row>
    <row r="8" spans="1:77" x14ac:dyDescent="0.3">
      <c r="A8" s="4" t="s">
        <v>170</v>
      </c>
      <c r="B8" s="3" t="s">
        <v>167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77" x14ac:dyDescent="0.3">
      <c r="A9" s="4" t="s">
        <v>171</v>
      </c>
      <c r="B9" s="3" t="s">
        <v>169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77" x14ac:dyDescent="0.3">
      <c r="A10" s="4" t="s">
        <v>172</v>
      </c>
      <c r="B10" s="3" t="s">
        <v>167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77" x14ac:dyDescent="0.3">
      <c r="A11" s="4" t="s">
        <v>173</v>
      </c>
      <c r="B11" s="3" t="s">
        <v>184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77" x14ac:dyDescent="0.3">
      <c r="A12" s="4" t="s">
        <v>174</v>
      </c>
      <c r="B12" s="3" t="s">
        <v>185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77" x14ac:dyDescent="0.3">
      <c r="A13" s="4" t="s">
        <v>175</v>
      </c>
      <c r="B13" s="3" t="s">
        <v>167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77" x14ac:dyDescent="0.3">
      <c r="A14" s="4" t="s">
        <v>176</v>
      </c>
      <c r="B14" t="s">
        <v>184</v>
      </c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465DE-5671-4127-A648-FD486FFE647B}">
  <dimension ref="A1:BL851"/>
  <sheetViews>
    <sheetView tabSelected="1" topLeftCell="AL1" zoomScale="63" zoomScaleNormal="40" workbookViewId="0">
      <selection activeCell="AU3" sqref="AU3"/>
    </sheetView>
  </sheetViews>
  <sheetFormatPr defaultRowHeight="14.4" x14ac:dyDescent="0.3"/>
  <cols>
    <col min="1" max="1" width="13.33203125" bestFit="1" customWidth="1"/>
    <col min="2" max="2" width="22.5546875" bestFit="1" customWidth="1"/>
    <col min="3" max="3" width="34.33203125" bestFit="1" customWidth="1"/>
    <col min="4" max="4" width="48.109375" bestFit="1" customWidth="1"/>
    <col min="5" max="5" width="44" customWidth="1"/>
    <col min="6" max="6" width="25" style="56" bestFit="1" customWidth="1"/>
    <col min="7" max="7" width="48.5546875" style="11" bestFit="1" customWidth="1"/>
    <col min="8" max="8" width="117.21875" style="52" bestFit="1" customWidth="1"/>
    <col min="9" max="9" width="35" bestFit="1" customWidth="1"/>
    <col min="10" max="10" width="45.88671875" bestFit="1" customWidth="1"/>
    <col min="11" max="11" width="28" bestFit="1" customWidth="1"/>
    <col min="12" max="12" width="47.21875" bestFit="1" customWidth="1"/>
    <col min="13" max="13" width="21.21875" bestFit="1" customWidth="1"/>
    <col min="14" max="14" width="39.6640625" bestFit="1" customWidth="1"/>
    <col min="15" max="15" width="12.77734375" bestFit="1" customWidth="1"/>
    <col min="16" max="16" width="34.44140625" customWidth="1"/>
    <col min="17" max="17" width="33.5546875" customWidth="1"/>
    <col min="18" max="18" width="23" customWidth="1"/>
    <col min="19" max="19" width="24.109375" customWidth="1"/>
    <col min="20" max="20" width="26" customWidth="1"/>
    <col min="21" max="21" width="20.88671875" customWidth="1"/>
    <col min="22" max="22" width="22.5546875" bestFit="1" customWidth="1"/>
    <col min="23" max="23" width="19.77734375" customWidth="1"/>
    <col min="24" max="24" width="24.6640625" customWidth="1"/>
    <col min="25" max="25" width="36.44140625" customWidth="1"/>
    <col min="26" max="26" width="29.77734375" bestFit="1" customWidth="1"/>
    <col min="27" max="27" width="33.77734375" customWidth="1"/>
    <col min="28" max="28" width="36.33203125" customWidth="1"/>
    <col min="29" max="29" width="32.5546875" customWidth="1"/>
    <col min="30" max="30" width="19.77734375" customWidth="1"/>
    <col min="31" max="31" width="34.77734375" customWidth="1"/>
    <col min="32" max="32" width="19.77734375" customWidth="1"/>
    <col min="33" max="33" width="45.109375" customWidth="1"/>
    <col min="34" max="34" width="19.77734375" customWidth="1"/>
    <col min="35" max="35" width="51.6640625" bestFit="1" customWidth="1"/>
    <col min="36" max="36" width="21" bestFit="1" customWidth="1"/>
    <col min="37" max="37" width="27.44140625" bestFit="1" customWidth="1"/>
    <col min="38" max="38" width="65.6640625" bestFit="1" customWidth="1"/>
    <col min="39" max="39" width="23.21875" bestFit="1" customWidth="1"/>
    <col min="40" max="40" width="27.44140625" bestFit="1" customWidth="1"/>
    <col min="41" max="41" width="63" customWidth="1"/>
    <col min="42" max="42" width="24.5546875" bestFit="1" customWidth="1"/>
    <col min="43" max="43" width="27.44140625" bestFit="1" customWidth="1"/>
    <col min="44" max="44" width="33.21875" bestFit="1" customWidth="1"/>
    <col min="45" max="45" width="13.6640625" bestFit="1" customWidth="1"/>
    <col min="46" max="46" width="14.44140625" bestFit="1" customWidth="1"/>
    <col min="47" max="47" width="57.88671875" customWidth="1"/>
    <col min="48" max="48" width="51.109375" bestFit="1" customWidth="1"/>
    <col min="49" max="49" width="26.109375" style="37" bestFit="1" customWidth="1"/>
    <col min="50" max="50" width="28" style="37" customWidth="1"/>
    <col min="51" max="51" width="73" bestFit="1" customWidth="1"/>
    <col min="52" max="52" width="32.6640625" bestFit="1" customWidth="1"/>
    <col min="53" max="53" width="27.44140625" bestFit="1" customWidth="1"/>
    <col min="54" max="54" width="25.109375" bestFit="1" customWidth="1"/>
    <col min="55" max="55" width="15.77734375" bestFit="1" customWidth="1"/>
    <col min="56" max="56" width="20.21875" bestFit="1" customWidth="1"/>
    <col min="57" max="57" width="12.33203125" bestFit="1" customWidth="1"/>
    <col min="58" max="58" width="20.77734375" bestFit="1" customWidth="1"/>
    <col min="59" max="59" width="116" customWidth="1"/>
    <col min="60" max="60" width="168.5546875" bestFit="1" customWidth="1"/>
    <col min="61" max="61" width="116" style="11" customWidth="1"/>
    <col min="62" max="62" width="116" customWidth="1"/>
    <col min="63" max="63" width="41.5546875" bestFit="1" customWidth="1"/>
    <col min="64" max="64" width="18.88671875" bestFit="1" customWidth="1"/>
  </cols>
  <sheetData>
    <row r="1" spans="1:64" ht="15" thickBot="1" x14ac:dyDescent="0.35">
      <c r="A1" s="20" t="s">
        <v>56</v>
      </c>
      <c r="B1" s="20" t="s">
        <v>57</v>
      </c>
      <c r="C1" s="20"/>
      <c r="D1" s="20"/>
      <c r="E1" s="20"/>
      <c r="F1" s="53"/>
      <c r="G1" s="20"/>
      <c r="H1" s="50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31"/>
      <c r="AX1" s="31"/>
      <c r="AY1" s="11"/>
      <c r="AZ1" s="11"/>
      <c r="BA1" s="11"/>
      <c r="BB1" s="11"/>
      <c r="BC1" s="11"/>
      <c r="BD1" s="11"/>
      <c r="BE1" s="11"/>
      <c r="BF1" s="11"/>
      <c r="BG1" s="11"/>
      <c r="BH1" s="11"/>
      <c r="BJ1" s="11"/>
      <c r="BK1" s="11"/>
      <c r="BL1" s="11"/>
    </row>
    <row r="2" spans="1:64" x14ac:dyDescent="0.3">
      <c r="A2" s="21" t="s">
        <v>58</v>
      </c>
      <c r="B2" s="21" t="s">
        <v>67</v>
      </c>
      <c r="C2" s="21" t="s">
        <v>1</v>
      </c>
      <c r="D2" s="21" t="s">
        <v>248</v>
      </c>
      <c r="E2" s="21" t="s">
        <v>268</v>
      </c>
      <c r="F2" s="53" t="s">
        <v>257</v>
      </c>
      <c r="G2" s="21" t="s">
        <v>256</v>
      </c>
      <c r="H2" s="51" t="s">
        <v>255</v>
      </c>
      <c r="I2" s="21" t="s">
        <v>252</v>
      </c>
      <c r="J2" s="21" t="s">
        <v>397</v>
      </c>
      <c r="K2" s="21" t="s">
        <v>245</v>
      </c>
      <c r="L2" s="21" t="s">
        <v>398</v>
      </c>
      <c r="M2" s="21" t="s">
        <v>188</v>
      </c>
      <c r="N2" s="21" t="s">
        <v>247</v>
      </c>
      <c r="O2" s="21" t="s">
        <v>196</v>
      </c>
      <c r="P2" s="21" t="s">
        <v>272</v>
      </c>
      <c r="Q2" s="21" t="s">
        <v>365</v>
      </c>
      <c r="R2" s="21" t="s">
        <v>36</v>
      </c>
      <c r="S2" s="21" t="s">
        <v>45</v>
      </c>
      <c r="T2" s="21" t="s">
        <v>366</v>
      </c>
      <c r="U2" s="21" t="s">
        <v>277</v>
      </c>
      <c r="V2" s="21" t="s">
        <v>279</v>
      </c>
      <c r="W2" s="21" t="s">
        <v>281</v>
      </c>
      <c r="X2" s="21" t="s">
        <v>283</v>
      </c>
      <c r="Y2" s="21" t="s">
        <v>285</v>
      </c>
      <c r="Z2" s="21" t="s">
        <v>287</v>
      </c>
      <c r="AA2" s="21" t="s">
        <v>289</v>
      </c>
      <c r="AB2" s="21" t="s">
        <v>291</v>
      </c>
      <c r="AC2" s="21" t="s">
        <v>294</v>
      </c>
      <c r="AD2" s="21" t="s">
        <v>300</v>
      </c>
      <c r="AE2" s="21" t="s">
        <v>43</v>
      </c>
      <c r="AF2" s="21" t="s">
        <v>307</v>
      </c>
      <c r="AG2" s="76" t="s">
        <v>438</v>
      </c>
      <c r="AH2" s="21"/>
      <c r="AI2" s="12" t="s">
        <v>150</v>
      </c>
      <c r="AJ2" s="18" t="s">
        <v>48</v>
      </c>
      <c r="AK2" s="13" t="s">
        <v>60</v>
      </c>
      <c r="AL2" s="12" t="s">
        <v>151</v>
      </c>
      <c r="AM2" s="18" t="s">
        <v>47</v>
      </c>
      <c r="AN2" s="13" t="s">
        <v>60</v>
      </c>
      <c r="AO2" s="12" t="s">
        <v>153</v>
      </c>
      <c r="AP2" s="18" t="s">
        <v>155</v>
      </c>
      <c r="AQ2" s="18" t="s">
        <v>60</v>
      </c>
      <c r="AR2" s="12" t="s">
        <v>160</v>
      </c>
      <c r="AS2" s="18" t="s">
        <v>157</v>
      </c>
      <c r="AT2" s="18" t="s">
        <v>159</v>
      </c>
      <c r="AU2" s="13" t="s">
        <v>440</v>
      </c>
      <c r="AV2" s="18" t="s">
        <v>165</v>
      </c>
      <c r="AW2" s="32" t="s">
        <v>439</v>
      </c>
      <c r="AX2" s="33" t="s">
        <v>47</v>
      </c>
      <c r="AY2" s="12" t="s">
        <v>190</v>
      </c>
      <c r="AZ2" s="18" t="s">
        <v>155</v>
      </c>
      <c r="BA2" s="13" t="s">
        <v>47</v>
      </c>
      <c r="BB2" s="21" t="s">
        <v>418</v>
      </c>
      <c r="BC2" s="21" t="s">
        <v>158</v>
      </c>
      <c r="BD2" s="21" t="s">
        <v>64</v>
      </c>
      <c r="BE2" s="21" t="s">
        <v>65</v>
      </c>
      <c r="BF2" s="21" t="s">
        <v>66</v>
      </c>
      <c r="BG2" s="21" t="s">
        <v>392</v>
      </c>
      <c r="BH2" s="21" t="s">
        <v>405</v>
      </c>
      <c r="BI2" s="21" t="s">
        <v>401</v>
      </c>
      <c r="BJ2" s="21" t="s">
        <v>403</v>
      </c>
      <c r="BK2" s="21" t="s">
        <v>23</v>
      </c>
      <c r="BL2" s="21" t="s">
        <v>24</v>
      </c>
    </row>
    <row r="3" spans="1:64" ht="133.80000000000001" customHeight="1" x14ac:dyDescent="0.3">
      <c r="A3" s="11"/>
      <c r="B3" s="11" t="s">
        <v>69</v>
      </c>
      <c r="C3" s="4" t="s">
        <v>70</v>
      </c>
      <c r="D3" s="40" t="s">
        <v>249</v>
      </c>
      <c r="E3" s="40" t="e" vm="1">
        <v>#VALUE!</v>
      </c>
      <c r="F3" s="54" t="s">
        <v>396</v>
      </c>
      <c r="G3" s="49">
        <v>918.31</v>
      </c>
      <c r="H3" s="48">
        <f>((J3)*1000)/G3</f>
        <v>48.785268591216479</v>
      </c>
      <c r="I3" s="4" t="s">
        <v>253</v>
      </c>
      <c r="J3" s="4">
        <v>44.8</v>
      </c>
      <c r="K3" s="4">
        <v>3.1</v>
      </c>
      <c r="L3" s="4">
        <f>J3/K3</f>
        <v>14.451612903225804</v>
      </c>
      <c r="M3" t="s">
        <v>246</v>
      </c>
      <c r="N3" t="s">
        <v>118</v>
      </c>
      <c r="O3" s="4" t="s">
        <v>266</v>
      </c>
      <c r="P3" s="4" t="s">
        <v>368</v>
      </c>
      <c r="Q3" s="4" t="s">
        <v>113</v>
      </c>
      <c r="R3" s="4" t="s">
        <v>369</v>
      </c>
      <c r="S3" s="4" t="s">
        <v>370</v>
      </c>
      <c r="T3" s="4" t="s">
        <v>371</v>
      </c>
      <c r="U3" s="4" t="s">
        <v>374</v>
      </c>
      <c r="V3" s="4" t="s">
        <v>376</v>
      </c>
      <c r="W3" s="4" t="s">
        <v>122</v>
      </c>
      <c r="X3" s="4" t="s">
        <v>377</v>
      </c>
      <c r="Y3" s="4" t="s">
        <v>379</v>
      </c>
      <c r="Z3" s="4">
        <v>298</v>
      </c>
      <c r="AA3" s="4" t="s">
        <v>381</v>
      </c>
      <c r="AB3" s="4" t="s">
        <v>384</v>
      </c>
      <c r="AC3" s="4" t="s">
        <v>386</v>
      </c>
      <c r="AD3" s="4" t="s">
        <v>388</v>
      </c>
      <c r="AE3" s="4" t="s">
        <v>140</v>
      </c>
      <c r="AF3" s="4"/>
      <c r="AG3" s="77">
        <v>0.45</v>
      </c>
      <c r="AH3" s="4"/>
      <c r="AI3" s="14" t="s">
        <v>149</v>
      </c>
      <c r="AJ3" s="78">
        <v>133.44827586206799</v>
      </c>
      <c r="AK3" s="15">
        <v>2.92295940637276</v>
      </c>
      <c r="AL3" s="14" t="s">
        <v>152</v>
      </c>
      <c r="AM3" s="11">
        <v>35.574682203389798</v>
      </c>
      <c r="AN3" s="15">
        <v>2.9618644067796498</v>
      </c>
      <c r="AO3" s="14" t="s">
        <v>154</v>
      </c>
      <c r="AP3" s="78">
        <v>65.959633947599301</v>
      </c>
      <c r="AQ3" s="78">
        <v>3.0400526513726902</v>
      </c>
      <c r="AR3" s="14" t="s">
        <v>161</v>
      </c>
      <c r="AS3" s="78">
        <v>0.18568665377176</v>
      </c>
      <c r="AT3" s="78">
        <v>289.74358974358898</v>
      </c>
      <c r="AU3" s="79">
        <f>(AS3*AT3)/(AG3)</f>
        <v>119.55892806956595</v>
      </c>
      <c r="AV3" s="78"/>
      <c r="AW3" s="31"/>
      <c r="AX3" s="34"/>
      <c r="AY3" s="14" t="s">
        <v>191</v>
      </c>
      <c r="AZ3" s="11"/>
      <c r="BA3" s="15"/>
      <c r="BB3" s="49" t="s">
        <v>389</v>
      </c>
      <c r="BC3" s="11"/>
      <c r="BD3" s="11"/>
      <c r="BE3" s="11"/>
      <c r="BF3" s="11"/>
      <c r="BG3" s="11"/>
      <c r="BH3" s="72" t="s">
        <v>406</v>
      </c>
      <c r="BI3" s="11">
        <v>1</v>
      </c>
      <c r="BJ3" s="72" t="s">
        <v>402</v>
      </c>
      <c r="BK3" s="23" t="s">
        <v>68</v>
      </c>
      <c r="BL3" s="11" t="s">
        <v>390</v>
      </c>
    </row>
    <row r="4" spans="1:64" ht="15.6" x14ac:dyDescent="0.3">
      <c r="A4" s="11"/>
      <c r="B4" s="11" t="s">
        <v>69</v>
      </c>
      <c r="C4" s="4" t="s">
        <v>70</v>
      </c>
      <c r="D4" s="40" t="s">
        <v>249</v>
      </c>
      <c r="E4" s="40"/>
      <c r="F4" s="54" t="s">
        <v>396</v>
      </c>
      <c r="G4" s="49">
        <v>918.31</v>
      </c>
      <c r="H4" s="48">
        <f>((J4)*1000)/G4</f>
        <v>48.785268591216479</v>
      </c>
      <c r="I4" s="4" t="s">
        <v>253</v>
      </c>
      <c r="J4" s="4">
        <v>44.8</v>
      </c>
      <c r="K4" s="4">
        <v>3.1</v>
      </c>
      <c r="L4" s="4">
        <f t="shared" ref="L4:L20" si="0">J4/K4</f>
        <v>14.451612903225804</v>
      </c>
      <c r="M4" t="s">
        <v>246</v>
      </c>
      <c r="N4" t="s">
        <v>118</v>
      </c>
      <c r="O4" s="4" t="s">
        <v>266</v>
      </c>
      <c r="P4" s="4" t="s">
        <v>368</v>
      </c>
      <c r="Q4" s="4" t="s">
        <v>113</v>
      </c>
      <c r="R4" s="4" t="s">
        <v>369</v>
      </c>
      <c r="S4" s="4" t="s">
        <v>370</v>
      </c>
      <c r="T4" s="4" t="s">
        <v>371</v>
      </c>
      <c r="U4" s="4" t="s">
        <v>374</v>
      </c>
      <c r="V4" s="4" t="s">
        <v>376</v>
      </c>
      <c r="W4" s="4" t="s">
        <v>122</v>
      </c>
      <c r="X4" s="4" t="s">
        <v>377</v>
      </c>
      <c r="Y4" s="4" t="s">
        <v>379</v>
      </c>
      <c r="Z4" s="4">
        <v>298</v>
      </c>
      <c r="AA4" s="4" t="s">
        <v>381</v>
      </c>
      <c r="AB4" s="4" t="s">
        <v>384</v>
      </c>
      <c r="AC4" s="4" t="s">
        <v>386</v>
      </c>
      <c r="AD4" s="4" t="s">
        <v>388</v>
      </c>
      <c r="AE4" s="4" t="s">
        <v>140</v>
      </c>
      <c r="AF4" s="4"/>
      <c r="AG4" s="77">
        <v>0.45</v>
      </c>
      <c r="AH4" s="4"/>
      <c r="AI4" s="14" t="s">
        <v>149</v>
      </c>
      <c r="AJ4" s="11">
        <v>130.34482758620601</v>
      </c>
      <c r="AK4" s="15">
        <v>4.4423832387603603</v>
      </c>
      <c r="AL4" s="14" t="s">
        <v>152</v>
      </c>
      <c r="AM4" s="11">
        <v>49.163135593220403</v>
      </c>
      <c r="AN4" s="15">
        <v>4.5508474576271096</v>
      </c>
      <c r="AO4" s="14" t="s">
        <v>154</v>
      </c>
      <c r="AP4" s="11">
        <v>94.130625548451903</v>
      </c>
      <c r="AQ4" s="78">
        <v>4.5063933809702803</v>
      </c>
      <c r="AR4" s="14" t="s">
        <v>161</v>
      </c>
      <c r="AS4" s="78">
        <v>0.20116054158607299</v>
      </c>
      <c r="AT4" s="78">
        <v>301.53846153846098</v>
      </c>
      <c r="AU4" s="79">
        <f t="shared" ref="AU4:AU11" si="1">(AS4*AT4)/(AG4)</f>
        <v>134.79475607135123</v>
      </c>
      <c r="AV4" s="78"/>
      <c r="AW4" s="31"/>
      <c r="AX4" s="34"/>
      <c r="AY4" s="14"/>
      <c r="AZ4" s="11"/>
      <c r="BA4" s="15"/>
      <c r="BB4" s="49" t="s">
        <v>389</v>
      </c>
      <c r="BC4" s="11"/>
      <c r="BD4" s="11"/>
      <c r="BE4" s="11"/>
      <c r="BF4" s="11"/>
      <c r="BG4" s="11"/>
      <c r="BH4" s="11" t="s">
        <v>393</v>
      </c>
      <c r="BJ4" s="11"/>
      <c r="BK4" s="23" t="s">
        <v>68</v>
      </c>
      <c r="BL4" s="11" t="s">
        <v>390</v>
      </c>
    </row>
    <row r="5" spans="1:64" ht="15.6" x14ac:dyDescent="0.3">
      <c r="A5" s="11"/>
      <c r="B5" s="11" t="s">
        <v>69</v>
      </c>
      <c r="C5" s="4" t="s">
        <v>70</v>
      </c>
      <c r="D5" s="40" t="s">
        <v>249</v>
      </c>
      <c r="E5" s="40"/>
      <c r="F5" s="54" t="s">
        <v>396</v>
      </c>
      <c r="G5" s="49">
        <v>918.31</v>
      </c>
      <c r="H5" s="48">
        <f t="shared" ref="H5:H11" si="2">((J5)*1000)/G5</f>
        <v>48.785268591216479</v>
      </c>
      <c r="I5" s="4" t="s">
        <v>253</v>
      </c>
      <c r="J5" s="4">
        <v>44.8</v>
      </c>
      <c r="K5" s="4">
        <v>3.1</v>
      </c>
      <c r="L5" s="4">
        <f t="shared" si="0"/>
        <v>14.451612903225804</v>
      </c>
      <c r="M5" t="s">
        <v>246</v>
      </c>
      <c r="N5" t="s">
        <v>118</v>
      </c>
      <c r="O5" s="4" t="s">
        <v>266</v>
      </c>
      <c r="P5" s="4" t="s">
        <v>368</v>
      </c>
      <c r="Q5" s="4" t="s">
        <v>113</v>
      </c>
      <c r="R5" s="4" t="s">
        <v>369</v>
      </c>
      <c r="S5" s="4" t="s">
        <v>370</v>
      </c>
      <c r="T5" s="4" t="s">
        <v>371</v>
      </c>
      <c r="U5" s="4" t="s">
        <v>374</v>
      </c>
      <c r="V5" s="4" t="s">
        <v>376</v>
      </c>
      <c r="W5" s="4" t="s">
        <v>122</v>
      </c>
      <c r="X5" s="4" t="s">
        <v>377</v>
      </c>
      <c r="Y5" s="4" t="s">
        <v>379</v>
      </c>
      <c r="Z5" s="4">
        <v>298</v>
      </c>
      <c r="AA5" s="4" t="s">
        <v>381</v>
      </c>
      <c r="AB5" s="4" t="s">
        <v>384</v>
      </c>
      <c r="AC5" s="4" t="s">
        <v>386</v>
      </c>
      <c r="AD5" s="4" t="s">
        <v>388</v>
      </c>
      <c r="AE5" s="4" t="s">
        <v>140</v>
      </c>
      <c r="AF5" s="4"/>
      <c r="AG5" s="77">
        <v>0.45</v>
      </c>
      <c r="AH5" s="4"/>
      <c r="AI5" s="14" t="s">
        <v>149</v>
      </c>
      <c r="AJ5" s="11">
        <v>130.34482758620601</v>
      </c>
      <c r="AK5" s="15">
        <v>5.9613705805325097</v>
      </c>
      <c r="AL5" s="14" t="s">
        <v>152</v>
      </c>
      <c r="AM5" s="11">
        <v>71.483050847457804</v>
      </c>
      <c r="AN5" s="15">
        <v>6.0762711864406702</v>
      </c>
      <c r="AO5" s="14" t="s">
        <v>154</v>
      </c>
      <c r="AP5" s="11">
        <v>131.76883540178</v>
      </c>
      <c r="AQ5" s="78">
        <v>5.9742384355020599</v>
      </c>
      <c r="AR5" s="14" t="s">
        <v>161</v>
      </c>
      <c r="AS5" s="78">
        <v>0.21663442940038599</v>
      </c>
      <c r="AT5" s="78">
        <v>313.33333333333297</v>
      </c>
      <c r="AU5" s="79">
        <f t="shared" si="1"/>
        <v>150.84175084175007</v>
      </c>
      <c r="AV5" s="78"/>
      <c r="AW5" s="31"/>
      <c r="AX5" s="34"/>
      <c r="AY5" s="14"/>
      <c r="AZ5" s="11"/>
      <c r="BA5" s="15"/>
      <c r="BB5" s="49" t="s">
        <v>389</v>
      </c>
      <c r="BC5" s="11"/>
      <c r="BD5" s="11"/>
      <c r="BE5" s="11"/>
      <c r="BF5" s="11"/>
      <c r="BG5" s="11"/>
      <c r="BH5" s="11" t="s">
        <v>393</v>
      </c>
      <c r="BJ5" s="11"/>
      <c r="BK5" s="23" t="s">
        <v>68</v>
      </c>
      <c r="BL5" s="11" t="s">
        <v>390</v>
      </c>
    </row>
    <row r="6" spans="1:64" ht="15.6" x14ac:dyDescent="0.3">
      <c r="A6" s="11"/>
      <c r="B6" s="11" t="s">
        <v>69</v>
      </c>
      <c r="C6" s="4" t="s">
        <v>70</v>
      </c>
      <c r="D6" s="40" t="s">
        <v>249</v>
      </c>
      <c r="E6" s="40"/>
      <c r="F6" s="54" t="s">
        <v>396</v>
      </c>
      <c r="G6" s="49">
        <v>918.31</v>
      </c>
      <c r="H6" s="48">
        <f>((J6)*1000)/G6</f>
        <v>48.785268591216479</v>
      </c>
      <c r="I6" s="4" t="s">
        <v>253</v>
      </c>
      <c r="J6" s="4">
        <v>44.8</v>
      </c>
      <c r="K6" s="4">
        <v>3.1</v>
      </c>
      <c r="L6" s="4">
        <f t="shared" si="0"/>
        <v>14.451612903225804</v>
      </c>
      <c r="M6" t="s">
        <v>246</v>
      </c>
      <c r="N6" t="s">
        <v>118</v>
      </c>
      <c r="O6" s="4" t="s">
        <v>266</v>
      </c>
      <c r="P6" s="4" t="s">
        <v>368</v>
      </c>
      <c r="Q6" s="4" t="s">
        <v>113</v>
      </c>
      <c r="R6" s="4" t="s">
        <v>369</v>
      </c>
      <c r="S6" s="4" t="s">
        <v>370</v>
      </c>
      <c r="T6" s="4" t="s">
        <v>371</v>
      </c>
      <c r="U6" s="4" t="s">
        <v>374</v>
      </c>
      <c r="V6" s="4" t="s">
        <v>376</v>
      </c>
      <c r="W6" s="4" t="s">
        <v>122</v>
      </c>
      <c r="X6" s="4" t="s">
        <v>377</v>
      </c>
      <c r="Y6" s="4" t="s">
        <v>379</v>
      </c>
      <c r="Z6" s="4">
        <v>298</v>
      </c>
      <c r="AA6" s="4" t="s">
        <v>381</v>
      </c>
      <c r="AB6" s="4" t="s">
        <v>384</v>
      </c>
      <c r="AC6" s="4" t="s">
        <v>386</v>
      </c>
      <c r="AD6" s="4" t="s">
        <v>388</v>
      </c>
      <c r="AE6" s="4" t="s">
        <v>140</v>
      </c>
      <c r="AF6" s="4"/>
      <c r="AG6" s="77">
        <v>0.45</v>
      </c>
      <c r="AH6" s="4"/>
      <c r="AI6" s="14" t="s">
        <v>149</v>
      </c>
      <c r="AJ6" s="11">
        <v>127.241379310344</v>
      </c>
      <c r="AK6" s="15">
        <v>7.4175032736796096</v>
      </c>
      <c r="AL6" s="14" t="s">
        <v>152</v>
      </c>
      <c r="AM6" s="11">
        <v>89.390889830508499</v>
      </c>
      <c r="AN6" s="15">
        <v>7.4745762711864296</v>
      </c>
      <c r="AO6" s="14" t="s">
        <v>154</v>
      </c>
      <c r="AP6" s="11">
        <v>162.28657389996201</v>
      </c>
      <c r="AQ6" s="78">
        <v>7.5680707032718999</v>
      </c>
      <c r="AR6" s="14" t="s">
        <v>161</v>
      </c>
      <c r="AS6" s="78">
        <v>0.24139264990328799</v>
      </c>
      <c r="AT6" s="78">
        <v>325.64102564102501</v>
      </c>
      <c r="AU6" s="79">
        <f t="shared" si="1"/>
        <v>174.68300021491459</v>
      </c>
      <c r="AV6" s="78"/>
      <c r="AW6" s="31"/>
      <c r="AX6" s="34"/>
      <c r="AY6" s="14"/>
      <c r="AZ6" s="11"/>
      <c r="BA6" s="15"/>
      <c r="BB6" s="49" t="s">
        <v>389</v>
      </c>
      <c r="BC6" s="11"/>
      <c r="BD6" s="11"/>
      <c r="BE6" s="11"/>
      <c r="BF6" s="11"/>
      <c r="BG6" s="11"/>
      <c r="BH6" s="11" t="s">
        <v>393</v>
      </c>
      <c r="BJ6" s="11"/>
      <c r="BK6" s="23" t="s">
        <v>68</v>
      </c>
      <c r="BL6" s="11" t="s">
        <v>390</v>
      </c>
    </row>
    <row r="7" spans="1:64" ht="15.6" x14ac:dyDescent="0.3">
      <c r="A7" s="11"/>
      <c r="B7" s="11" t="s">
        <v>69</v>
      </c>
      <c r="C7" s="4" t="s">
        <v>70</v>
      </c>
      <c r="D7" s="40" t="s">
        <v>249</v>
      </c>
      <c r="E7" s="40"/>
      <c r="F7" s="54" t="s">
        <v>396</v>
      </c>
      <c r="G7" s="49">
        <v>918.31</v>
      </c>
      <c r="H7" s="48">
        <f t="shared" si="2"/>
        <v>48.785268591216479</v>
      </c>
      <c r="I7" s="4" t="s">
        <v>253</v>
      </c>
      <c r="J7" s="4">
        <v>44.8</v>
      </c>
      <c r="K7" s="4">
        <v>3.1</v>
      </c>
      <c r="L7" s="4">
        <f t="shared" si="0"/>
        <v>14.451612903225804</v>
      </c>
      <c r="M7" t="s">
        <v>246</v>
      </c>
      <c r="N7" t="s">
        <v>118</v>
      </c>
      <c r="O7" s="4" t="s">
        <v>266</v>
      </c>
      <c r="P7" s="4" t="s">
        <v>368</v>
      </c>
      <c r="Q7" s="4" t="s">
        <v>113</v>
      </c>
      <c r="R7" s="4" t="s">
        <v>369</v>
      </c>
      <c r="S7" s="4" t="s">
        <v>370</v>
      </c>
      <c r="T7" s="4" t="s">
        <v>371</v>
      </c>
      <c r="U7" s="4" t="s">
        <v>374</v>
      </c>
      <c r="V7" s="4" t="s">
        <v>376</v>
      </c>
      <c r="W7" s="4" t="s">
        <v>122</v>
      </c>
      <c r="X7" s="4" t="s">
        <v>377</v>
      </c>
      <c r="Y7" s="4" t="s">
        <v>379</v>
      </c>
      <c r="Z7" s="4">
        <v>298</v>
      </c>
      <c r="AA7" s="4" t="s">
        <v>381</v>
      </c>
      <c r="AB7" s="4" t="s">
        <v>384</v>
      </c>
      <c r="AC7" s="4" t="s">
        <v>386</v>
      </c>
      <c r="AD7" s="4" t="s">
        <v>388</v>
      </c>
      <c r="AE7" s="4" t="s">
        <v>140</v>
      </c>
      <c r="AF7" s="4"/>
      <c r="AG7" s="77">
        <v>0.45</v>
      </c>
      <c r="AH7" s="4"/>
      <c r="AI7" s="14" t="s">
        <v>149</v>
      </c>
      <c r="AJ7" s="11">
        <v>124.13793103448199</v>
      </c>
      <c r="AK7" s="15">
        <v>8.9369271060672197</v>
      </c>
      <c r="AL7" s="14" t="s">
        <v>152</v>
      </c>
      <c r="AM7" s="11">
        <v>116.085805084745</v>
      </c>
      <c r="AN7" s="15">
        <v>9</v>
      </c>
      <c r="AO7" s="14" t="s">
        <v>154</v>
      </c>
      <c r="AP7" s="11">
        <v>199.92478375329</v>
      </c>
      <c r="AQ7" s="78">
        <v>9.0359157578036804</v>
      </c>
      <c r="AR7" s="14" t="s">
        <v>161</v>
      </c>
      <c r="AS7" s="78">
        <v>0.25996131528046401</v>
      </c>
      <c r="AT7" s="78">
        <v>338.461538461538</v>
      </c>
      <c r="AU7" s="79">
        <f t="shared" si="1"/>
        <v>195.52645935624616</v>
      </c>
      <c r="AV7" s="78"/>
      <c r="AW7" s="31"/>
      <c r="AX7" s="34"/>
      <c r="AY7" s="14"/>
      <c r="AZ7" s="11"/>
      <c r="BA7" s="15"/>
      <c r="BB7" s="49" t="s">
        <v>389</v>
      </c>
      <c r="BC7" s="11"/>
      <c r="BD7" s="11"/>
      <c r="BE7" s="11"/>
      <c r="BF7" s="11"/>
      <c r="BG7" s="11"/>
      <c r="BH7" s="11" t="s">
        <v>393</v>
      </c>
      <c r="BJ7" s="11"/>
      <c r="BK7" s="23" t="s">
        <v>68</v>
      </c>
      <c r="BL7" s="11" t="s">
        <v>390</v>
      </c>
    </row>
    <row r="8" spans="1:64" ht="15.6" x14ac:dyDescent="0.3">
      <c r="A8" s="11"/>
      <c r="B8" s="11" t="s">
        <v>69</v>
      </c>
      <c r="C8" s="4" t="s">
        <v>70</v>
      </c>
      <c r="D8" s="40" t="s">
        <v>249</v>
      </c>
      <c r="E8" s="40"/>
      <c r="F8" s="54" t="s">
        <v>396</v>
      </c>
      <c r="G8" s="49">
        <v>918.31</v>
      </c>
      <c r="H8" s="48">
        <f t="shared" si="2"/>
        <v>48.785268591216479</v>
      </c>
      <c r="I8" s="4" t="s">
        <v>253</v>
      </c>
      <c r="J8" s="4">
        <v>44.8</v>
      </c>
      <c r="K8" s="4">
        <v>3.1</v>
      </c>
      <c r="L8" s="4">
        <f t="shared" si="0"/>
        <v>14.451612903225804</v>
      </c>
      <c r="M8" t="s">
        <v>246</v>
      </c>
      <c r="N8" t="s">
        <v>118</v>
      </c>
      <c r="O8" s="4" t="s">
        <v>266</v>
      </c>
      <c r="P8" s="4" t="s">
        <v>368</v>
      </c>
      <c r="Q8" s="4" t="s">
        <v>113</v>
      </c>
      <c r="R8" s="4" t="s">
        <v>369</v>
      </c>
      <c r="S8" s="4" t="s">
        <v>370</v>
      </c>
      <c r="T8" s="4" t="s">
        <v>371</v>
      </c>
      <c r="U8" s="4" t="s">
        <v>374</v>
      </c>
      <c r="V8" s="4" t="s">
        <v>376</v>
      </c>
      <c r="W8" s="4" t="s">
        <v>122</v>
      </c>
      <c r="X8" s="4" t="s">
        <v>377</v>
      </c>
      <c r="Y8" s="4" t="s">
        <v>379</v>
      </c>
      <c r="Z8" s="4">
        <v>298</v>
      </c>
      <c r="AA8" s="4" t="s">
        <v>381</v>
      </c>
      <c r="AB8" s="4" t="s">
        <v>384</v>
      </c>
      <c r="AC8" s="4" t="s">
        <v>386</v>
      </c>
      <c r="AD8" s="4" t="s">
        <v>388</v>
      </c>
      <c r="AE8" s="4" t="s">
        <v>140</v>
      </c>
      <c r="AF8" s="4"/>
      <c r="AG8" s="77">
        <v>0.45</v>
      </c>
      <c r="AH8" s="4"/>
      <c r="AI8" s="14" t="s">
        <v>149</v>
      </c>
      <c r="AJ8" s="11">
        <v>121.03448275862</v>
      </c>
      <c r="AK8" s="15">
        <v>10.393059799214299</v>
      </c>
      <c r="AL8" s="14" t="s">
        <v>152</v>
      </c>
      <c r="AM8" s="11">
        <v>164.63718220339001</v>
      </c>
      <c r="AN8" s="15">
        <v>10.461864406779601</v>
      </c>
      <c r="AO8" s="14" t="s">
        <v>154</v>
      </c>
      <c r="AP8" s="11">
        <v>273.05503322050902</v>
      </c>
      <c r="AQ8" s="78">
        <v>10.572959759308</v>
      </c>
      <c r="AR8" s="14" t="s">
        <v>161</v>
      </c>
      <c r="AS8" s="78">
        <v>0.28162475822050298</v>
      </c>
      <c r="AT8" s="78">
        <v>349.230769230769</v>
      </c>
      <c r="AU8" s="79">
        <f t="shared" si="1"/>
        <v>218.56006877283463</v>
      </c>
      <c r="AV8" s="78"/>
      <c r="AW8" s="31"/>
      <c r="AX8" s="34"/>
      <c r="AY8" s="14"/>
      <c r="AZ8" s="11"/>
      <c r="BA8" s="15"/>
      <c r="BB8" s="49" t="s">
        <v>389</v>
      </c>
      <c r="BC8" s="11"/>
      <c r="BD8" s="11"/>
      <c r="BE8" s="11"/>
      <c r="BF8" s="11"/>
      <c r="BG8" s="11"/>
      <c r="BH8" s="11" t="s">
        <v>393</v>
      </c>
      <c r="BJ8" s="11"/>
      <c r="BK8" s="23" t="s">
        <v>68</v>
      </c>
      <c r="BL8" s="11" t="s">
        <v>390</v>
      </c>
    </row>
    <row r="9" spans="1:64" ht="15.6" x14ac:dyDescent="0.3">
      <c r="A9" s="11"/>
      <c r="B9" s="11" t="s">
        <v>69</v>
      </c>
      <c r="C9" s="4" t="s">
        <v>70</v>
      </c>
      <c r="D9" s="40" t="s">
        <v>249</v>
      </c>
      <c r="E9" s="40"/>
      <c r="F9" s="54" t="s">
        <v>396</v>
      </c>
      <c r="G9" s="49">
        <v>918.31</v>
      </c>
      <c r="H9" s="48">
        <f t="shared" si="2"/>
        <v>48.785268591216479</v>
      </c>
      <c r="I9" s="4" t="s">
        <v>253</v>
      </c>
      <c r="J9" s="4">
        <v>44.8</v>
      </c>
      <c r="K9" s="4">
        <v>3.1</v>
      </c>
      <c r="L9" s="4">
        <f t="shared" si="0"/>
        <v>14.451612903225804</v>
      </c>
      <c r="M9" t="s">
        <v>246</v>
      </c>
      <c r="N9" t="s">
        <v>118</v>
      </c>
      <c r="O9" s="4" t="s">
        <v>266</v>
      </c>
      <c r="P9" s="4" t="s">
        <v>368</v>
      </c>
      <c r="Q9" s="4" t="s">
        <v>113</v>
      </c>
      <c r="R9" s="4" t="s">
        <v>369</v>
      </c>
      <c r="S9" s="4" t="s">
        <v>370</v>
      </c>
      <c r="T9" s="4" t="s">
        <v>371</v>
      </c>
      <c r="U9" s="4" t="s">
        <v>374</v>
      </c>
      <c r="V9" s="4" t="s">
        <v>376</v>
      </c>
      <c r="W9" s="4" t="s">
        <v>122</v>
      </c>
      <c r="X9" s="4" t="s">
        <v>377</v>
      </c>
      <c r="Y9" s="4" t="s">
        <v>379</v>
      </c>
      <c r="Z9" s="4">
        <v>298</v>
      </c>
      <c r="AA9" s="4" t="s">
        <v>381</v>
      </c>
      <c r="AB9" s="4" t="s">
        <v>384</v>
      </c>
      <c r="AC9" s="4" t="s">
        <v>386</v>
      </c>
      <c r="AD9" s="4" t="s">
        <v>388</v>
      </c>
      <c r="AE9" s="4" t="s">
        <v>140</v>
      </c>
      <c r="AF9" s="4"/>
      <c r="AG9" s="77">
        <v>0.45</v>
      </c>
      <c r="AH9" s="4"/>
      <c r="AI9" s="14" t="s">
        <v>149</v>
      </c>
      <c r="AJ9" s="11">
        <v>117.93103448275799</v>
      </c>
      <c r="AK9" s="15">
        <v>11.9124836316019</v>
      </c>
      <c r="AL9" s="14" t="s">
        <v>152</v>
      </c>
      <c r="AM9" s="11">
        <v>217.563559322034</v>
      </c>
      <c r="AN9" s="15">
        <v>11.9237288135593</v>
      </c>
      <c r="AO9" s="14" t="s">
        <v>154</v>
      </c>
      <c r="AP9" s="11">
        <v>320.18051899210201</v>
      </c>
      <c r="AQ9" s="78">
        <v>11.9151936818352</v>
      </c>
      <c r="AR9" s="14" t="s">
        <v>161</v>
      </c>
      <c r="AS9" s="78">
        <v>0.303288201160541</v>
      </c>
      <c r="AT9" s="78">
        <v>361.02564102564099</v>
      </c>
      <c r="AU9" s="79">
        <f t="shared" si="1"/>
        <v>243.32181608777304</v>
      </c>
      <c r="AV9" s="78"/>
      <c r="AW9" s="31"/>
      <c r="AX9" s="34"/>
      <c r="AY9" s="14"/>
      <c r="AZ9" s="11"/>
      <c r="BA9" s="15"/>
      <c r="BB9" s="49" t="s">
        <v>389</v>
      </c>
      <c r="BC9" s="11"/>
      <c r="BD9" s="11"/>
      <c r="BE9" s="11"/>
      <c r="BF9" s="11"/>
      <c r="BG9" s="11"/>
      <c r="BH9" s="11" t="s">
        <v>393</v>
      </c>
      <c r="BJ9" s="11"/>
      <c r="BK9" s="23" t="s">
        <v>68</v>
      </c>
      <c r="BL9" s="11" t="s">
        <v>390</v>
      </c>
    </row>
    <row r="10" spans="1:64" ht="15.6" x14ac:dyDescent="0.3">
      <c r="A10" s="11"/>
      <c r="B10" s="11" t="s">
        <v>69</v>
      </c>
      <c r="C10" s="4" t="s">
        <v>70</v>
      </c>
      <c r="D10" s="40" t="s">
        <v>249</v>
      </c>
      <c r="E10" s="40"/>
      <c r="F10" s="54" t="s">
        <v>396</v>
      </c>
      <c r="G10" s="49">
        <v>918.31</v>
      </c>
      <c r="H10" s="48">
        <f t="shared" si="2"/>
        <v>48.785268591216479</v>
      </c>
      <c r="I10" s="4" t="s">
        <v>253</v>
      </c>
      <c r="J10" s="4">
        <v>44.8</v>
      </c>
      <c r="K10" s="4">
        <v>3.1</v>
      </c>
      <c r="L10" s="4">
        <f t="shared" si="0"/>
        <v>14.451612903225804</v>
      </c>
      <c r="M10" t="s">
        <v>246</v>
      </c>
      <c r="N10" t="s">
        <v>118</v>
      </c>
      <c r="O10" s="4" t="s">
        <v>266</v>
      </c>
      <c r="P10" s="4" t="s">
        <v>368</v>
      </c>
      <c r="Q10" s="4" t="s">
        <v>113</v>
      </c>
      <c r="R10" s="4" t="s">
        <v>369</v>
      </c>
      <c r="S10" s="4" t="s">
        <v>370</v>
      </c>
      <c r="T10" s="4" t="s">
        <v>371</v>
      </c>
      <c r="U10" s="4" t="s">
        <v>374</v>
      </c>
      <c r="V10" s="4" t="s">
        <v>376</v>
      </c>
      <c r="W10" s="4" t="s">
        <v>122</v>
      </c>
      <c r="X10" s="4" t="s">
        <v>377</v>
      </c>
      <c r="Y10" s="4" t="s">
        <v>379</v>
      </c>
      <c r="Z10" s="4">
        <v>298</v>
      </c>
      <c r="AA10" s="4" t="s">
        <v>381</v>
      </c>
      <c r="AB10" s="4" t="s">
        <v>384</v>
      </c>
      <c r="AC10" s="4" t="s">
        <v>386</v>
      </c>
      <c r="AD10" s="4" t="s">
        <v>388</v>
      </c>
      <c r="AE10" s="4" t="s">
        <v>140</v>
      </c>
      <c r="AF10" s="4"/>
      <c r="AG10" s="77">
        <v>0.45</v>
      </c>
      <c r="AH10" s="4"/>
      <c r="AI10" s="14" t="s">
        <v>149</v>
      </c>
      <c r="AJ10" s="11">
        <v>86.896551724137893</v>
      </c>
      <c r="AK10" s="15">
        <v>13.435835879528501</v>
      </c>
      <c r="AL10" s="14" t="s">
        <v>152</v>
      </c>
      <c r="AM10" s="11">
        <v>340.508474576271</v>
      </c>
      <c r="AN10" s="15">
        <v>13.449152542372801</v>
      </c>
      <c r="AO10" s="14" t="s">
        <v>154</v>
      </c>
      <c r="AP10" s="11">
        <v>291.53817224520401</v>
      </c>
      <c r="AQ10" s="78">
        <v>13.436066190297099</v>
      </c>
      <c r="AR10" s="14" t="s">
        <v>161</v>
      </c>
      <c r="AS10" s="78">
        <v>0.33114119922630503</v>
      </c>
      <c r="AT10" s="78">
        <v>373.33333333333297</v>
      </c>
      <c r="AU10" s="79">
        <f t="shared" si="1"/>
        <v>274.72455046923056</v>
      </c>
      <c r="AV10" s="78"/>
      <c r="AW10" s="31"/>
      <c r="AX10" s="34"/>
      <c r="AY10" s="14"/>
      <c r="AZ10" s="11"/>
      <c r="BA10" s="15"/>
      <c r="BB10" s="49" t="s">
        <v>389</v>
      </c>
      <c r="BC10" s="11"/>
      <c r="BD10" s="11"/>
      <c r="BE10" s="11"/>
      <c r="BF10" s="11"/>
      <c r="BG10" s="11"/>
      <c r="BH10" s="11" t="s">
        <v>393</v>
      </c>
      <c r="BJ10" s="11"/>
      <c r="BK10" s="23" t="s">
        <v>68</v>
      </c>
      <c r="BL10" s="11" t="s">
        <v>390</v>
      </c>
    </row>
    <row r="11" spans="1:64" ht="16.2" thickBot="1" x14ac:dyDescent="0.35">
      <c r="A11" s="11"/>
      <c r="B11" s="11" t="s">
        <v>69</v>
      </c>
      <c r="C11" s="4" t="s">
        <v>70</v>
      </c>
      <c r="D11" s="40" t="s">
        <v>249</v>
      </c>
      <c r="E11" s="40"/>
      <c r="F11" s="54" t="s">
        <v>396</v>
      </c>
      <c r="G11" s="49">
        <v>918.31</v>
      </c>
      <c r="H11" s="48">
        <f t="shared" si="2"/>
        <v>48.785268591216479</v>
      </c>
      <c r="I11" s="4" t="s">
        <v>253</v>
      </c>
      <c r="J11" s="4">
        <v>44.8</v>
      </c>
      <c r="K11" s="4">
        <v>3.1</v>
      </c>
      <c r="L11" s="4">
        <f t="shared" si="0"/>
        <v>14.451612903225804</v>
      </c>
      <c r="M11" t="s">
        <v>246</v>
      </c>
      <c r="N11" t="s">
        <v>118</v>
      </c>
      <c r="O11" s="4" t="s">
        <v>266</v>
      </c>
      <c r="P11" s="4" t="s">
        <v>368</v>
      </c>
      <c r="Q11" s="4" t="s">
        <v>113</v>
      </c>
      <c r="R11" s="4" t="s">
        <v>369</v>
      </c>
      <c r="S11" s="4" t="s">
        <v>370</v>
      </c>
      <c r="T11" s="4" t="s">
        <v>371</v>
      </c>
      <c r="U11" s="4" t="s">
        <v>374</v>
      </c>
      <c r="V11" s="4" t="s">
        <v>376</v>
      </c>
      <c r="W11" s="4" t="s">
        <v>122</v>
      </c>
      <c r="X11" s="4" t="s">
        <v>377</v>
      </c>
      <c r="Y11" s="4" t="s">
        <v>379</v>
      </c>
      <c r="Z11" s="4">
        <v>298</v>
      </c>
      <c r="AA11" s="4" t="s">
        <v>381</v>
      </c>
      <c r="AB11" s="4" t="s">
        <v>384</v>
      </c>
      <c r="AC11" s="4" t="s">
        <v>386</v>
      </c>
      <c r="AD11" s="4" t="s">
        <v>388</v>
      </c>
      <c r="AE11" s="4" t="s">
        <v>140</v>
      </c>
      <c r="AF11" s="4"/>
      <c r="AG11" s="77">
        <v>0.45</v>
      </c>
      <c r="AH11" s="4"/>
      <c r="AI11" s="16" t="s">
        <v>149</v>
      </c>
      <c r="AJ11" s="19">
        <v>68.275862068965495</v>
      </c>
      <c r="AK11" s="17">
        <v>14.894151025752899</v>
      </c>
      <c r="AL11" s="16" t="s">
        <v>152</v>
      </c>
      <c r="AM11" s="19">
        <v>529.09692796610204</v>
      </c>
      <c r="AN11" s="17">
        <v>15.0381355932203</v>
      </c>
      <c r="AO11" s="16" t="s">
        <v>154</v>
      </c>
      <c r="AP11" s="19">
        <v>248.68496928669899</v>
      </c>
      <c r="AQ11" s="19">
        <v>15.018239939827</v>
      </c>
      <c r="AR11" s="16" t="s">
        <v>161</v>
      </c>
      <c r="AS11" s="19">
        <v>0.334235976789168</v>
      </c>
      <c r="AT11" s="19">
        <v>385.64102564102501</v>
      </c>
      <c r="AU11" s="80">
        <f t="shared" si="1"/>
        <v>286.43356643356572</v>
      </c>
      <c r="AV11" s="19"/>
      <c r="AW11" s="35"/>
      <c r="AX11" s="36"/>
      <c r="AY11" s="16"/>
      <c r="AZ11" s="19"/>
      <c r="BA11" s="17"/>
      <c r="BB11" s="49" t="s">
        <v>389</v>
      </c>
      <c r="BC11" s="11"/>
      <c r="BD11" s="11"/>
      <c r="BE11" s="11"/>
      <c r="BF11" s="11"/>
      <c r="BG11" s="11"/>
      <c r="BH11" s="11" t="s">
        <v>393</v>
      </c>
      <c r="BJ11" s="11"/>
      <c r="BK11" s="23" t="s">
        <v>68</v>
      </c>
      <c r="BL11" s="11" t="s">
        <v>390</v>
      </c>
    </row>
    <row r="12" spans="1:64" ht="94.2" customHeight="1" x14ac:dyDescent="0.3">
      <c r="A12" s="11"/>
      <c r="B12" s="11" t="s">
        <v>110</v>
      </c>
      <c r="C12" s="4" t="s">
        <v>89</v>
      </c>
      <c r="D12" s="4" t="s">
        <v>250</v>
      </c>
      <c r="E12" s="4" t="e" vm="2">
        <v>#VALUE!</v>
      </c>
      <c r="F12" s="55" t="s">
        <v>258</v>
      </c>
      <c r="G12" s="4">
        <v>695.19799999999998</v>
      </c>
      <c r="H12" s="48">
        <f>((J12)*1000)/G12</f>
        <v>43.297017540326642</v>
      </c>
      <c r="I12" s="4" t="s">
        <v>253</v>
      </c>
      <c r="J12" s="4">
        <v>30.1</v>
      </c>
      <c r="K12" s="4">
        <v>2.1</v>
      </c>
      <c r="L12" s="4">
        <f t="shared" si="0"/>
        <v>14.333333333333334</v>
      </c>
      <c r="M12" t="s">
        <v>246</v>
      </c>
      <c r="N12" t="s">
        <v>118</v>
      </c>
      <c r="O12" s="4" t="s">
        <v>266</v>
      </c>
      <c r="P12" s="4" t="s">
        <v>368</v>
      </c>
      <c r="Q12" s="4" t="s">
        <v>113</v>
      </c>
      <c r="R12" s="4" t="s">
        <v>369</v>
      </c>
      <c r="S12" s="4" t="s">
        <v>370</v>
      </c>
      <c r="T12" s="4" t="s">
        <v>371</v>
      </c>
      <c r="U12" s="4" t="s">
        <v>374</v>
      </c>
      <c r="V12" s="4" t="s">
        <v>376</v>
      </c>
      <c r="W12" s="4" t="s">
        <v>133</v>
      </c>
      <c r="X12" s="4" t="s">
        <v>377</v>
      </c>
      <c r="Y12" s="4" t="s">
        <v>379</v>
      </c>
      <c r="Z12" s="4">
        <v>298</v>
      </c>
      <c r="AA12" s="4" t="s">
        <v>382</v>
      </c>
      <c r="AB12" s="4" t="s">
        <v>384</v>
      </c>
      <c r="AC12" s="4" t="s">
        <v>386</v>
      </c>
      <c r="AD12" s="4" t="s">
        <v>388</v>
      </c>
      <c r="AE12" s="4" t="s">
        <v>140</v>
      </c>
      <c r="AF12" s="4"/>
      <c r="AG12" s="77">
        <v>0.79</v>
      </c>
      <c r="AH12" s="4"/>
      <c r="AI12" s="11" t="s">
        <v>149</v>
      </c>
      <c r="AJ12" s="78">
        <v>49.655172413792997</v>
      </c>
      <c r="AK12" s="78">
        <v>2.9347446529899601</v>
      </c>
      <c r="AL12" s="11" t="s">
        <v>152</v>
      </c>
      <c r="AM12" s="11">
        <v>92.449682203389898</v>
      </c>
      <c r="AN12" s="11">
        <v>2.9618644067796498</v>
      </c>
      <c r="AO12" s="11" t="s">
        <v>154</v>
      </c>
      <c r="AP12" s="11">
        <v>25.733985207471498</v>
      </c>
      <c r="AQ12" s="11">
        <v>2.9701015419330501</v>
      </c>
      <c r="AR12" s="11" t="s">
        <v>161</v>
      </c>
      <c r="AS12" s="11">
        <v>2.1663442940038601E-2</v>
      </c>
      <c r="AT12" s="11">
        <v>289.74358974358898</v>
      </c>
      <c r="AU12" s="22">
        <f>(AS12*AT12)/(AG12)</f>
        <v>7.9453718020913842</v>
      </c>
      <c r="AV12" s="11"/>
      <c r="AW12" s="31"/>
      <c r="AX12" s="31"/>
      <c r="AY12" s="11"/>
      <c r="AZ12" s="11"/>
      <c r="BA12" s="11"/>
      <c r="BB12" s="49" t="s">
        <v>389</v>
      </c>
      <c r="BC12" s="11"/>
      <c r="BD12" s="11"/>
      <c r="BE12" s="11"/>
      <c r="BF12" s="11"/>
      <c r="BG12" s="11"/>
      <c r="BH12" s="11" t="s">
        <v>393</v>
      </c>
      <c r="BI12" s="11">
        <v>1</v>
      </c>
      <c r="BJ12" s="11" t="s">
        <v>404</v>
      </c>
      <c r="BK12" s="23" t="s">
        <v>68</v>
      </c>
      <c r="BL12" s="11" t="s">
        <v>390</v>
      </c>
    </row>
    <row r="13" spans="1:64" ht="15.6" x14ac:dyDescent="0.3">
      <c r="A13" s="11"/>
      <c r="B13" s="11" t="s">
        <v>110</v>
      </c>
      <c r="C13" s="4" t="s">
        <v>89</v>
      </c>
      <c r="D13" s="4" t="s">
        <v>250</v>
      </c>
      <c r="E13" s="4"/>
      <c r="F13" s="55" t="s">
        <v>258</v>
      </c>
      <c r="G13" s="4">
        <v>695.19799999999998</v>
      </c>
      <c r="H13" s="48">
        <f t="shared" ref="H13:H20" si="3">((J13)*1000)/G13</f>
        <v>43.297017540326642</v>
      </c>
      <c r="I13" s="4" t="s">
        <v>253</v>
      </c>
      <c r="J13" s="4">
        <v>30.1</v>
      </c>
      <c r="K13" s="4">
        <v>2.1</v>
      </c>
      <c r="L13" s="4">
        <f t="shared" si="0"/>
        <v>14.333333333333334</v>
      </c>
      <c r="M13" t="s">
        <v>246</v>
      </c>
      <c r="N13" t="s">
        <v>118</v>
      </c>
      <c r="O13" s="4" t="s">
        <v>266</v>
      </c>
      <c r="P13" s="4" t="s">
        <v>368</v>
      </c>
      <c r="Q13" s="4" t="s">
        <v>113</v>
      </c>
      <c r="R13" s="4" t="s">
        <v>369</v>
      </c>
      <c r="S13" s="4" t="s">
        <v>370</v>
      </c>
      <c r="T13" s="4" t="s">
        <v>371</v>
      </c>
      <c r="U13" s="4" t="s">
        <v>374</v>
      </c>
      <c r="V13" s="4" t="s">
        <v>376</v>
      </c>
      <c r="W13" s="4" t="s">
        <v>133</v>
      </c>
      <c r="X13" s="4" t="s">
        <v>377</v>
      </c>
      <c r="Y13" s="4" t="s">
        <v>379</v>
      </c>
      <c r="Z13" s="4">
        <v>298</v>
      </c>
      <c r="AA13" s="4" t="s">
        <v>382</v>
      </c>
      <c r="AB13" s="4" t="s">
        <v>384</v>
      </c>
      <c r="AC13" s="4" t="s">
        <v>386</v>
      </c>
      <c r="AD13" s="4" t="s">
        <v>388</v>
      </c>
      <c r="AE13" s="4" t="s">
        <v>140</v>
      </c>
      <c r="AF13" s="4"/>
      <c r="AG13" s="77">
        <v>0.79</v>
      </c>
      <c r="AH13" s="4"/>
      <c r="AI13" s="11" t="s">
        <v>149</v>
      </c>
      <c r="AJ13" s="11">
        <v>46.551724137930997</v>
      </c>
      <c r="AK13" s="78">
        <v>4.4541684853775596</v>
      </c>
      <c r="AL13" s="11" t="s">
        <v>152</v>
      </c>
      <c r="AM13" s="11">
        <v>141.01959745762699</v>
      </c>
      <c r="AN13" s="11">
        <v>4.4872881355932099</v>
      </c>
      <c r="AO13" s="11" t="s">
        <v>154</v>
      </c>
      <c r="AP13" s="11">
        <v>30.226902344239601</v>
      </c>
      <c r="AQ13" s="11">
        <v>4.4962391876645302</v>
      </c>
      <c r="AR13" s="11" t="s">
        <v>161</v>
      </c>
      <c r="AS13" s="11">
        <v>2.4758220502901399E-2</v>
      </c>
      <c r="AT13" s="11">
        <v>301.53846153846098</v>
      </c>
      <c r="AU13" s="22">
        <f t="shared" ref="AU13:AU76" si="4">(AS13*AT13)/(AG13)</f>
        <v>9.4500705327529992</v>
      </c>
      <c r="AV13" s="11"/>
      <c r="AW13" s="31"/>
      <c r="AX13" s="31"/>
      <c r="AY13" s="11"/>
      <c r="AZ13" s="11"/>
      <c r="BA13" s="11"/>
      <c r="BB13" s="49" t="s">
        <v>389</v>
      </c>
      <c r="BC13" s="11"/>
      <c r="BD13" s="11"/>
      <c r="BE13" s="11"/>
      <c r="BF13" s="11"/>
      <c r="BG13" s="11"/>
      <c r="BH13" s="11" t="s">
        <v>393</v>
      </c>
      <c r="BJ13" s="11"/>
      <c r="BK13" s="23" t="s">
        <v>68</v>
      </c>
      <c r="BL13" s="11" t="s">
        <v>390</v>
      </c>
    </row>
    <row r="14" spans="1:64" ht="15.6" x14ac:dyDescent="0.3">
      <c r="A14" s="11"/>
      <c r="B14" s="11" t="s">
        <v>110</v>
      </c>
      <c r="C14" s="4" t="s">
        <v>89</v>
      </c>
      <c r="D14" s="4" t="s">
        <v>250</v>
      </c>
      <c r="E14" s="4"/>
      <c r="F14" s="55" t="s">
        <v>258</v>
      </c>
      <c r="G14" s="4">
        <v>695.19799999999998</v>
      </c>
      <c r="H14" s="48">
        <f t="shared" si="3"/>
        <v>43.297017540326642</v>
      </c>
      <c r="I14" s="4" t="s">
        <v>253</v>
      </c>
      <c r="J14" s="4">
        <v>30.1</v>
      </c>
      <c r="K14" s="4">
        <v>2.1</v>
      </c>
      <c r="L14" s="4">
        <f t="shared" si="0"/>
        <v>14.333333333333334</v>
      </c>
      <c r="M14" t="s">
        <v>246</v>
      </c>
      <c r="N14" t="s">
        <v>118</v>
      </c>
      <c r="O14" s="4" t="s">
        <v>266</v>
      </c>
      <c r="P14" s="4" t="s">
        <v>368</v>
      </c>
      <c r="Q14" s="4" t="s">
        <v>113</v>
      </c>
      <c r="R14" s="4" t="s">
        <v>369</v>
      </c>
      <c r="S14" s="4" t="s">
        <v>370</v>
      </c>
      <c r="T14" s="4" t="s">
        <v>371</v>
      </c>
      <c r="U14" s="4" t="s">
        <v>374</v>
      </c>
      <c r="V14" s="4" t="s">
        <v>376</v>
      </c>
      <c r="W14" s="4" t="s">
        <v>133</v>
      </c>
      <c r="X14" s="4" t="s">
        <v>377</v>
      </c>
      <c r="Y14" s="4" t="s">
        <v>379</v>
      </c>
      <c r="Z14" s="4">
        <v>298</v>
      </c>
      <c r="AA14" s="4" t="s">
        <v>382</v>
      </c>
      <c r="AB14" s="4" t="s">
        <v>384</v>
      </c>
      <c r="AC14" s="4" t="s">
        <v>386</v>
      </c>
      <c r="AD14" s="4" t="s">
        <v>388</v>
      </c>
      <c r="AE14" s="4" t="s">
        <v>140</v>
      </c>
      <c r="AF14" s="4"/>
      <c r="AG14" s="77">
        <v>0.79</v>
      </c>
      <c r="AH14" s="4"/>
      <c r="AI14" s="11" t="s">
        <v>149</v>
      </c>
      <c r="AJ14" s="11">
        <v>43.448275862068897</v>
      </c>
      <c r="AK14" s="78">
        <v>5.9103011785246604</v>
      </c>
      <c r="AL14" s="11" t="s">
        <v>152</v>
      </c>
      <c r="AM14" s="11">
        <v>172.08951271186399</v>
      </c>
      <c r="AN14" s="11">
        <v>6.0127118644067696</v>
      </c>
      <c r="AO14" s="11" t="s">
        <v>154</v>
      </c>
      <c r="AP14" s="11">
        <v>29.996239187664401</v>
      </c>
      <c r="AQ14" s="11">
        <v>5.9580669424595696</v>
      </c>
      <c r="AR14" s="11" t="s">
        <v>161</v>
      </c>
      <c r="AS14" s="11">
        <v>2.4758220502901399E-2</v>
      </c>
      <c r="AT14" s="11">
        <v>313.33333333333297</v>
      </c>
      <c r="AU14" s="22">
        <f t="shared" si="4"/>
        <v>9.8197161488300786</v>
      </c>
      <c r="AV14" s="11"/>
      <c r="AW14" s="31"/>
      <c r="AX14" s="31"/>
      <c r="AY14" s="11"/>
      <c r="AZ14" s="11"/>
      <c r="BA14" s="11"/>
      <c r="BB14" s="49" t="s">
        <v>389</v>
      </c>
      <c r="BC14" s="11"/>
      <c r="BD14" s="11"/>
      <c r="BE14" s="11"/>
      <c r="BF14" s="11"/>
      <c r="BG14" s="11"/>
      <c r="BH14" s="11" t="s">
        <v>393</v>
      </c>
      <c r="BJ14" s="11"/>
      <c r="BK14" s="23" t="s">
        <v>68</v>
      </c>
      <c r="BL14" s="11" t="s">
        <v>390</v>
      </c>
    </row>
    <row r="15" spans="1:64" ht="15.6" x14ac:dyDescent="0.3">
      <c r="A15" s="11"/>
      <c r="B15" s="11" t="s">
        <v>110</v>
      </c>
      <c r="C15" s="4" t="s">
        <v>89</v>
      </c>
      <c r="D15" s="4" t="s">
        <v>250</v>
      </c>
      <c r="E15" s="4"/>
      <c r="F15" s="55" t="s">
        <v>258</v>
      </c>
      <c r="G15" s="4">
        <v>695.19799999999998</v>
      </c>
      <c r="H15" s="48">
        <f t="shared" si="3"/>
        <v>43.297017540326642</v>
      </c>
      <c r="I15" s="4" t="s">
        <v>253</v>
      </c>
      <c r="J15" s="4">
        <v>30.1</v>
      </c>
      <c r="K15" s="4">
        <v>2.1</v>
      </c>
      <c r="L15" s="4">
        <f t="shared" si="0"/>
        <v>14.333333333333334</v>
      </c>
      <c r="M15" t="s">
        <v>246</v>
      </c>
      <c r="N15" t="s">
        <v>118</v>
      </c>
      <c r="O15" s="4" t="s">
        <v>266</v>
      </c>
      <c r="P15" s="4" t="s">
        <v>368</v>
      </c>
      <c r="Q15" s="4" t="s">
        <v>113</v>
      </c>
      <c r="R15" s="4" t="s">
        <v>369</v>
      </c>
      <c r="S15" s="4" t="s">
        <v>370</v>
      </c>
      <c r="T15" s="4" t="s">
        <v>371</v>
      </c>
      <c r="U15" s="4" t="s">
        <v>374</v>
      </c>
      <c r="V15" s="4" t="s">
        <v>376</v>
      </c>
      <c r="W15" s="4" t="s">
        <v>133</v>
      </c>
      <c r="X15" s="4" t="s">
        <v>377</v>
      </c>
      <c r="Y15" s="4" t="s">
        <v>379</v>
      </c>
      <c r="Z15" s="4">
        <v>298</v>
      </c>
      <c r="AA15" s="4" t="s">
        <v>382</v>
      </c>
      <c r="AB15" s="4" t="s">
        <v>384</v>
      </c>
      <c r="AC15" s="4" t="s">
        <v>386</v>
      </c>
      <c r="AD15" s="4" t="s">
        <v>388</v>
      </c>
      <c r="AE15" s="4" t="s">
        <v>140</v>
      </c>
      <c r="AF15" s="4"/>
      <c r="AG15" s="77">
        <v>0.79</v>
      </c>
      <c r="AH15" s="4"/>
      <c r="AI15" s="11" t="s">
        <v>149</v>
      </c>
      <c r="AJ15" s="11">
        <v>37.241379310344797</v>
      </c>
      <c r="AK15" s="78">
        <v>7.43016150152771</v>
      </c>
      <c r="AL15" s="11" t="s">
        <v>152</v>
      </c>
      <c r="AM15" s="11">
        <v>220.65942796610099</v>
      </c>
      <c r="AN15" s="11">
        <v>7.5381355932203302</v>
      </c>
      <c r="AO15" s="11" t="s">
        <v>154</v>
      </c>
      <c r="AP15" s="11">
        <v>36.855960887551497</v>
      </c>
      <c r="AQ15" s="11">
        <v>7.4845806694245898</v>
      </c>
      <c r="AR15" s="11" t="s">
        <v>161</v>
      </c>
      <c r="AS15" s="11">
        <v>2.4758220502901399E-2</v>
      </c>
      <c r="AT15" s="11">
        <v>326.15384615384602</v>
      </c>
      <c r="AU15" s="22">
        <f t="shared" si="4"/>
        <v>10.221504861957339</v>
      </c>
      <c r="AV15" s="11"/>
      <c r="AW15" s="31"/>
      <c r="AX15" s="31"/>
      <c r="AY15" s="11"/>
      <c r="AZ15" s="11"/>
      <c r="BA15" s="11"/>
      <c r="BB15" s="49" t="s">
        <v>389</v>
      </c>
      <c r="BC15" s="11"/>
      <c r="BD15" s="11"/>
      <c r="BE15" s="11"/>
      <c r="BF15" s="11"/>
      <c r="BG15" s="11"/>
      <c r="BH15" s="11" t="s">
        <v>393</v>
      </c>
      <c r="BJ15" s="11"/>
      <c r="BK15" s="23" t="s">
        <v>68</v>
      </c>
      <c r="BL15" s="11" t="s">
        <v>390</v>
      </c>
    </row>
    <row r="16" spans="1:64" ht="15.6" x14ac:dyDescent="0.3">
      <c r="A16" s="11"/>
      <c r="B16" s="11" t="s">
        <v>110</v>
      </c>
      <c r="C16" s="4" t="s">
        <v>89</v>
      </c>
      <c r="D16" s="4" t="s">
        <v>250</v>
      </c>
      <c r="E16" s="4"/>
      <c r="F16" s="55" t="s">
        <v>258</v>
      </c>
      <c r="G16" s="4">
        <v>695.19799999999998</v>
      </c>
      <c r="H16" s="48">
        <f>((J16)*1000)/G16</f>
        <v>43.297017540326642</v>
      </c>
      <c r="I16" s="4" t="s">
        <v>253</v>
      </c>
      <c r="J16" s="4">
        <v>30.1</v>
      </c>
      <c r="K16" s="4">
        <v>2.1</v>
      </c>
      <c r="L16" s="4">
        <f t="shared" si="0"/>
        <v>14.333333333333334</v>
      </c>
      <c r="M16" t="s">
        <v>246</v>
      </c>
      <c r="N16" t="s">
        <v>118</v>
      </c>
      <c r="O16" s="4" t="s">
        <v>266</v>
      </c>
      <c r="P16" s="4" t="s">
        <v>368</v>
      </c>
      <c r="Q16" s="4" t="s">
        <v>113</v>
      </c>
      <c r="R16" s="4" t="s">
        <v>369</v>
      </c>
      <c r="S16" s="4" t="s">
        <v>370</v>
      </c>
      <c r="T16" s="4" t="s">
        <v>371</v>
      </c>
      <c r="U16" s="4" t="s">
        <v>374</v>
      </c>
      <c r="V16" s="4" t="s">
        <v>376</v>
      </c>
      <c r="W16" s="4" t="s">
        <v>133</v>
      </c>
      <c r="X16" s="4" t="s">
        <v>377</v>
      </c>
      <c r="Y16" s="4" t="s">
        <v>379</v>
      </c>
      <c r="Z16" s="4">
        <v>298</v>
      </c>
      <c r="AA16" s="4" t="s">
        <v>382</v>
      </c>
      <c r="AB16" s="4" t="s">
        <v>384</v>
      </c>
      <c r="AC16" s="4" t="s">
        <v>386</v>
      </c>
      <c r="AD16" s="4" t="s">
        <v>388</v>
      </c>
      <c r="AE16" s="4" t="s">
        <v>140</v>
      </c>
      <c r="AF16" s="4"/>
      <c r="AG16" s="77">
        <v>0.79</v>
      </c>
      <c r="AH16" s="4"/>
      <c r="AI16" s="11" t="s">
        <v>149</v>
      </c>
      <c r="AJ16" s="11">
        <v>34.137931034482698</v>
      </c>
      <c r="AK16" s="78">
        <v>9.0128764731558206</v>
      </c>
      <c r="AL16" s="11" t="s">
        <v>152</v>
      </c>
      <c r="AM16" s="11">
        <v>334.81726694915199</v>
      </c>
      <c r="AN16" s="11">
        <v>8.9364406779660897</v>
      </c>
      <c r="AO16" s="11" t="s">
        <v>154</v>
      </c>
      <c r="AP16" s="11">
        <v>43.715682587438899</v>
      </c>
      <c r="AQ16" s="11">
        <v>9.0110943963896197</v>
      </c>
      <c r="AR16" s="11" t="s">
        <v>161</v>
      </c>
      <c r="AS16" s="11">
        <v>2.4758220502901399E-2</v>
      </c>
      <c r="AT16" s="11">
        <v>338.461538461538</v>
      </c>
      <c r="AU16" s="22">
        <f t="shared" si="4"/>
        <v>10.607222026559494</v>
      </c>
      <c r="AV16" s="11"/>
      <c r="AW16" s="31"/>
      <c r="AX16" s="31"/>
      <c r="AY16" s="11"/>
      <c r="AZ16" s="11"/>
      <c r="BA16" s="11"/>
      <c r="BB16" s="49" t="s">
        <v>389</v>
      </c>
      <c r="BC16" s="11"/>
      <c r="BD16" s="11"/>
      <c r="BE16" s="11"/>
      <c r="BF16" s="11"/>
      <c r="BG16" s="11"/>
      <c r="BH16" s="11" t="s">
        <v>393</v>
      </c>
      <c r="BJ16" s="11"/>
      <c r="BK16" s="23" t="s">
        <v>68</v>
      </c>
      <c r="BL16" s="11" t="s">
        <v>390</v>
      </c>
    </row>
    <row r="17" spans="1:64" ht="15.6" x14ac:dyDescent="0.3">
      <c r="A17" s="11"/>
      <c r="B17" s="11" t="s">
        <v>110</v>
      </c>
      <c r="C17" s="4" t="s">
        <v>89</v>
      </c>
      <c r="D17" s="4" t="s">
        <v>250</v>
      </c>
      <c r="E17" s="4"/>
      <c r="F17" s="55" t="s">
        <v>258</v>
      </c>
      <c r="G17" s="4">
        <v>695.19799999999998</v>
      </c>
      <c r="H17" s="48">
        <f t="shared" si="3"/>
        <v>43.297017540326642</v>
      </c>
      <c r="I17" s="4" t="s">
        <v>253</v>
      </c>
      <c r="J17" s="4">
        <v>30.1</v>
      </c>
      <c r="K17" s="4">
        <v>2.1</v>
      </c>
      <c r="L17" s="4">
        <f t="shared" si="0"/>
        <v>14.333333333333334</v>
      </c>
      <c r="M17" t="s">
        <v>246</v>
      </c>
      <c r="N17" t="s">
        <v>118</v>
      </c>
      <c r="O17" s="4" t="s">
        <v>266</v>
      </c>
      <c r="P17" s="4" t="s">
        <v>368</v>
      </c>
      <c r="Q17" s="4" t="s">
        <v>113</v>
      </c>
      <c r="R17" s="4" t="s">
        <v>369</v>
      </c>
      <c r="S17" s="4" t="s">
        <v>370</v>
      </c>
      <c r="T17" s="4" t="s">
        <v>371</v>
      </c>
      <c r="U17" s="4" t="s">
        <v>374</v>
      </c>
      <c r="V17" s="4" t="s">
        <v>376</v>
      </c>
      <c r="W17" s="4" t="s">
        <v>133</v>
      </c>
      <c r="X17" s="4" t="s">
        <v>377</v>
      </c>
      <c r="Y17" s="4" t="s">
        <v>379</v>
      </c>
      <c r="Z17" s="4">
        <v>298</v>
      </c>
      <c r="AA17" s="4" t="s">
        <v>382</v>
      </c>
      <c r="AB17" s="4" t="s">
        <v>384</v>
      </c>
      <c r="AC17" s="4" t="s">
        <v>386</v>
      </c>
      <c r="AD17" s="4" t="s">
        <v>388</v>
      </c>
      <c r="AE17" s="4" t="s">
        <v>140</v>
      </c>
      <c r="AF17" s="4"/>
      <c r="AG17" s="77">
        <v>0.79</v>
      </c>
      <c r="AH17" s="4"/>
      <c r="AI17" s="11" t="s">
        <v>149</v>
      </c>
      <c r="AJ17" s="11">
        <v>34.137931034482698</v>
      </c>
      <c r="AK17" s="78">
        <v>10.4052815364469</v>
      </c>
      <c r="AL17" s="11" t="s">
        <v>152</v>
      </c>
      <c r="AM17" s="11">
        <v>466.53072033898297</v>
      </c>
      <c r="AN17" s="11">
        <v>10.5254237288135</v>
      </c>
      <c r="AO17" s="11" t="s">
        <v>154</v>
      </c>
      <c r="AP17" s="11">
        <v>55.319042246458501</v>
      </c>
      <c r="AQ17" s="11">
        <v>10.4748025573523</v>
      </c>
      <c r="AR17" s="11" t="s">
        <v>161</v>
      </c>
      <c r="AS17" s="11">
        <v>2.7852998065764099E-2</v>
      </c>
      <c r="AT17" s="11">
        <v>349.74358974358898</v>
      </c>
      <c r="AU17" s="22">
        <f t="shared" si="4"/>
        <v>12.330895605875414</v>
      </c>
      <c r="AV17" s="11"/>
      <c r="AW17" s="31"/>
      <c r="AX17" s="31"/>
      <c r="AY17" s="11"/>
      <c r="AZ17" s="11"/>
      <c r="BA17" s="11"/>
      <c r="BB17" s="49" t="s">
        <v>389</v>
      </c>
      <c r="BC17" s="11"/>
      <c r="BD17" s="11"/>
      <c r="BE17" s="11"/>
      <c r="BF17" s="11"/>
      <c r="BG17" s="11"/>
      <c r="BH17" s="11" t="s">
        <v>393</v>
      </c>
      <c r="BJ17" s="11"/>
      <c r="BK17" s="23" t="s">
        <v>68</v>
      </c>
      <c r="BL17" s="11" t="s">
        <v>390</v>
      </c>
    </row>
    <row r="18" spans="1:64" ht="15.6" x14ac:dyDescent="0.3">
      <c r="A18" s="11"/>
      <c r="B18" s="11" t="s">
        <v>110</v>
      </c>
      <c r="C18" s="4" t="s">
        <v>89</v>
      </c>
      <c r="D18" s="4" t="s">
        <v>250</v>
      </c>
      <c r="E18" s="4"/>
      <c r="F18" s="55" t="s">
        <v>258</v>
      </c>
      <c r="G18" s="4">
        <v>695.19799999999998</v>
      </c>
      <c r="H18" s="48">
        <f t="shared" si="3"/>
        <v>43.297017540326642</v>
      </c>
      <c r="I18" s="4" t="s">
        <v>253</v>
      </c>
      <c r="J18" s="4">
        <v>30.1</v>
      </c>
      <c r="K18" s="4">
        <v>2.1</v>
      </c>
      <c r="L18" s="4">
        <f t="shared" si="0"/>
        <v>14.333333333333334</v>
      </c>
      <c r="M18" t="s">
        <v>246</v>
      </c>
      <c r="N18" t="s">
        <v>118</v>
      </c>
      <c r="O18" s="4" t="s">
        <v>266</v>
      </c>
      <c r="P18" s="4" t="s">
        <v>368</v>
      </c>
      <c r="Q18" s="4" t="s">
        <v>113</v>
      </c>
      <c r="R18" s="4" t="s">
        <v>369</v>
      </c>
      <c r="S18" s="4" t="s">
        <v>370</v>
      </c>
      <c r="T18" s="4" t="s">
        <v>371</v>
      </c>
      <c r="U18" s="4" t="s">
        <v>374</v>
      </c>
      <c r="V18" s="4" t="s">
        <v>376</v>
      </c>
      <c r="W18" s="4" t="s">
        <v>133</v>
      </c>
      <c r="X18" s="4" t="s">
        <v>377</v>
      </c>
      <c r="Y18" s="4" t="s">
        <v>379</v>
      </c>
      <c r="Z18" s="4">
        <v>298</v>
      </c>
      <c r="AA18" s="4" t="s">
        <v>382</v>
      </c>
      <c r="AB18" s="4" t="s">
        <v>384</v>
      </c>
      <c r="AC18" s="4" t="s">
        <v>386</v>
      </c>
      <c r="AD18" s="4" t="s">
        <v>388</v>
      </c>
      <c r="AE18" s="4" t="s">
        <v>140</v>
      </c>
      <c r="AF18" s="4"/>
      <c r="AG18" s="77">
        <v>0.79</v>
      </c>
      <c r="AH18" s="4"/>
      <c r="AI18" s="11" t="s">
        <v>149</v>
      </c>
      <c r="AJ18" s="11">
        <v>31.034482758620701</v>
      </c>
      <c r="AK18" s="78">
        <v>11.9247053688345</v>
      </c>
      <c r="AL18" s="11" t="s">
        <v>152</v>
      </c>
      <c r="AM18" s="11">
        <v>532.56355932203405</v>
      </c>
      <c r="AN18" s="11">
        <v>11.9237288135593</v>
      </c>
      <c r="AO18" s="11" t="s">
        <v>154</v>
      </c>
      <c r="AP18" s="11">
        <v>59.801930550332202</v>
      </c>
      <c r="AQ18" s="11">
        <v>12.0644979315532</v>
      </c>
      <c r="AR18" s="11" t="s">
        <v>161</v>
      </c>
      <c r="AS18" s="11">
        <v>3.0947775628626599E-2</v>
      </c>
      <c r="AT18" s="11">
        <v>361.53846153846098</v>
      </c>
      <c r="AU18" s="22">
        <f t="shared" si="4"/>
        <v>14.163052137735617</v>
      </c>
      <c r="AV18" s="11"/>
      <c r="AW18" s="31"/>
      <c r="AX18" s="31"/>
      <c r="AY18" s="11"/>
      <c r="AZ18" s="11"/>
      <c r="BA18" s="11"/>
      <c r="BB18" s="49" t="s">
        <v>389</v>
      </c>
      <c r="BC18" s="11"/>
      <c r="BD18" s="11"/>
      <c r="BE18" s="11"/>
      <c r="BF18" s="11"/>
      <c r="BG18" s="11"/>
      <c r="BH18" s="11" t="s">
        <v>393</v>
      </c>
      <c r="BJ18" s="11"/>
      <c r="BK18" s="23" t="s">
        <v>68</v>
      </c>
      <c r="BL18" s="11" t="s">
        <v>390</v>
      </c>
    </row>
    <row r="19" spans="1:64" ht="15.6" x14ac:dyDescent="0.3">
      <c r="A19" s="11"/>
      <c r="B19" s="11" t="s">
        <v>110</v>
      </c>
      <c r="C19" s="4" t="s">
        <v>89</v>
      </c>
      <c r="D19" s="4" t="s">
        <v>250</v>
      </c>
      <c r="E19" s="4"/>
      <c r="F19" s="55" t="s">
        <v>258</v>
      </c>
      <c r="G19" s="4">
        <v>695.19799999999998</v>
      </c>
      <c r="H19" s="48">
        <f>((J19)*1000)/G19</f>
        <v>43.297017540326642</v>
      </c>
      <c r="I19" s="4" t="s">
        <v>253</v>
      </c>
      <c r="J19" s="4">
        <v>30.1</v>
      </c>
      <c r="K19" s="4">
        <v>2.1</v>
      </c>
      <c r="L19" s="4">
        <f t="shared" si="0"/>
        <v>14.333333333333334</v>
      </c>
      <c r="M19" t="s">
        <v>246</v>
      </c>
      <c r="N19" t="s">
        <v>118</v>
      </c>
      <c r="O19" s="4" t="s">
        <v>266</v>
      </c>
      <c r="P19" s="4" t="s">
        <v>368</v>
      </c>
      <c r="Q19" s="4" t="s">
        <v>113</v>
      </c>
      <c r="R19" s="4" t="s">
        <v>369</v>
      </c>
      <c r="S19" s="4" t="s">
        <v>370</v>
      </c>
      <c r="T19" s="4" t="s">
        <v>371</v>
      </c>
      <c r="U19" s="4" t="s">
        <v>374</v>
      </c>
      <c r="V19" s="4" t="s">
        <v>376</v>
      </c>
      <c r="W19" s="4" t="s">
        <v>133</v>
      </c>
      <c r="X19" s="4" t="s">
        <v>377</v>
      </c>
      <c r="Y19" s="4" t="s">
        <v>379</v>
      </c>
      <c r="Z19" s="4">
        <v>298</v>
      </c>
      <c r="AA19" s="4" t="s">
        <v>382</v>
      </c>
      <c r="AB19" s="4" t="s">
        <v>384</v>
      </c>
      <c r="AC19" s="4" t="s">
        <v>386</v>
      </c>
      <c r="AD19" s="4" t="s">
        <v>388</v>
      </c>
      <c r="AE19" s="4" t="s">
        <v>140</v>
      </c>
      <c r="AF19" s="4"/>
      <c r="AG19" s="77">
        <v>0.79</v>
      </c>
      <c r="AH19" s="4"/>
      <c r="AI19" s="11" t="s">
        <v>149</v>
      </c>
      <c r="AJ19" s="11">
        <v>31.034482758620701</v>
      </c>
      <c r="AK19" s="78">
        <v>13.443692710606699</v>
      </c>
      <c r="AL19" s="11" t="s">
        <v>152</v>
      </c>
      <c r="AM19" s="11">
        <v>563.61493644067798</v>
      </c>
      <c r="AN19" s="11">
        <v>13.385593220338899</v>
      </c>
      <c r="AO19" s="11" t="s">
        <v>154</v>
      </c>
      <c r="AP19" s="11">
        <v>52.4708537044</v>
      </c>
      <c r="AQ19" s="11">
        <v>13.525197442647601</v>
      </c>
      <c r="AR19" s="11" t="s">
        <v>161</v>
      </c>
      <c r="AS19" s="11">
        <v>3.40425531914893E-2</v>
      </c>
      <c r="AT19" s="11">
        <v>373.33333333333297</v>
      </c>
      <c r="AU19" s="22">
        <f t="shared" si="4"/>
        <v>16.087620073615181</v>
      </c>
      <c r="AV19" s="11"/>
      <c r="AW19" s="31"/>
      <c r="AX19" s="31"/>
      <c r="AY19" s="11"/>
      <c r="AZ19" s="11"/>
      <c r="BA19" s="11"/>
      <c r="BB19" s="49" t="s">
        <v>389</v>
      </c>
      <c r="BC19" s="11"/>
      <c r="BD19" s="11"/>
      <c r="BE19" s="11"/>
      <c r="BF19" s="11"/>
      <c r="BG19" s="11"/>
      <c r="BH19" s="11" t="s">
        <v>393</v>
      </c>
      <c r="BJ19" s="11"/>
      <c r="BK19" s="23" t="s">
        <v>68</v>
      </c>
      <c r="BL19" s="11" t="s">
        <v>390</v>
      </c>
    </row>
    <row r="20" spans="1:64" ht="15.6" x14ac:dyDescent="0.3">
      <c r="A20" s="11"/>
      <c r="B20" s="11" t="s">
        <v>110</v>
      </c>
      <c r="C20" s="4" t="s">
        <v>89</v>
      </c>
      <c r="D20" s="4" t="s">
        <v>250</v>
      </c>
      <c r="E20" s="4"/>
      <c r="F20" s="55" t="s">
        <v>258</v>
      </c>
      <c r="G20" s="4">
        <v>695.19799999999998</v>
      </c>
      <c r="H20" s="48">
        <f t="shared" si="3"/>
        <v>43.297017540326642</v>
      </c>
      <c r="I20" s="4" t="s">
        <v>253</v>
      </c>
      <c r="J20" s="4">
        <v>30.1</v>
      </c>
      <c r="K20" s="4">
        <v>2.1</v>
      </c>
      <c r="L20" s="4">
        <f t="shared" si="0"/>
        <v>14.333333333333334</v>
      </c>
      <c r="M20" t="s">
        <v>246</v>
      </c>
      <c r="N20" t="s">
        <v>118</v>
      </c>
      <c r="O20" s="4" t="s">
        <v>266</v>
      </c>
      <c r="P20" s="4" t="s">
        <v>368</v>
      </c>
      <c r="Q20" s="4" t="s">
        <v>113</v>
      </c>
      <c r="R20" s="4" t="s">
        <v>369</v>
      </c>
      <c r="S20" s="4" t="s">
        <v>370</v>
      </c>
      <c r="T20" s="4" t="s">
        <v>371</v>
      </c>
      <c r="U20" s="4" t="s">
        <v>374</v>
      </c>
      <c r="V20" s="4" t="s">
        <v>376</v>
      </c>
      <c r="W20" s="4" t="s">
        <v>133</v>
      </c>
      <c r="X20" s="4" t="s">
        <v>377</v>
      </c>
      <c r="Y20" s="4" t="s">
        <v>379</v>
      </c>
      <c r="Z20" s="4">
        <v>298</v>
      </c>
      <c r="AA20" s="4" t="s">
        <v>382</v>
      </c>
      <c r="AB20" s="4" t="s">
        <v>384</v>
      </c>
      <c r="AC20" s="4" t="s">
        <v>386</v>
      </c>
      <c r="AD20" s="4" t="s">
        <v>388</v>
      </c>
      <c r="AE20" s="4" t="s">
        <v>140</v>
      </c>
      <c r="AF20" s="4"/>
      <c r="AG20" s="77">
        <v>0.79</v>
      </c>
      <c r="AH20" s="4"/>
      <c r="AI20" s="11" t="s">
        <v>149</v>
      </c>
      <c r="AJ20" s="11">
        <v>24.827586206896601</v>
      </c>
      <c r="AK20" s="78">
        <v>14.9002618943692</v>
      </c>
      <c r="AL20" s="11" t="s">
        <v>152</v>
      </c>
      <c r="AM20" s="11">
        <v>585.97192796610102</v>
      </c>
      <c r="AN20" s="11">
        <v>15.0381355932203</v>
      </c>
      <c r="AO20" s="11" t="s">
        <v>154</v>
      </c>
      <c r="AP20" s="11">
        <v>42.752914629560003</v>
      </c>
      <c r="AQ20" s="11">
        <v>15.112636329447099</v>
      </c>
      <c r="AR20" s="11" t="s">
        <v>161</v>
      </c>
      <c r="AS20" s="11">
        <v>3.7137330754352098E-2</v>
      </c>
      <c r="AT20" s="11">
        <v>385.12820512820502</v>
      </c>
      <c r="AU20" s="22">
        <f t="shared" si="4"/>
        <v>18.104599413514066</v>
      </c>
      <c r="AV20" s="11"/>
      <c r="AW20" s="31"/>
      <c r="AX20" s="31"/>
      <c r="AY20" s="11"/>
      <c r="AZ20" s="11"/>
      <c r="BA20" s="11"/>
      <c r="BB20" s="49" t="s">
        <v>389</v>
      </c>
      <c r="BC20" s="11"/>
      <c r="BD20" s="11"/>
      <c r="BE20" s="11"/>
      <c r="BF20" s="11"/>
      <c r="BG20" s="11"/>
      <c r="BH20" s="11" t="s">
        <v>393</v>
      </c>
      <c r="BJ20" s="11"/>
      <c r="BK20" s="23" t="s">
        <v>68</v>
      </c>
      <c r="BL20" s="11" t="s">
        <v>390</v>
      </c>
    </row>
    <row r="21" spans="1:64" ht="72" x14ac:dyDescent="0.3">
      <c r="A21" s="11"/>
      <c r="B21" s="11" t="s">
        <v>111</v>
      </c>
      <c r="C21" s="4" t="s">
        <v>99</v>
      </c>
      <c r="D21" s="4" t="s">
        <v>251</v>
      </c>
      <c r="E21" s="4"/>
      <c r="F21" s="55"/>
      <c r="G21" s="4"/>
      <c r="H21" s="48"/>
      <c r="I21" s="4" t="s">
        <v>254</v>
      </c>
      <c r="J21" s="4"/>
      <c r="K21" s="4"/>
      <c r="L21" s="4"/>
      <c r="M21" t="s">
        <v>246</v>
      </c>
      <c r="N21" t="s">
        <v>118</v>
      </c>
      <c r="O21" s="4" t="s">
        <v>266</v>
      </c>
      <c r="P21" s="4" t="s">
        <v>368</v>
      </c>
      <c r="Q21" s="4" t="s">
        <v>113</v>
      </c>
      <c r="R21" s="4" t="s">
        <v>369</v>
      </c>
      <c r="S21" s="4" t="s">
        <v>372</v>
      </c>
      <c r="T21" s="4" t="s">
        <v>373</v>
      </c>
      <c r="U21" s="4" t="s">
        <v>375</v>
      </c>
      <c r="V21" s="4" t="s">
        <v>376</v>
      </c>
      <c r="W21" s="4" t="s">
        <v>139</v>
      </c>
      <c r="X21" s="4" t="s">
        <v>378</v>
      </c>
      <c r="Y21" s="4" t="s">
        <v>379</v>
      </c>
      <c r="Z21" s="4" t="s">
        <v>380</v>
      </c>
      <c r="AA21" s="4" t="s">
        <v>383</v>
      </c>
      <c r="AB21" s="4" t="s">
        <v>385</v>
      </c>
      <c r="AC21" s="4" t="s">
        <v>387</v>
      </c>
      <c r="AD21" s="4" t="s">
        <v>388</v>
      </c>
      <c r="AE21" s="4" t="s">
        <v>140</v>
      </c>
      <c r="AF21" s="4"/>
      <c r="AG21" s="77" t="s">
        <v>395</v>
      </c>
      <c r="AH21" s="4"/>
      <c r="AI21" s="11" t="s">
        <v>149</v>
      </c>
      <c r="AJ21" s="11">
        <v>310.34482758620697</v>
      </c>
      <c r="AK21" s="78">
        <v>2.9613705805325101</v>
      </c>
      <c r="AL21" s="11" t="s">
        <v>152</v>
      </c>
      <c r="AM21" s="11">
        <v>4.9496822033897896</v>
      </c>
      <c r="AN21" s="11">
        <v>2.96186440677966</v>
      </c>
      <c r="AO21" s="11" t="s">
        <v>154</v>
      </c>
      <c r="AP21" s="11">
        <v>84.904099285445696</v>
      </c>
      <c r="AQ21" s="11">
        <v>2.9795035727717099</v>
      </c>
      <c r="AR21" s="11" t="s">
        <v>161</v>
      </c>
      <c r="AS21" s="11">
        <v>0.69632495164410002</v>
      </c>
      <c r="AT21" s="11">
        <v>289.74358974358898</v>
      </c>
      <c r="AU21" s="22" t="e">
        <f t="shared" si="4"/>
        <v>#VALUE!</v>
      </c>
      <c r="AV21" s="11"/>
      <c r="AW21" s="31"/>
      <c r="AX21" s="31"/>
      <c r="AY21" s="11"/>
      <c r="AZ21" s="11"/>
      <c r="BA21" s="11"/>
      <c r="BB21" s="49" t="s">
        <v>389</v>
      </c>
      <c r="BC21" s="11"/>
      <c r="BD21" s="11"/>
      <c r="BE21" s="11"/>
      <c r="BF21" s="11"/>
      <c r="BG21" s="72" t="s">
        <v>394</v>
      </c>
      <c r="BH21" s="11" t="s">
        <v>393</v>
      </c>
      <c r="BI21" s="72"/>
      <c r="BJ21" s="72"/>
      <c r="BK21" s="23" t="s">
        <v>68</v>
      </c>
      <c r="BL21" s="11" t="s">
        <v>391</v>
      </c>
    </row>
    <row r="22" spans="1:64" ht="15.6" x14ac:dyDescent="0.3">
      <c r="A22" s="11"/>
      <c r="B22" s="11" t="s">
        <v>111</v>
      </c>
      <c r="C22" s="4" t="s">
        <v>99</v>
      </c>
      <c r="D22" s="4" t="s">
        <v>251</v>
      </c>
      <c r="E22" s="4"/>
      <c r="F22" s="55"/>
      <c r="G22" s="4"/>
      <c r="H22" s="48"/>
      <c r="I22" s="4" t="s">
        <v>254</v>
      </c>
      <c r="J22" s="4"/>
      <c r="K22" s="4"/>
      <c r="L22" s="4"/>
      <c r="M22" t="s">
        <v>246</v>
      </c>
      <c r="N22" t="s">
        <v>118</v>
      </c>
      <c r="O22" s="4" t="s">
        <v>266</v>
      </c>
      <c r="P22" s="4" t="s">
        <v>368</v>
      </c>
      <c r="Q22" s="4" t="s">
        <v>113</v>
      </c>
      <c r="R22" s="4" t="s">
        <v>369</v>
      </c>
      <c r="S22" s="4" t="s">
        <v>372</v>
      </c>
      <c r="T22" s="4" t="s">
        <v>373</v>
      </c>
      <c r="U22" s="4" t="s">
        <v>375</v>
      </c>
      <c r="V22" s="4" t="s">
        <v>376</v>
      </c>
      <c r="W22" s="4" t="s">
        <v>139</v>
      </c>
      <c r="X22" s="4" t="s">
        <v>378</v>
      </c>
      <c r="Y22" s="4" t="s">
        <v>379</v>
      </c>
      <c r="Z22" s="4" t="s">
        <v>380</v>
      </c>
      <c r="AA22" s="4" t="s">
        <v>383</v>
      </c>
      <c r="AB22" s="4" t="s">
        <v>385</v>
      </c>
      <c r="AC22" s="4" t="s">
        <v>387</v>
      </c>
      <c r="AD22" s="4" t="s">
        <v>388</v>
      </c>
      <c r="AE22" s="4" t="s">
        <v>140</v>
      </c>
      <c r="AF22" s="4"/>
      <c r="AG22" s="77" t="s">
        <v>395</v>
      </c>
      <c r="AH22" s="4"/>
      <c r="AI22" s="11" t="s">
        <v>149</v>
      </c>
      <c r="AJ22" s="11">
        <v>251.37931034482699</v>
      </c>
      <c r="AK22" s="78">
        <v>4.4253601047577398</v>
      </c>
      <c r="AL22" s="11" t="s">
        <v>152</v>
      </c>
      <c r="AM22" s="11">
        <v>18.519597457627199</v>
      </c>
      <c r="AN22" s="11">
        <v>4.4872881355932197</v>
      </c>
      <c r="AO22" s="11" t="s">
        <v>154</v>
      </c>
      <c r="AP22" s="11">
        <v>131.98946972546</v>
      </c>
      <c r="AQ22" s="11">
        <v>4.5759684091763804</v>
      </c>
      <c r="AR22" s="11" t="s">
        <v>161</v>
      </c>
      <c r="AS22" s="11">
        <v>0.74584139264990301</v>
      </c>
      <c r="AT22" s="11">
        <v>301.53846153846098</v>
      </c>
      <c r="AU22" s="22" t="e">
        <f t="shared" si="4"/>
        <v>#VALUE!</v>
      </c>
      <c r="AV22" s="11"/>
      <c r="AW22" s="31"/>
      <c r="AX22" s="31"/>
      <c r="AY22" s="11"/>
      <c r="AZ22" s="11"/>
      <c r="BA22" s="11"/>
      <c r="BB22" s="49" t="s">
        <v>389</v>
      </c>
      <c r="BC22" s="11"/>
      <c r="BD22" s="11"/>
      <c r="BE22" s="11"/>
      <c r="BF22" s="11"/>
      <c r="BG22" s="11" t="s">
        <v>393</v>
      </c>
      <c r="BH22" s="11" t="s">
        <v>393</v>
      </c>
      <c r="BJ22" s="11"/>
      <c r="BK22" s="23" t="s">
        <v>68</v>
      </c>
      <c r="BL22" s="11" t="s">
        <v>391</v>
      </c>
    </row>
    <row r="23" spans="1:64" ht="15.6" x14ac:dyDescent="0.3">
      <c r="A23" s="11"/>
      <c r="B23" s="11" t="s">
        <v>111</v>
      </c>
      <c r="C23" s="4" t="s">
        <v>99</v>
      </c>
      <c r="D23" s="4" t="s">
        <v>251</v>
      </c>
      <c r="E23" s="4"/>
      <c r="F23" s="55"/>
      <c r="G23" s="4"/>
      <c r="H23" s="48"/>
      <c r="I23" s="4" t="s">
        <v>254</v>
      </c>
      <c r="J23" s="4"/>
      <c r="K23" s="4"/>
      <c r="L23" s="4"/>
      <c r="M23" t="s">
        <v>246</v>
      </c>
      <c r="N23" t="s">
        <v>118</v>
      </c>
      <c r="O23" s="4" t="s">
        <v>266</v>
      </c>
      <c r="P23" s="4" t="s">
        <v>368</v>
      </c>
      <c r="Q23" s="4" t="s">
        <v>113</v>
      </c>
      <c r="R23" s="4" t="s">
        <v>369</v>
      </c>
      <c r="S23" s="4" t="s">
        <v>372</v>
      </c>
      <c r="T23" s="4" t="s">
        <v>373</v>
      </c>
      <c r="U23" s="4" t="s">
        <v>375</v>
      </c>
      <c r="V23" s="4" t="s">
        <v>376</v>
      </c>
      <c r="W23" s="4" t="s">
        <v>139</v>
      </c>
      <c r="X23" s="4" t="s">
        <v>378</v>
      </c>
      <c r="Y23" s="4" t="s">
        <v>379</v>
      </c>
      <c r="Z23" s="4" t="s">
        <v>380</v>
      </c>
      <c r="AA23" s="4" t="s">
        <v>383</v>
      </c>
      <c r="AB23" s="4" t="s">
        <v>385</v>
      </c>
      <c r="AC23" s="4" t="s">
        <v>387</v>
      </c>
      <c r="AD23" s="4" t="s">
        <v>388</v>
      </c>
      <c r="AE23" s="4" t="s">
        <v>140</v>
      </c>
      <c r="AF23" s="4"/>
      <c r="AG23" s="77" t="s">
        <v>395</v>
      </c>
      <c r="AH23" s="4"/>
      <c r="AI23" s="11" t="s">
        <v>149</v>
      </c>
      <c r="AJ23" s="11">
        <v>217.241379310344</v>
      </c>
      <c r="AK23" s="78">
        <v>5.9491488432998603</v>
      </c>
      <c r="AL23" s="11" t="s">
        <v>152</v>
      </c>
      <c r="AM23" s="11">
        <v>27.7145127118646</v>
      </c>
      <c r="AN23" s="11">
        <v>6.0127118644067696</v>
      </c>
      <c r="AO23" s="11" t="s">
        <v>154</v>
      </c>
      <c r="AP23" s="11">
        <v>157.803685596088</v>
      </c>
      <c r="AQ23" s="11">
        <v>5.9783753290710697</v>
      </c>
      <c r="AR23" s="11" t="s">
        <v>161</v>
      </c>
      <c r="AS23" s="11">
        <v>0.82630560928433205</v>
      </c>
      <c r="AT23" s="11">
        <v>313.33333333333297</v>
      </c>
      <c r="AU23" s="22" t="e">
        <f t="shared" si="4"/>
        <v>#VALUE!</v>
      </c>
      <c r="AV23" s="11"/>
      <c r="AW23" s="31"/>
      <c r="AX23" s="31"/>
      <c r="AY23" s="11"/>
      <c r="AZ23" s="11"/>
      <c r="BA23" s="11"/>
      <c r="BB23" s="49" t="s">
        <v>389</v>
      </c>
      <c r="BC23" s="11"/>
      <c r="BD23" s="11"/>
      <c r="BE23" s="11"/>
      <c r="BF23" s="11"/>
      <c r="BG23" s="11" t="s">
        <v>393</v>
      </c>
      <c r="BH23" s="11" t="s">
        <v>393</v>
      </c>
      <c r="BJ23" s="11"/>
      <c r="BK23" s="23" t="s">
        <v>68</v>
      </c>
      <c r="BL23" s="11" t="s">
        <v>391</v>
      </c>
    </row>
    <row r="24" spans="1:64" ht="15.6" x14ac:dyDescent="0.3">
      <c r="A24" s="11"/>
      <c r="B24" s="11" t="s">
        <v>111</v>
      </c>
      <c r="C24" s="4" t="s">
        <v>99</v>
      </c>
      <c r="D24" s="4" t="s">
        <v>251</v>
      </c>
      <c r="E24" s="4"/>
      <c r="F24" s="55"/>
      <c r="G24" s="4"/>
      <c r="H24" s="48"/>
      <c r="I24" s="4" t="s">
        <v>254</v>
      </c>
      <c r="J24" s="4"/>
      <c r="K24" s="4"/>
      <c r="L24" s="4"/>
      <c r="M24" t="s">
        <v>246</v>
      </c>
      <c r="N24" t="s">
        <v>118</v>
      </c>
      <c r="O24" s="4" t="s">
        <v>266</v>
      </c>
      <c r="P24" s="4" t="s">
        <v>368</v>
      </c>
      <c r="Q24" s="4" t="s">
        <v>113</v>
      </c>
      <c r="R24" s="4" t="s">
        <v>369</v>
      </c>
      <c r="S24" s="4" t="s">
        <v>372</v>
      </c>
      <c r="T24" s="4" t="s">
        <v>373</v>
      </c>
      <c r="U24" s="4" t="s">
        <v>375</v>
      </c>
      <c r="V24" s="4" t="s">
        <v>376</v>
      </c>
      <c r="W24" s="4" t="s">
        <v>139</v>
      </c>
      <c r="X24" s="4" t="s">
        <v>378</v>
      </c>
      <c r="Y24" s="4" t="s">
        <v>379</v>
      </c>
      <c r="Z24" s="4" t="s">
        <v>380</v>
      </c>
      <c r="AA24" s="4" t="s">
        <v>383</v>
      </c>
      <c r="AB24" s="4" t="s">
        <v>385</v>
      </c>
      <c r="AC24" s="4" t="s">
        <v>387</v>
      </c>
      <c r="AD24" s="4" t="s">
        <v>388</v>
      </c>
      <c r="AE24" s="4" t="s">
        <v>140</v>
      </c>
      <c r="AF24" s="4"/>
      <c r="AG24" s="77" t="s">
        <v>395</v>
      </c>
      <c r="AH24" s="4"/>
      <c r="AI24" s="11" t="s">
        <v>149</v>
      </c>
      <c r="AJ24" s="11">
        <v>183.10344827586201</v>
      </c>
      <c r="AK24" s="78">
        <v>7.4096464426014803</v>
      </c>
      <c r="AL24" s="11" t="s">
        <v>152</v>
      </c>
      <c r="AM24" s="11">
        <v>50.015889830508698</v>
      </c>
      <c r="AN24" s="11">
        <v>7.4745762711864403</v>
      </c>
      <c r="AO24" s="11" t="s">
        <v>154</v>
      </c>
      <c r="AP24" s="11">
        <v>183.60787263382201</v>
      </c>
      <c r="AQ24" s="11">
        <v>7.4443399774351198</v>
      </c>
      <c r="AR24" s="11" t="s">
        <v>161</v>
      </c>
      <c r="AS24" s="11">
        <v>0.87582205029013505</v>
      </c>
      <c r="AT24" s="11">
        <v>325.64102564102501</v>
      </c>
      <c r="AU24" s="22" t="e">
        <f t="shared" si="4"/>
        <v>#VALUE!</v>
      </c>
      <c r="AV24" s="11"/>
      <c r="AW24" s="31"/>
      <c r="AX24" s="31"/>
      <c r="AY24" s="11"/>
      <c r="AZ24" s="11"/>
      <c r="BA24" s="11"/>
      <c r="BB24" s="49" t="s">
        <v>389</v>
      </c>
      <c r="BC24" s="11"/>
      <c r="BD24" s="11"/>
      <c r="BE24" s="11"/>
      <c r="BF24" s="11"/>
      <c r="BG24" s="11" t="s">
        <v>393</v>
      </c>
      <c r="BH24" s="11" t="s">
        <v>393</v>
      </c>
      <c r="BJ24" s="11"/>
      <c r="BK24" s="23" t="s">
        <v>68</v>
      </c>
      <c r="BL24" s="11" t="s">
        <v>391</v>
      </c>
    </row>
    <row r="25" spans="1:64" ht="15.6" x14ac:dyDescent="0.3">
      <c r="A25" s="11"/>
      <c r="B25" s="11" t="s">
        <v>111</v>
      </c>
      <c r="C25" s="4" t="s">
        <v>99</v>
      </c>
      <c r="D25" s="4" t="s">
        <v>251</v>
      </c>
      <c r="E25" s="4"/>
      <c r="F25" s="55"/>
      <c r="G25" s="4"/>
      <c r="H25" s="48"/>
      <c r="I25" s="4" t="s">
        <v>254</v>
      </c>
      <c r="J25" s="4"/>
      <c r="K25" s="4"/>
      <c r="L25" s="4"/>
      <c r="M25" t="s">
        <v>246</v>
      </c>
      <c r="N25" t="s">
        <v>118</v>
      </c>
      <c r="O25" s="4" t="s">
        <v>266</v>
      </c>
      <c r="P25" s="4" t="s">
        <v>368</v>
      </c>
      <c r="Q25" s="4" t="s">
        <v>113</v>
      </c>
      <c r="R25" s="4" t="s">
        <v>369</v>
      </c>
      <c r="S25" s="4" t="s">
        <v>372</v>
      </c>
      <c r="T25" s="4" t="s">
        <v>373</v>
      </c>
      <c r="U25" s="4" t="s">
        <v>375</v>
      </c>
      <c r="V25" s="4" t="s">
        <v>376</v>
      </c>
      <c r="W25" s="4" t="s">
        <v>139</v>
      </c>
      <c r="X25" s="4" t="s">
        <v>378</v>
      </c>
      <c r="Y25" s="4" t="s">
        <v>379</v>
      </c>
      <c r="Z25" s="4" t="s">
        <v>380</v>
      </c>
      <c r="AA25" s="4" t="s">
        <v>383</v>
      </c>
      <c r="AB25" s="4" t="s">
        <v>385</v>
      </c>
      <c r="AC25" s="4" t="s">
        <v>387</v>
      </c>
      <c r="AD25" s="4" t="s">
        <v>388</v>
      </c>
      <c r="AE25" s="4" t="s">
        <v>140</v>
      </c>
      <c r="AF25" s="4"/>
      <c r="AG25" s="77" t="s">
        <v>395</v>
      </c>
      <c r="AH25" s="4"/>
      <c r="AI25" s="11" t="s">
        <v>149</v>
      </c>
      <c r="AJ25" s="11">
        <v>176.896551724137</v>
      </c>
      <c r="AK25" s="11">
        <v>8.9295067656045397</v>
      </c>
      <c r="AL25" s="11" t="s">
        <v>152</v>
      </c>
      <c r="AM25" s="11">
        <v>72.3358050847459</v>
      </c>
      <c r="AN25" s="11">
        <v>9</v>
      </c>
      <c r="AO25" s="11" t="s">
        <v>154</v>
      </c>
      <c r="AP25" s="11">
        <v>261.461702394383</v>
      </c>
      <c r="AQ25" s="11">
        <v>9.0456938698758904</v>
      </c>
      <c r="AR25" s="11" t="s">
        <v>161</v>
      </c>
      <c r="AS25" s="11">
        <v>0.98723404255319103</v>
      </c>
      <c r="AT25" s="11">
        <v>336.923076923076</v>
      </c>
      <c r="AU25" s="22" t="e">
        <f t="shared" si="4"/>
        <v>#VALUE!</v>
      </c>
      <c r="AV25" s="11"/>
      <c r="AW25" s="31"/>
      <c r="AX25" s="31"/>
      <c r="AY25" s="11"/>
      <c r="AZ25" s="11"/>
      <c r="BA25" s="11"/>
      <c r="BB25" s="49" t="s">
        <v>389</v>
      </c>
      <c r="BC25" s="11"/>
      <c r="BD25" s="11"/>
      <c r="BE25" s="11"/>
      <c r="BF25" s="11"/>
      <c r="BG25" s="11" t="s">
        <v>393</v>
      </c>
      <c r="BH25" s="11" t="s">
        <v>393</v>
      </c>
      <c r="BJ25" s="11"/>
      <c r="BK25" s="23" t="s">
        <v>68</v>
      </c>
      <c r="BL25" s="11" t="s">
        <v>391</v>
      </c>
    </row>
    <row r="26" spans="1:64" ht="15.6" x14ac:dyDescent="0.3">
      <c r="A26" s="11"/>
      <c r="B26" s="11" t="s">
        <v>111</v>
      </c>
      <c r="C26" s="4" t="s">
        <v>99</v>
      </c>
      <c r="D26" s="4" t="s">
        <v>251</v>
      </c>
      <c r="E26" s="4"/>
      <c r="F26" s="55"/>
      <c r="G26" s="4"/>
      <c r="H26" s="48"/>
      <c r="I26" s="4" t="s">
        <v>254</v>
      </c>
      <c r="J26" s="4"/>
      <c r="K26" s="4"/>
      <c r="L26" s="4"/>
      <c r="M26" t="s">
        <v>246</v>
      </c>
      <c r="N26" t="s">
        <v>118</v>
      </c>
      <c r="O26" s="4" t="s">
        <v>266</v>
      </c>
      <c r="P26" s="4" t="s">
        <v>368</v>
      </c>
      <c r="Q26" s="4" t="s">
        <v>113</v>
      </c>
      <c r="R26" s="4" t="s">
        <v>369</v>
      </c>
      <c r="S26" s="4" t="s">
        <v>372</v>
      </c>
      <c r="T26" s="4" t="s">
        <v>373</v>
      </c>
      <c r="U26" s="4" t="s">
        <v>375</v>
      </c>
      <c r="V26" s="4" t="s">
        <v>376</v>
      </c>
      <c r="W26" s="4" t="s">
        <v>139</v>
      </c>
      <c r="X26" s="4" t="s">
        <v>378</v>
      </c>
      <c r="Y26" s="4" t="s">
        <v>379</v>
      </c>
      <c r="Z26" s="4" t="s">
        <v>380</v>
      </c>
      <c r="AA26" s="4" t="s">
        <v>383</v>
      </c>
      <c r="AB26" s="4" t="s">
        <v>385</v>
      </c>
      <c r="AC26" s="4" t="s">
        <v>387</v>
      </c>
      <c r="AD26" s="4" t="s">
        <v>388</v>
      </c>
      <c r="AE26" s="4" t="s">
        <v>140</v>
      </c>
      <c r="AF26" s="4"/>
      <c r="AG26" s="77" t="s">
        <v>395</v>
      </c>
      <c r="AH26" s="4"/>
      <c r="AI26" s="11" t="s">
        <v>149</v>
      </c>
      <c r="AJ26" s="11">
        <v>173.79310344827499</v>
      </c>
      <c r="AK26" s="11">
        <v>10.448930597992099</v>
      </c>
      <c r="AL26" s="11" t="s">
        <v>152</v>
      </c>
      <c r="AM26" s="11">
        <v>103.442796610169</v>
      </c>
      <c r="AN26" s="11">
        <v>10.6525423728813</v>
      </c>
      <c r="AO26" s="11" t="s">
        <v>154</v>
      </c>
      <c r="AP26" s="11">
        <v>327.47148050645598</v>
      </c>
      <c r="AQ26" s="11">
        <v>10.7087250846182</v>
      </c>
      <c r="AR26" s="11" t="s">
        <v>161</v>
      </c>
      <c r="AS26" s="11">
        <v>1.05531914893617</v>
      </c>
      <c r="AT26" s="11">
        <v>349.230769230769</v>
      </c>
      <c r="AU26" s="22" t="e">
        <f t="shared" si="4"/>
        <v>#VALUE!</v>
      </c>
      <c r="AV26" s="11"/>
      <c r="AW26" s="31"/>
      <c r="AX26" s="31"/>
      <c r="AY26" s="11"/>
      <c r="AZ26" s="11"/>
      <c r="BA26" s="11"/>
      <c r="BB26" s="49" t="s">
        <v>389</v>
      </c>
      <c r="BC26" s="11"/>
      <c r="BD26" s="11"/>
      <c r="BE26" s="11"/>
      <c r="BF26" s="11"/>
      <c r="BG26" s="11" t="s">
        <v>393</v>
      </c>
      <c r="BH26" s="11" t="s">
        <v>393</v>
      </c>
      <c r="BJ26" s="11"/>
      <c r="BK26" s="23" t="s">
        <v>68</v>
      </c>
      <c r="BL26" s="11" t="s">
        <v>391</v>
      </c>
    </row>
    <row r="27" spans="1:64" ht="15.6" x14ac:dyDescent="0.3">
      <c r="A27" s="11"/>
      <c r="B27" s="11" t="s">
        <v>111</v>
      </c>
      <c r="C27" s="4" t="s">
        <v>99</v>
      </c>
      <c r="D27" s="4" t="s">
        <v>251</v>
      </c>
      <c r="E27" s="4"/>
      <c r="F27" s="55"/>
      <c r="G27" s="4"/>
      <c r="H27" s="48"/>
      <c r="I27" s="4" t="s">
        <v>254</v>
      </c>
      <c r="J27" s="4"/>
      <c r="K27" s="4"/>
      <c r="L27" s="4"/>
      <c r="M27" t="s">
        <v>246</v>
      </c>
      <c r="N27" t="s">
        <v>118</v>
      </c>
      <c r="O27" s="4" t="s">
        <v>266</v>
      </c>
      <c r="P27" s="4" t="s">
        <v>368</v>
      </c>
      <c r="Q27" s="4" t="s">
        <v>113</v>
      </c>
      <c r="R27" s="4" t="s">
        <v>369</v>
      </c>
      <c r="S27" s="4" t="s">
        <v>372</v>
      </c>
      <c r="T27" s="4" t="s">
        <v>373</v>
      </c>
      <c r="U27" s="4" t="s">
        <v>375</v>
      </c>
      <c r="V27" s="4" t="s">
        <v>376</v>
      </c>
      <c r="W27" s="4" t="s">
        <v>139</v>
      </c>
      <c r="X27" s="4" t="s">
        <v>378</v>
      </c>
      <c r="Y27" s="4" t="s">
        <v>379</v>
      </c>
      <c r="Z27" s="4" t="s">
        <v>380</v>
      </c>
      <c r="AA27" s="4" t="s">
        <v>383</v>
      </c>
      <c r="AB27" s="4" t="s">
        <v>385</v>
      </c>
      <c r="AC27" s="4" t="s">
        <v>387</v>
      </c>
      <c r="AD27" s="4" t="s">
        <v>388</v>
      </c>
      <c r="AE27" s="4" t="s">
        <v>140</v>
      </c>
      <c r="AF27" s="4"/>
      <c r="AG27" s="77" t="s">
        <v>395</v>
      </c>
      <c r="AH27" s="4"/>
      <c r="AI27" s="11" t="s">
        <v>149</v>
      </c>
      <c r="AJ27" s="11">
        <v>158.27586206896501</v>
      </c>
      <c r="AK27" s="11">
        <v>11.843518114360499</v>
      </c>
      <c r="AL27" s="11" t="s">
        <v>152</v>
      </c>
      <c r="AM27" s="11">
        <v>130.04502118644001</v>
      </c>
      <c r="AN27" s="11">
        <v>11.860169491525401</v>
      </c>
      <c r="AO27" s="11" t="s">
        <v>154</v>
      </c>
      <c r="AP27" s="11">
        <v>350.938949479754</v>
      </c>
      <c r="AQ27" s="11">
        <v>11.983640466340701</v>
      </c>
      <c r="AR27" s="11" t="s">
        <v>161</v>
      </c>
      <c r="AS27" s="11">
        <v>1.1605415860735</v>
      </c>
      <c r="AT27" s="11">
        <v>361.02564102564099</v>
      </c>
      <c r="AU27" s="22" t="e">
        <f t="shared" si="4"/>
        <v>#VALUE!</v>
      </c>
      <c r="AV27" s="11"/>
      <c r="AW27" s="31"/>
      <c r="AX27" s="31"/>
      <c r="AY27" s="11"/>
      <c r="AZ27" s="11"/>
      <c r="BA27" s="11"/>
      <c r="BB27" s="49" t="s">
        <v>389</v>
      </c>
      <c r="BC27" s="11"/>
      <c r="BD27" s="11"/>
      <c r="BE27" s="11"/>
      <c r="BF27" s="11"/>
      <c r="BG27" s="11" t="s">
        <v>393</v>
      </c>
      <c r="BH27" s="11" t="s">
        <v>393</v>
      </c>
      <c r="BJ27" s="11"/>
      <c r="BK27" s="23" t="s">
        <v>68</v>
      </c>
      <c r="BL27" s="11" t="s">
        <v>391</v>
      </c>
    </row>
    <row r="28" spans="1:64" ht="15.6" x14ac:dyDescent="0.3">
      <c r="A28" s="11"/>
      <c r="B28" s="11" t="s">
        <v>111</v>
      </c>
      <c r="C28" s="4" t="s">
        <v>99</v>
      </c>
      <c r="D28" s="4" t="s">
        <v>251</v>
      </c>
      <c r="E28" s="4"/>
      <c r="F28" s="55"/>
      <c r="G28" s="4"/>
      <c r="H28" s="48"/>
      <c r="I28" s="4" t="s">
        <v>254</v>
      </c>
      <c r="J28" s="4"/>
      <c r="K28" s="4"/>
      <c r="L28" s="4"/>
      <c r="M28" t="s">
        <v>246</v>
      </c>
      <c r="N28" t="s">
        <v>118</v>
      </c>
      <c r="O28" s="4" t="s">
        <v>266</v>
      </c>
      <c r="P28" s="4" t="s">
        <v>368</v>
      </c>
      <c r="Q28" s="4" t="s">
        <v>113</v>
      </c>
      <c r="R28" s="4" t="s">
        <v>369</v>
      </c>
      <c r="S28" s="4" t="s">
        <v>372</v>
      </c>
      <c r="T28" s="4" t="s">
        <v>373</v>
      </c>
      <c r="U28" s="4" t="s">
        <v>375</v>
      </c>
      <c r="V28" s="4" t="s">
        <v>376</v>
      </c>
      <c r="W28" s="4" t="s">
        <v>139</v>
      </c>
      <c r="X28" s="4" t="s">
        <v>378</v>
      </c>
      <c r="Y28" s="4" t="s">
        <v>379</v>
      </c>
      <c r="Z28" s="4" t="s">
        <v>380</v>
      </c>
      <c r="AA28" s="4" t="s">
        <v>383</v>
      </c>
      <c r="AB28" s="4" t="s">
        <v>385</v>
      </c>
      <c r="AC28" s="4" t="s">
        <v>387</v>
      </c>
      <c r="AD28" s="4" t="s">
        <v>388</v>
      </c>
      <c r="AE28" s="4" t="s">
        <v>140</v>
      </c>
      <c r="AF28" s="4"/>
      <c r="AG28" s="77" t="s">
        <v>395</v>
      </c>
      <c r="AH28" s="4"/>
      <c r="AI28" s="11" t="s">
        <v>149</v>
      </c>
      <c r="AJ28" s="11">
        <v>148.96551724137899</v>
      </c>
      <c r="AK28" s="11">
        <v>13.4271060672195</v>
      </c>
      <c r="AL28" s="11" t="s">
        <v>152</v>
      </c>
      <c r="AM28" s="11">
        <v>139.295550847458</v>
      </c>
      <c r="AN28" s="11">
        <v>13.5762711864406</v>
      </c>
      <c r="AO28" s="11" t="s">
        <v>154</v>
      </c>
      <c r="AP28" s="11">
        <v>345.944590698257</v>
      </c>
      <c r="AQ28" s="11">
        <v>13.6353892440767</v>
      </c>
      <c r="AR28" s="11" t="s">
        <v>161</v>
      </c>
      <c r="AS28" s="11">
        <v>1.2348162475822</v>
      </c>
      <c r="AT28" s="11">
        <v>372.82051282051202</v>
      </c>
      <c r="AU28" s="22" t="e">
        <f t="shared" si="4"/>
        <v>#VALUE!</v>
      </c>
      <c r="AV28" s="11"/>
      <c r="AW28" s="31"/>
      <c r="AX28" s="31"/>
      <c r="AY28" s="11"/>
      <c r="AZ28" s="11"/>
      <c r="BA28" s="11"/>
      <c r="BB28" s="49" t="s">
        <v>389</v>
      </c>
      <c r="BC28" s="11"/>
      <c r="BD28" s="11"/>
      <c r="BE28" s="11"/>
      <c r="BF28" s="11"/>
      <c r="BG28" s="11" t="s">
        <v>393</v>
      </c>
      <c r="BH28" s="11" t="s">
        <v>393</v>
      </c>
      <c r="BJ28" s="11"/>
      <c r="BK28" s="23" t="s">
        <v>68</v>
      </c>
      <c r="BL28" s="11" t="s">
        <v>391</v>
      </c>
    </row>
    <row r="29" spans="1:64" ht="15.6" x14ac:dyDescent="0.3">
      <c r="A29" s="11"/>
      <c r="B29" s="11" t="s">
        <v>111</v>
      </c>
      <c r="C29" s="4" t="s">
        <v>99</v>
      </c>
      <c r="D29" s="4" t="s">
        <v>251</v>
      </c>
      <c r="E29" s="4"/>
      <c r="F29" s="55"/>
      <c r="G29" s="4"/>
      <c r="H29" s="48"/>
      <c r="I29" s="4" t="s">
        <v>254</v>
      </c>
      <c r="J29" s="4"/>
      <c r="K29" s="4"/>
      <c r="L29" s="4"/>
      <c r="M29" t="s">
        <v>246</v>
      </c>
      <c r="N29" t="s">
        <v>118</v>
      </c>
      <c r="O29" s="4" t="s">
        <v>266</v>
      </c>
      <c r="P29" s="4" t="s">
        <v>368</v>
      </c>
      <c r="Q29" s="4" t="s">
        <v>113</v>
      </c>
      <c r="R29" s="4" t="s">
        <v>369</v>
      </c>
      <c r="S29" s="4" t="s">
        <v>372</v>
      </c>
      <c r="T29" s="4" t="s">
        <v>373</v>
      </c>
      <c r="U29" s="4" t="s">
        <v>375</v>
      </c>
      <c r="V29" s="4" t="s">
        <v>376</v>
      </c>
      <c r="W29" s="4" t="s">
        <v>139</v>
      </c>
      <c r="X29" s="4" t="s">
        <v>378</v>
      </c>
      <c r="Y29" s="4" t="s">
        <v>379</v>
      </c>
      <c r="Z29" s="4" t="s">
        <v>380</v>
      </c>
      <c r="AA29" s="4" t="s">
        <v>383</v>
      </c>
      <c r="AB29" s="4" t="s">
        <v>385</v>
      </c>
      <c r="AC29" s="4" t="s">
        <v>387</v>
      </c>
      <c r="AD29" s="4" t="s">
        <v>388</v>
      </c>
      <c r="AE29" s="4" t="s">
        <v>140</v>
      </c>
      <c r="AF29" s="4"/>
      <c r="AG29" s="77" t="s">
        <v>395</v>
      </c>
      <c r="AH29" s="4"/>
      <c r="AI29" s="11" t="s">
        <v>149</v>
      </c>
      <c r="AJ29" s="11">
        <v>130.34482758620601</v>
      </c>
      <c r="AK29" s="11">
        <v>15.012003491924901</v>
      </c>
      <c r="AL29" s="11" t="s">
        <v>152</v>
      </c>
      <c r="AM29" s="11">
        <v>179.078389830508</v>
      </c>
      <c r="AN29" s="11">
        <v>14.9745762711864</v>
      </c>
      <c r="AO29" s="11" t="s">
        <v>154</v>
      </c>
      <c r="AP29" s="11">
        <v>331.533157828757</v>
      </c>
      <c r="AQ29" s="11">
        <v>14.967845054531701</v>
      </c>
      <c r="AR29" s="11" t="s">
        <v>161</v>
      </c>
      <c r="AS29" s="11">
        <v>1.1760154738878099</v>
      </c>
      <c r="AT29" s="11">
        <v>385.12820512820502</v>
      </c>
      <c r="AU29" s="22" t="e">
        <f t="shared" si="4"/>
        <v>#VALUE!</v>
      </c>
      <c r="AV29" s="11"/>
      <c r="AW29" s="31"/>
      <c r="AX29" s="31"/>
      <c r="AY29" s="11"/>
      <c r="AZ29" s="11"/>
      <c r="BA29" s="11"/>
      <c r="BB29" s="49" t="s">
        <v>389</v>
      </c>
      <c r="BC29" s="11"/>
      <c r="BD29" s="11"/>
      <c r="BE29" s="11"/>
      <c r="BF29" s="11"/>
      <c r="BG29" s="11" t="s">
        <v>393</v>
      </c>
      <c r="BH29" s="11" t="s">
        <v>393</v>
      </c>
      <c r="BJ29" s="11"/>
      <c r="BK29" s="23" t="s">
        <v>68</v>
      </c>
      <c r="BL29" s="11" t="s">
        <v>391</v>
      </c>
    </row>
    <row r="30" spans="1:64" ht="147.6" customHeight="1" x14ac:dyDescent="0.3">
      <c r="A30" s="11"/>
      <c r="B30" s="11" t="s">
        <v>164</v>
      </c>
      <c r="C30" s="4" t="s">
        <v>187</v>
      </c>
      <c r="D30" s="4" t="s">
        <v>264</v>
      </c>
      <c r="E30" s="4" t="e" vm="3">
        <v>#VALUE!</v>
      </c>
      <c r="F30" s="55" t="s">
        <v>259</v>
      </c>
      <c r="G30" s="4">
        <v>166.28200000000001</v>
      </c>
      <c r="H30" s="48">
        <f>((J30)*1000)/G30</f>
        <v>541.24920316089526</v>
      </c>
      <c r="I30" s="4" t="s">
        <v>260</v>
      </c>
      <c r="J30" s="4">
        <v>90</v>
      </c>
      <c r="K30" s="4"/>
      <c r="L30" s="4"/>
      <c r="M30" s="4" t="s">
        <v>261</v>
      </c>
      <c r="N30" s="4"/>
      <c r="O30" s="4" t="s">
        <v>266</v>
      </c>
      <c r="P30" s="4"/>
      <c r="Q30" s="4" t="s">
        <v>407</v>
      </c>
      <c r="R30" s="4" t="s">
        <v>408</v>
      </c>
      <c r="S30" s="4"/>
      <c r="T30" s="4" t="s">
        <v>409</v>
      </c>
      <c r="U30" s="4" t="s">
        <v>410</v>
      </c>
      <c r="V30" s="4" t="s">
        <v>411</v>
      </c>
      <c r="W30" s="4" t="s">
        <v>412</v>
      </c>
      <c r="X30" s="4" t="s">
        <v>414</v>
      </c>
      <c r="Y30" s="4" t="s">
        <v>415</v>
      </c>
      <c r="Z30" s="4">
        <v>323</v>
      </c>
      <c r="AA30" s="4"/>
      <c r="AB30" s="4" t="s">
        <v>384</v>
      </c>
      <c r="AC30" s="4"/>
      <c r="AD30" s="4" t="s">
        <v>416</v>
      </c>
      <c r="AE30" s="4" t="s">
        <v>417</v>
      </c>
      <c r="AF30" s="4"/>
      <c r="AG30" s="4"/>
      <c r="AH30" s="4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22" t="e">
        <f t="shared" si="4"/>
        <v>#DIV/0!</v>
      </c>
      <c r="AV30" s="11" t="s">
        <v>166</v>
      </c>
      <c r="AW30" s="31">
        <v>148.88107849779101</v>
      </c>
      <c r="AX30" s="31">
        <v>8.67250042699696E-3</v>
      </c>
      <c r="AY30" s="11"/>
      <c r="AZ30" s="11"/>
      <c r="BA30" s="11"/>
      <c r="BB30" s="11">
        <v>25</v>
      </c>
      <c r="BC30" s="11"/>
      <c r="BD30" s="11"/>
      <c r="BE30" s="11"/>
      <c r="BF30" s="11"/>
      <c r="BG30" s="72" t="s">
        <v>419</v>
      </c>
      <c r="BH30" s="72" t="s">
        <v>420</v>
      </c>
      <c r="BI30" s="11">
        <v>3</v>
      </c>
      <c r="BJ30" s="72" t="s">
        <v>421</v>
      </c>
      <c r="BK30" s="23" t="s">
        <v>163</v>
      </c>
      <c r="BL30" s="11" t="s">
        <v>422</v>
      </c>
    </row>
    <row r="31" spans="1:64" ht="15.6" x14ac:dyDescent="0.3">
      <c r="A31" s="11"/>
      <c r="B31" s="11" t="s">
        <v>164</v>
      </c>
      <c r="C31" s="4" t="s">
        <v>187</v>
      </c>
      <c r="D31" s="4" t="s">
        <v>264</v>
      </c>
      <c r="E31" s="4"/>
      <c r="F31" s="55" t="s">
        <v>259</v>
      </c>
      <c r="G31" s="4">
        <v>166.28200000000001</v>
      </c>
      <c r="H31" s="48">
        <f t="shared" ref="H31:H94" si="5">((J31)*1000)/G31</f>
        <v>541.24920316089526</v>
      </c>
      <c r="I31" s="4" t="s">
        <v>267</v>
      </c>
      <c r="J31" s="4">
        <v>90</v>
      </c>
      <c r="K31" s="4"/>
      <c r="L31" s="4"/>
      <c r="M31" s="4" t="s">
        <v>261</v>
      </c>
      <c r="N31" s="4"/>
      <c r="O31" s="4" t="s">
        <v>266</v>
      </c>
      <c r="P31" s="4"/>
      <c r="Q31" s="4" t="s">
        <v>407</v>
      </c>
      <c r="R31" s="4" t="s">
        <v>408</v>
      </c>
      <c r="S31" s="4"/>
      <c r="T31" s="4" t="s">
        <v>409</v>
      </c>
      <c r="U31" s="4" t="s">
        <v>410</v>
      </c>
      <c r="V31" s="4" t="s">
        <v>411</v>
      </c>
      <c r="W31" s="4" t="s">
        <v>412</v>
      </c>
      <c r="X31" s="4" t="s">
        <v>414</v>
      </c>
      <c r="Y31" s="4" t="s">
        <v>415</v>
      </c>
      <c r="Z31" s="4">
        <v>323</v>
      </c>
      <c r="AA31" s="4"/>
      <c r="AB31" s="4" t="s">
        <v>384</v>
      </c>
      <c r="AC31" s="4"/>
      <c r="AD31" s="4" t="s">
        <v>416</v>
      </c>
      <c r="AE31" s="4" t="s">
        <v>417</v>
      </c>
      <c r="AF31" s="4"/>
      <c r="AG31" s="4"/>
      <c r="AH31" s="4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22" t="e">
        <f t="shared" si="4"/>
        <v>#DIV/0!</v>
      </c>
      <c r="AV31" s="11" t="s">
        <v>166</v>
      </c>
      <c r="AW31" s="31">
        <v>146.08615329640199</v>
      </c>
      <c r="AX31" s="31">
        <v>1.16683731510548E-2</v>
      </c>
      <c r="AY31" s="11"/>
      <c r="AZ31" s="11"/>
      <c r="BA31" s="11"/>
      <c r="BB31" s="11">
        <v>25</v>
      </c>
      <c r="BC31" s="11"/>
      <c r="BD31" s="11"/>
      <c r="BE31" s="11"/>
      <c r="BF31" s="11"/>
      <c r="BG31" s="11"/>
      <c r="BH31" s="11"/>
      <c r="BJ31" s="11"/>
      <c r="BK31" s="23" t="s">
        <v>163</v>
      </c>
      <c r="BL31" s="11" t="s">
        <v>422</v>
      </c>
    </row>
    <row r="32" spans="1:64" ht="15.6" x14ac:dyDescent="0.3">
      <c r="A32" s="11"/>
      <c r="B32" s="11" t="s">
        <v>164</v>
      </c>
      <c r="C32" s="4" t="s">
        <v>187</v>
      </c>
      <c r="D32" s="4" t="s">
        <v>264</v>
      </c>
      <c r="E32" s="4"/>
      <c r="F32" s="55" t="s">
        <v>259</v>
      </c>
      <c r="G32" s="4">
        <v>166.28200000000001</v>
      </c>
      <c r="H32" s="48">
        <f t="shared" si="5"/>
        <v>541.24920316089526</v>
      </c>
      <c r="I32" s="4" t="s">
        <v>267</v>
      </c>
      <c r="J32" s="4">
        <v>90</v>
      </c>
      <c r="K32" s="4"/>
      <c r="L32" s="4"/>
      <c r="M32" s="4" t="s">
        <v>261</v>
      </c>
      <c r="N32" s="4"/>
      <c r="O32" s="4" t="s">
        <v>266</v>
      </c>
      <c r="P32" s="4"/>
      <c r="Q32" s="4" t="s">
        <v>407</v>
      </c>
      <c r="R32" s="4" t="s">
        <v>408</v>
      </c>
      <c r="S32" s="4"/>
      <c r="T32" s="4" t="s">
        <v>409</v>
      </c>
      <c r="U32" s="4" t="s">
        <v>410</v>
      </c>
      <c r="V32" s="4" t="s">
        <v>411</v>
      </c>
      <c r="W32" s="4" t="s">
        <v>412</v>
      </c>
      <c r="X32" s="4" t="s">
        <v>414</v>
      </c>
      <c r="Y32" s="4" t="s">
        <v>415</v>
      </c>
      <c r="Z32" s="4">
        <v>323</v>
      </c>
      <c r="AA32" s="4"/>
      <c r="AB32" s="4" t="s">
        <v>384</v>
      </c>
      <c r="AC32" s="4"/>
      <c r="AD32" s="4" t="s">
        <v>416</v>
      </c>
      <c r="AE32" s="4" t="s">
        <v>417</v>
      </c>
      <c r="AF32" s="4"/>
      <c r="AG32" s="4"/>
      <c r="AH32" s="4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22" t="e">
        <f t="shared" si="4"/>
        <v>#DIV/0!</v>
      </c>
      <c r="AV32" s="11" t="s">
        <v>166</v>
      </c>
      <c r="AW32" s="31">
        <v>141.99183590016</v>
      </c>
      <c r="AX32" s="31">
        <v>1.5886598793495701E-2</v>
      </c>
      <c r="AY32" s="11"/>
      <c r="AZ32" s="11"/>
      <c r="BA32" s="11"/>
      <c r="BB32" s="11">
        <v>25</v>
      </c>
      <c r="BC32" s="11"/>
      <c r="BD32" s="11"/>
      <c r="BE32" s="11"/>
      <c r="BF32" s="11"/>
      <c r="BG32" s="11"/>
      <c r="BH32" s="11"/>
      <c r="BJ32" s="11"/>
      <c r="BK32" s="23" t="s">
        <v>163</v>
      </c>
      <c r="BL32" s="11" t="s">
        <v>422</v>
      </c>
    </row>
    <row r="33" spans="1:64" ht="15.6" x14ac:dyDescent="0.3">
      <c r="A33" s="11"/>
      <c r="B33" s="11" t="s">
        <v>164</v>
      </c>
      <c r="C33" s="4" t="s">
        <v>187</v>
      </c>
      <c r="D33" s="4" t="s">
        <v>264</v>
      </c>
      <c r="E33" s="4"/>
      <c r="F33" s="55" t="s">
        <v>259</v>
      </c>
      <c r="G33" s="4">
        <v>166.28200000000001</v>
      </c>
      <c r="H33" s="48">
        <f t="shared" si="5"/>
        <v>541.24920316089526</v>
      </c>
      <c r="I33" s="4" t="s">
        <v>267</v>
      </c>
      <c r="J33" s="4">
        <v>90</v>
      </c>
      <c r="K33" s="4"/>
      <c r="L33" s="4"/>
      <c r="M33" s="4" t="s">
        <v>261</v>
      </c>
      <c r="N33" s="4"/>
      <c r="O33" s="4" t="s">
        <v>266</v>
      </c>
      <c r="P33" s="4"/>
      <c r="Q33" s="4" t="s">
        <v>407</v>
      </c>
      <c r="R33" s="4" t="s">
        <v>408</v>
      </c>
      <c r="S33" s="4"/>
      <c r="T33" s="4" t="s">
        <v>409</v>
      </c>
      <c r="U33" s="4" t="s">
        <v>410</v>
      </c>
      <c r="V33" s="4" t="s">
        <v>411</v>
      </c>
      <c r="W33" s="4" t="s">
        <v>412</v>
      </c>
      <c r="X33" s="4" t="s">
        <v>414</v>
      </c>
      <c r="Y33" s="4" t="s">
        <v>415</v>
      </c>
      <c r="Z33" s="4">
        <v>323</v>
      </c>
      <c r="AA33" s="4"/>
      <c r="AB33" s="4" t="s">
        <v>384</v>
      </c>
      <c r="AC33" s="4"/>
      <c r="AD33" s="4" t="s">
        <v>416</v>
      </c>
      <c r="AE33" s="4" t="s">
        <v>417</v>
      </c>
      <c r="AF33" s="4"/>
      <c r="AG33" s="4"/>
      <c r="AH33" s="4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22" t="e">
        <f t="shared" si="4"/>
        <v>#DIV/0!</v>
      </c>
      <c r="AV33" s="11" t="s">
        <v>166</v>
      </c>
      <c r="AW33" s="31">
        <v>138.01226883831299</v>
      </c>
      <c r="AX33" s="31">
        <v>2.1629752319215299E-2</v>
      </c>
      <c r="AY33" s="11"/>
      <c r="AZ33" s="11"/>
      <c r="BA33" s="11"/>
      <c r="BB33" s="11">
        <v>25</v>
      </c>
      <c r="BC33" s="11"/>
      <c r="BD33" s="11"/>
      <c r="BE33" s="11"/>
      <c r="BF33" s="11"/>
      <c r="BG33" s="11"/>
      <c r="BH33" s="11"/>
      <c r="BJ33" s="11"/>
      <c r="BK33" s="23" t="s">
        <v>163</v>
      </c>
      <c r="BL33" s="11" t="s">
        <v>422</v>
      </c>
    </row>
    <row r="34" spans="1:64" ht="15.6" x14ac:dyDescent="0.3">
      <c r="A34" s="11"/>
      <c r="B34" s="11" t="s">
        <v>164</v>
      </c>
      <c r="C34" s="4" t="s">
        <v>187</v>
      </c>
      <c r="D34" s="4" t="s">
        <v>264</v>
      </c>
      <c r="E34" s="4"/>
      <c r="F34" s="55" t="s">
        <v>259</v>
      </c>
      <c r="G34" s="4">
        <v>166.28200000000001</v>
      </c>
      <c r="H34" s="48">
        <f t="shared" si="5"/>
        <v>541.24920316089526</v>
      </c>
      <c r="I34" s="4" t="s">
        <v>267</v>
      </c>
      <c r="J34" s="4">
        <v>90</v>
      </c>
      <c r="K34" s="4"/>
      <c r="L34" s="4"/>
      <c r="M34" s="4" t="s">
        <v>261</v>
      </c>
      <c r="N34" s="4"/>
      <c r="O34" s="4" t="s">
        <v>266</v>
      </c>
      <c r="P34" s="4"/>
      <c r="Q34" s="4" t="s">
        <v>407</v>
      </c>
      <c r="R34" s="4" t="s">
        <v>408</v>
      </c>
      <c r="S34" s="4"/>
      <c r="T34" s="4" t="s">
        <v>409</v>
      </c>
      <c r="U34" s="4" t="s">
        <v>410</v>
      </c>
      <c r="V34" s="4" t="s">
        <v>411</v>
      </c>
      <c r="W34" s="4" t="s">
        <v>412</v>
      </c>
      <c r="X34" s="4" t="s">
        <v>414</v>
      </c>
      <c r="Y34" s="4" t="s">
        <v>415</v>
      </c>
      <c r="Z34" s="4">
        <v>323</v>
      </c>
      <c r="AA34" s="4"/>
      <c r="AB34" s="4" t="s">
        <v>384</v>
      </c>
      <c r="AC34" s="4"/>
      <c r="AD34" s="4" t="s">
        <v>416</v>
      </c>
      <c r="AE34" s="4" t="s">
        <v>417</v>
      </c>
      <c r="AF34" s="4"/>
      <c r="AG34" s="4"/>
      <c r="AH34" s="4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22" t="e">
        <f t="shared" si="4"/>
        <v>#DIV/0!</v>
      </c>
      <c r="AV34" s="11" t="s">
        <v>166</v>
      </c>
      <c r="AW34" s="31">
        <v>135.42138239277401</v>
      </c>
      <c r="AX34" s="31">
        <v>2.94491093702288E-2</v>
      </c>
      <c r="AY34" s="11"/>
      <c r="AZ34" s="11"/>
      <c r="BA34" s="11"/>
      <c r="BB34" s="11">
        <v>25</v>
      </c>
      <c r="BC34" s="11"/>
      <c r="BD34" s="11"/>
      <c r="BE34" s="11"/>
      <c r="BF34" s="11"/>
      <c r="BG34" s="11"/>
      <c r="BH34" s="11"/>
      <c r="BJ34" s="11"/>
      <c r="BK34" s="23" t="s">
        <v>163</v>
      </c>
      <c r="BL34" s="11" t="s">
        <v>422</v>
      </c>
    </row>
    <row r="35" spans="1:64" ht="15.6" x14ac:dyDescent="0.3">
      <c r="A35" s="11"/>
      <c r="B35" s="11" t="s">
        <v>164</v>
      </c>
      <c r="C35" s="4" t="s">
        <v>187</v>
      </c>
      <c r="D35" s="4" t="s">
        <v>264</v>
      </c>
      <c r="E35" s="4"/>
      <c r="F35" s="55" t="s">
        <v>259</v>
      </c>
      <c r="G35" s="4">
        <v>166.28200000000001</v>
      </c>
      <c r="H35" s="48">
        <f t="shared" si="5"/>
        <v>541.24920316089526</v>
      </c>
      <c r="I35" s="4" t="s">
        <v>267</v>
      </c>
      <c r="J35" s="4">
        <v>90</v>
      </c>
      <c r="K35" s="4"/>
      <c r="L35" s="4"/>
      <c r="M35" s="4" t="s">
        <v>261</v>
      </c>
      <c r="N35" s="4"/>
      <c r="O35" s="4" t="s">
        <v>266</v>
      </c>
      <c r="P35" s="4"/>
      <c r="Q35" s="4" t="s">
        <v>407</v>
      </c>
      <c r="R35" s="4" t="s">
        <v>408</v>
      </c>
      <c r="S35" s="4"/>
      <c r="T35" s="4" t="s">
        <v>409</v>
      </c>
      <c r="U35" s="4" t="s">
        <v>410</v>
      </c>
      <c r="V35" s="4" t="s">
        <v>411</v>
      </c>
      <c r="W35" s="4" t="s">
        <v>412</v>
      </c>
      <c r="X35" s="4" t="s">
        <v>414</v>
      </c>
      <c r="Y35" s="4" t="s">
        <v>415</v>
      </c>
      <c r="Z35" s="4">
        <v>323</v>
      </c>
      <c r="AA35" s="4"/>
      <c r="AB35" s="4" t="s">
        <v>384</v>
      </c>
      <c r="AC35" s="4"/>
      <c r="AD35" s="4" t="s">
        <v>416</v>
      </c>
      <c r="AE35" s="4" t="s">
        <v>417</v>
      </c>
      <c r="AF35" s="4"/>
      <c r="AG35" s="4"/>
      <c r="AH35" s="4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22" t="e">
        <f t="shared" si="4"/>
        <v>#DIV/0!</v>
      </c>
      <c r="AV35" s="11" t="s">
        <v>166</v>
      </c>
      <c r="AW35" s="31">
        <v>132.879134322868</v>
      </c>
      <c r="AX35" s="31">
        <v>3.96221597209011E-2</v>
      </c>
      <c r="AY35" s="11"/>
      <c r="AZ35" s="11"/>
      <c r="BA35" s="11"/>
      <c r="BB35" s="11">
        <v>25</v>
      </c>
      <c r="BC35" s="11"/>
      <c r="BD35" s="11"/>
      <c r="BE35" s="11"/>
      <c r="BF35" s="11"/>
      <c r="BG35" s="11"/>
      <c r="BH35" s="11"/>
      <c r="BJ35" s="11"/>
      <c r="BK35" s="23" t="s">
        <v>163</v>
      </c>
      <c r="BL35" s="11" t="s">
        <v>422</v>
      </c>
    </row>
    <row r="36" spans="1:64" ht="15.6" x14ac:dyDescent="0.3">
      <c r="A36" s="11"/>
      <c r="B36" s="11" t="s">
        <v>164</v>
      </c>
      <c r="C36" s="4" t="s">
        <v>187</v>
      </c>
      <c r="D36" s="4" t="s">
        <v>264</v>
      </c>
      <c r="E36" s="4"/>
      <c r="F36" s="55" t="s">
        <v>259</v>
      </c>
      <c r="G36" s="4">
        <v>166.28200000000001</v>
      </c>
      <c r="H36" s="48">
        <f t="shared" si="5"/>
        <v>541.24920316089526</v>
      </c>
      <c r="I36" s="4" t="s">
        <v>267</v>
      </c>
      <c r="J36" s="4">
        <v>90</v>
      </c>
      <c r="K36" s="4"/>
      <c r="L36" s="4"/>
      <c r="M36" s="4" t="s">
        <v>261</v>
      </c>
      <c r="N36" s="4"/>
      <c r="O36" s="4" t="s">
        <v>266</v>
      </c>
      <c r="P36" s="4"/>
      <c r="Q36" s="4" t="s">
        <v>407</v>
      </c>
      <c r="R36" s="4" t="s">
        <v>408</v>
      </c>
      <c r="S36" s="4"/>
      <c r="T36" s="4" t="s">
        <v>409</v>
      </c>
      <c r="U36" s="4" t="s">
        <v>410</v>
      </c>
      <c r="V36" s="4" t="s">
        <v>411</v>
      </c>
      <c r="W36" s="4" t="s">
        <v>412</v>
      </c>
      <c r="X36" s="4" t="s">
        <v>414</v>
      </c>
      <c r="Y36" s="4" t="s">
        <v>415</v>
      </c>
      <c r="Z36" s="4">
        <v>323</v>
      </c>
      <c r="AA36" s="4"/>
      <c r="AB36" s="4" t="s">
        <v>384</v>
      </c>
      <c r="AC36" s="4"/>
      <c r="AD36" s="4" t="s">
        <v>416</v>
      </c>
      <c r="AE36" s="4" t="s">
        <v>417</v>
      </c>
      <c r="AF36" s="4"/>
      <c r="AG36" s="4"/>
      <c r="AH36" s="4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22" t="e">
        <f t="shared" si="4"/>
        <v>#DIV/0!</v>
      </c>
      <c r="AV36" s="11" t="s">
        <v>166</v>
      </c>
      <c r="AW36" s="31">
        <v>127.936918123422</v>
      </c>
      <c r="AX36" s="31">
        <v>5.2058882989849203E-2</v>
      </c>
      <c r="AY36" s="11"/>
      <c r="AZ36" s="11"/>
      <c r="BA36" s="11"/>
      <c r="BB36" s="11">
        <v>25</v>
      </c>
      <c r="BC36" s="11"/>
      <c r="BD36" s="11"/>
      <c r="BE36" s="11"/>
      <c r="BF36" s="11"/>
      <c r="BG36" s="11"/>
      <c r="BH36" s="11"/>
      <c r="BJ36" s="11"/>
      <c r="BK36" s="23" t="s">
        <v>163</v>
      </c>
      <c r="BL36" s="11" t="s">
        <v>422</v>
      </c>
    </row>
    <row r="37" spans="1:64" ht="15.6" x14ac:dyDescent="0.3">
      <c r="A37" s="11"/>
      <c r="B37" s="11" t="s">
        <v>164</v>
      </c>
      <c r="C37" s="4" t="s">
        <v>187</v>
      </c>
      <c r="D37" s="4" t="s">
        <v>264</v>
      </c>
      <c r="E37" s="4"/>
      <c r="F37" s="55" t="s">
        <v>259</v>
      </c>
      <c r="G37" s="4">
        <v>166.28200000000001</v>
      </c>
      <c r="H37" s="48">
        <f t="shared" si="5"/>
        <v>541.24920316089526</v>
      </c>
      <c r="I37" s="4" t="s">
        <v>267</v>
      </c>
      <c r="J37" s="4">
        <v>90</v>
      </c>
      <c r="K37" s="4"/>
      <c r="L37" s="4"/>
      <c r="M37" s="4" t="s">
        <v>261</v>
      </c>
      <c r="N37" s="4"/>
      <c r="O37" s="4" t="s">
        <v>266</v>
      </c>
      <c r="P37" s="4"/>
      <c r="Q37" s="4" t="s">
        <v>407</v>
      </c>
      <c r="R37" s="4" t="s">
        <v>408</v>
      </c>
      <c r="S37" s="4"/>
      <c r="T37" s="4" t="s">
        <v>409</v>
      </c>
      <c r="U37" s="4" t="s">
        <v>410</v>
      </c>
      <c r="V37" s="4" t="s">
        <v>411</v>
      </c>
      <c r="W37" s="4" t="s">
        <v>412</v>
      </c>
      <c r="X37" s="4" t="s">
        <v>414</v>
      </c>
      <c r="Y37" s="4" t="s">
        <v>415</v>
      </c>
      <c r="Z37" s="4">
        <v>323</v>
      </c>
      <c r="AA37" s="4"/>
      <c r="AB37" s="4" t="s">
        <v>384</v>
      </c>
      <c r="AC37" s="4"/>
      <c r="AD37" s="4" t="s">
        <v>416</v>
      </c>
      <c r="AE37" s="4" t="s">
        <v>417</v>
      </c>
      <c r="AF37" s="4"/>
      <c r="AG37" s="4"/>
      <c r="AH37" s="4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22" t="e">
        <f t="shared" si="4"/>
        <v>#DIV/0!</v>
      </c>
      <c r="AV37" s="11" t="s">
        <v>166</v>
      </c>
      <c r="AW37" s="31">
        <v>123.178519353902</v>
      </c>
      <c r="AX37" s="31">
        <v>7.1724925049475502E-2</v>
      </c>
      <c r="AY37" s="11"/>
      <c r="AZ37" s="11"/>
      <c r="BA37" s="11"/>
      <c r="BB37" s="11">
        <v>25</v>
      </c>
      <c r="BC37" s="11"/>
      <c r="BD37" s="11"/>
      <c r="BE37" s="11"/>
      <c r="BF37" s="11"/>
      <c r="BG37" s="11"/>
      <c r="BH37" s="11"/>
      <c r="BJ37" s="11"/>
      <c r="BK37" s="23" t="s">
        <v>163</v>
      </c>
      <c r="BL37" s="11" t="s">
        <v>422</v>
      </c>
    </row>
    <row r="38" spans="1:64" ht="15.6" x14ac:dyDescent="0.3">
      <c r="A38" s="11"/>
      <c r="B38" s="11" t="s">
        <v>164</v>
      </c>
      <c r="C38" s="4" t="s">
        <v>187</v>
      </c>
      <c r="D38" s="4" t="s">
        <v>264</v>
      </c>
      <c r="E38" s="4"/>
      <c r="F38" s="55" t="s">
        <v>259</v>
      </c>
      <c r="G38" s="4">
        <v>166.28200000000001</v>
      </c>
      <c r="H38" s="48">
        <f t="shared" si="5"/>
        <v>541.24920316089526</v>
      </c>
      <c r="I38" s="4" t="s">
        <v>267</v>
      </c>
      <c r="J38" s="4">
        <v>90</v>
      </c>
      <c r="K38" s="4"/>
      <c r="L38" s="4"/>
      <c r="M38" s="4" t="s">
        <v>261</v>
      </c>
      <c r="N38" s="4"/>
      <c r="O38" s="4" t="s">
        <v>266</v>
      </c>
      <c r="P38" s="4"/>
      <c r="Q38" s="4" t="s">
        <v>407</v>
      </c>
      <c r="R38" s="4" t="s">
        <v>408</v>
      </c>
      <c r="S38" s="4"/>
      <c r="T38" s="4" t="s">
        <v>409</v>
      </c>
      <c r="U38" s="4" t="s">
        <v>410</v>
      </c>
      <c r="V38" s="4" t="s">
        <v>411</v>
      </c>
      <c r="W38" s="4" t="s">
        <v>412</v>
      </c>
      <c r="X38" s="4" t="s">
        <v>414</v>
      </c>
      <c r="Y38" s="4" t="s">
        <v>415</v>
      </c>
      <c r="Z38" s="4">
        <v>323</v>
      </c>
      <c r="AA38" s="4"/>
      <c r="AB38" s="4" t="s">
        <v>384</v>
      </c>
      <c r="AC38" s="4"/>
      <c r="AD38" s="4" t="s">
        <v>416</v>
      </c>
      <c r="AE38" s="4" t="s">
        <v>417</v>
      </c>
      <c r="AF38" s="4"/>
      <c r="AG38" s="4"/>
      <c r="AH38" s="4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22" t="e">
        <f t="shared" si="4"/>
        <v>#DIV/0!</v>
      </c>
      <c r="AV38" s="11" t="s">
        <v>166</v>
      </c>
      <c r="AW38" s="31">
        <v>119.72622806376999</v>
      </c>
      <c r="AX38" s="31">
        <v>9.4238161344765606E-2</v>
      </c>
      <c r="AY38" s="11"/>
      <c r="AZ38" s="11"/>
      <c r="BA38" s="11"/>
      <c r="BB38" s="11">
        <v>25</v>
      </c>
      <c r="BC38" s="11"/>
      <c r="BD38" s="11"/>
      <c r="BE38" s="11"/>
      <c r="BF38" s="11"/>
      <c r="BG38" s="11"/>
      <c r="BH38" s="11"/>
      <c r="BJ38" s="11"/>
      <c r="BK38" s="23" t="s">
        <v>163</v>
      </c>
      <c r="BL38" s="11" t="s">
        <v>422</v>
      </c>
    </row>
    <row r="39" spans="1:64" ht="15.6" x14ac:dyDescent="0.3">
      <c r="A39" s="11"/>
      <c r="B39" s="11" t="s">
        <v>164</v>
      </c>
      <c r="C39" s="4" t="s">
        <v>187</v>
      </c>
      <c r="D39" s="4" t="s">
        <v>264</v>
      </c>
      <c r="E39" s="4"/>
      <c r="F39" s="55" t="s">
        <v>259</v>
      </c>
      <c r="G39" s="4">
        <v>166.28200000000001</v>
      </c>
      <c r="H39" s="48">
        <f t="shared" si="5"/>
        <v>541.24920316089526</v>
      </c>
      <c r="I39" s="4" t="s">
        <v>267</v>
      </c>
      <c r="J39" s="4">
        <v>90</v>
      </c>
      <c r="K39" s="4"/>
      <c r="L39" s="4"/>
      <c r="M39" s="4" t="s">
        <v>261</v>
      </c>
      <c r="N39" s="4"/>
      <c r="O39" s="4" t="s">
        <v>266</v>
      </c>
      <c r="P39" s="4"/>
      <c r="Q39" s="4" t="s">
        <v>407</v>
      </c>
      <c r="R39" s="4" t="s">
        <v>408</v>
      </c>
      <c r="S39" s="4"/>
      <c r="T39" s="4" t="s">
        <v>409</v>
      </c>
      <c r="U39" s="4" t="s">
        <v>410</v>
      </c>
      <c r="V39" s="4" t="s">
        <v>411</v>
      </c>
      <c r="W39" s="4" t="s">
        <v>412</v>
      </c>
      <c r="X39" s="4" t="s">
        <v>414</v>
      </c>
      <c r="Y39" s="4" t="s">
        <v>415</v>
      </c>
      <c r="Z39" s="4">
        <v>323</v>
      </c>
      <c r="AA39" s="4"/>
      <c r="AB39" s="4" t="s">
        <v>384</v>
      </c>
      <c r="AC39" s="4"/>
      <c r="AD39" s="4" t="s">
        <v>416</v>
      </c>
      <c r="AE39" s="4" t="s">
        <v>417</v>
      </c>
      <c r="AF39" s="4"/>
      <c r="AG39" s="4"/>
      <c r="AH39" s="4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22" t="e">
        <f t="shared" si="4"/>
        <v>#DIV/0!</v>
      </c>
      <c r="AV39" s="11" t="s">
        <v>166</v>
      </c>
      <c r="AW39" s="31">
        <v>114.186081265043</v>
      </c>
      <c r="AX39" s="31">
        <v>0.13138830229485801</v>
      </c>
      <c r="AY39" s="11"/>
      <c r="AZ39" s="11"/>
      <c r="BA39" s="11"/>
      <c r="BB39" s="11">
        <v>25</v>
      </c>
      <c r="BC39" s="11"/>
      <c r="BD39" s="11"/>
      <c r="BE39" s="11"/>
      <c r="BF39" s="11"/>
      <c r="BG39" s="11"/>
      <c r="BH39" s="11"/>
      <c r="BJ39" s="11"/>
      <c r="BK39" s="23" t="s">
        <v>163</v>
      </c>
      <c r="BL39" s="11" t="s">
        <v>422</v>
      </c>
    </row>
    <row r="40" spans="1:64" ht="15.6" x14ac:dyDescent="0.3">
      <c r="A40" s="11"/>
      <c r="B40" s="11" t="s">
        <v>164</v>
      </c>
      <c r="C40" s="4" t="s">
        <v>187</v>
      </c>
      <c r="D40" s="4" t="s">
        <v>264</v>
      </c>
      <c r="E40" s="4"/>
      <c r="F40" s="55" t="s">
        <v>259</v>
      </c>
      <c r="G40" s="4">
        <v>166.28200000000001</v>
      </c>
      <c r="H40" s="48">
        <f t="shared" si="5"/>
        <v>541.24920316089526</v>
      </c>
      <c r="I40" s="4" t="s">
        <v>267</v>
      </c>
      <c r="J40" s="4">
        <v>90</v>
      </c>
      <c r="K40" s="4"/>
      <c r="L40" s="4"/>
      <c r="M40" s="4" t="s">
        <v>261</v>
      </c>
      <c r="N40" s="4"/>
      <c r="O40" s="4" t="s">
        <v>266</v>
      </c>
      <c r="P40" s="4"/>
      <c r="Q40" s="4" t="s">
        <v>407</v>
      </c>
      <c r="R40" s="4" t="s">
        <v>408</v>
      </c>
      <c r="S40" s="4"/>
      <c r="T40" s="4" t="s">
        <v>409</v>
      </c>
      <c r="U40" s="4" t="s">
        <v>410</v>
      </c>
      <c r="V40" s="4" t="s">
        <v>411</v>
      </c>
      <c r="W40" s="4" t="s">
        <v>412</v>
      </c>
      <c r="X40" s="4" t="s">
        <v>414</v>
      </c>
      <c r="Y40" s="4" t="s">
        <v>415</v>
      </c>
      <c r="Z40" s="4">
        <v>323</v>
      </c>
      <c r="AA40" s="4"/>
      <c r="AB40" s="4" t="s">
        <v>384</v>
      </c>
      <c r="AC40" s="4"/>
      <c r="AD40" s="4" t="s">
        <v>416</v>
      </c>
      <c r="AE40" s="4" t="s">
        <v>417</v>
      </c>
      <c r="AF40" s="4"/>
      <c r="AG40" s="4"/>
      <c r="AH40" s="4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22" t="e">
        <f t="shared" si="4"/>
        <v>#DIV/0!</v>
      </c>
      <c r="AV40" s="11" t="s">
        <v>166</v>
      </c>
      <c r="AW40" s="31">
        <v>109.93912177471201</v>
      </c>
      <c r="AX40" s="31">
        <v>0.18537076282360601</v>
      </c>
      <c r="AY40" s="11"/>
      <c r="AZ40" s="11"/>
      <c r="BA40" s="11"/>
      <c r="BB40" s="11">
        <v>25</v>
      </c>
      <c r="BC40" s="11"/>
      <c r="BD40" s="11"/>
      <c r="BE40" s="11"/>
      <c r="BF40" s="11"/>
      <c r="BG40" s="11"/>
      <c r="BH40" s="11"/>
      <c r="BJ40" s="11"/>
      <c r="BK40" s="23" t="s">
        <v>163</v>
      </c>
      <c r="BL40" s="11" t="s">
        <v>422</v>
      </c>
    </row>
    <row r="41" spans="1:64" ht="15.6" x14ac:dyDescent="0.3">
      <c r="A41" s="11"/>
      <c r="B41" s="11" t="s">
        <v>164</v>
      </c>
      <c r="C41" s="4" t="s">
        <v>187</v>
      </c>
      <c r="D41" s="4" t="s">
        <v>264</v>
      </c>
      <c r="E41" s="4"/>
      <c r="F41" s="55" t="s">
        <v>259</v>
      </c>
      <c r="G41" s="4">
        <v>166.28200000000001</v>
      </c>
      <c r="H41" s="48">
        <f t="shared" si="5"/>
        <v>541.24920316089526</v>
      </c>
      <c r="I41" s="4" t="s">
        <v>267</v>
      </c>
      <c r="J41" s="4">
        <v>90</v>
      </c>
      <c r="K41" s="4"/>
      <c r="L41" s="4"/>
      <c r="M41" s="4" t="s">
        <v>261</v>
      </c>
      <c r="N41" s="4"/>
      <c r="O41" s="4" t="s">
        <v>266</v>
      </c>
      <c r="P41" s="4"/>
      <c r="Q41" s="4" t="s">
        <v>407</v>
      </c>
      <c r="R41" s="4" t="s">
        <v>408</v>
      </c>
      <c r="S41" s="4"/>
      <c r="T41" s="4" t="s">
        <v>409</v>
      </c>
      <c r="U41" s="4" t="s">
        <v>410</v>
      </c>
      <c r="V41" s="4" t="s">
        <v>411</v>
      </c>
      <c r="W41" s="4" t="s">
        <v>412</v>
      </c>
      <c r="X41" s="4" t="s">
        <v>414</v>
      </c>
      <c r="Y41" s="4" t="s">
        <v>415</v>
      </c>
      <c r="Z41" s="4">
        <v>323</v>
      </c>
      <c r="AA41" s="4"/>
      <c r="AB41" s="4" t="s">
        <v>384</v>
      </c>
      <c r="AC41" s="4"/>
      <c r="AD41" s="4" t="s">
        <v>416</v>
      </c>
      <c r="AE41" s="4" t="s">
        <v>417</v>
      </c>
      <c r="AF41" s="4"/>
      <c r="AG41" s="4"/>
      <c r="AH41" s="4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22" t="e">
        <f t="shared" si="4"/>
        <v>#DIV/0!</v>
      </c>
      <c r="AV41" s="11" t="s">
        <v>166</v>
      </c>
      <c r="AW41" s="31">
        <v>104.851858245198</v>
      </c>
      <c r="AX41" s="31">
        <v>0.264655188331616</v>
      </c>
      <c r="AY41" s="11"/>
      <c r="AZ41" s="11"/>
      <c r="BA41" s="11"/>
      <c r="BB41" s="11">
        <v>25</v>
      </c>
      <c r="BC41" s="11"/>
      <c r="BD41" s="11"/>
      <c r="BE41" s="11"/>
      <c r="BF41" s="11"/>
      <c r="BG41" s="11"/>
      <c r="BH41" s="11"/>
      <c r="BJ41" s="11"/>
      <c r="BK41" s="23" t="s">
        <v>163</v>
      </c>
      <c r="BL41" s="11" t="s">
        <v>422</v>
      </c>
    </row>
    <row r="42" spans="1:64" ht="15.6" x14ac:dyDescent="0.3">
      <c r="B42" s="11" t="s">
        <v>164</v>
      </c>
      <c r="C42" s="4" t="s">
        <v>187</v>
      </c>
      <c r="D42" s="4" t="s">
        <v>264</v>
      </c>
      <c r="E42" s="4"/>
      <c r="F42" s="55" t="s">
        <v>259</v>
      </c>
      <c r="G42" s="4">
        <v>166.28200000000001</v>
      </c>
      <c r="H42" s="48">
        <f t="shared" si="5"/>
        <v>541.24920316089526</v>
      </c>
      <c r="I42" s="4" t="s">
        <v>267</v>
      </c>
      <c r="J42" s="4">
        <v>90</v>
      </c>
      <c r="K42" s="4"/>
      <c r="L42" s="4"/>
      <c r="M42" s="4" t="s">
        <v>261</v>
      </c>
      <c r="N42" s="4"/>
      <c r="O42" s="4" t="s">
        <v>266</v>
      </c>
      <c r="P42" s="4"/>
      <c r="Q42" s="4" t="s">
        <v>407</v>
      </c>
      <c r="R42" s="4" t="s">
        <v>408</v>
      </c>
      <c r="S42" s="4"/>
      <c r="T42" s="4" t="s">
        <v>409</v>
      </c>
      <c r="U42" s="4" t="s">
        <v>410</v>
      </c>
      <c r="V42" s="4" t="s">
        <v>411</v>
      </c>
      <c r="W42" s="4" t="s">
        <v>412</v>
      </c>
      <c r="X42" s="4" t="s">
        <v>414</v>
      </c>
      <c r="Y42" s="4" t="s">
        <v>415</v>
      </c>
      <c r="Z42" s="4">
        <v>323</v>
      </c>
      <c r="AA42" s="4"/>
      <c r="AB42" s="4" t="s">
        <v>384</v>
      </c>
      <c r="AC42" s="4"/>
      <c r="AD42" s="4" t="s">
        <v>416</v>
      </c>
      <c r="AE42" s="4" t="s">
        <v>417</v>
      </c>
      <c r="AF42" s="4"/>
      <c r="AG42" s="4"/>
      <c r="AH42" s="4"/>
      <c r="AU42" s="22" t="e">
        <f t="shared" si="4"/>
        <v>#DIV/0!</v>
      </c>
      <c r="AV42" s="11" t="s">
        <v>166</v>
      </c>
      <c r="AW42" s="31">
        <v>98.122712953459299</v>
      </c>
      <c r="AX42" s="31">
        <v>0.40573962425688698</v>
      </c>
      <c r="AY42" s="11"/>
      <c r="AZ42" s="11"/>
      <c r="BA42" s="11"/>
      <c r="BB42" s="11">
        <v>25</v>
      </c>
      <c r="BK42" s="23" t="s">
        <v>163</v>
      </c>
      <c r="BL42" s="11" t="s">
        <v>422</v>
      </c>
    </row>
    <row r="43" spans="1:64" ht="15.6" x14ac:dyDescent="0.3">
      <c r="B43" s="11" t="s">
        <v>164</v>
      </c>
      <c r="C43" s="4" t="s">
        <v>187</v>
      </c>
      <c r="D43" s="4" t="s">
        <v>264</v>
      </c>
      <c r="E43" s="4"/>
      <c r="F43" s="55" t="s">
        <v>259</v>
      </c>
      <c r="G43" s="4">
        <v>166.28200000000001</v>
      </c>
      <c r="H43" s="48">
        <f t="shared" si="5"/>
        <v>541.24920316089526</v>
      </c>
      <c r="I43" s="4" t="s">
        <v>267</v>
      </c>
      <c r="J43" s="4">
        <v>90</v>
      </c>
      <c r="K43" s="4"/>
      <c r="L43" s="4"/>
      <c r="M43" s="4" t="s">
        <v>261</v>
      </c>
      <c r="N43" s="4"/>
      <c r="O43" s="4" t="s">
        <v>266</v>
      </c>
      <c r="P43" s="4"/>
      <c r="Q43" s="4" t="s">
        <v>407</v>
      </c>
      <c r="R43" s="4" t="s">
        <v>408</v>
      </c>
      <c r="S43" s="4"/>
      <c r="T43" s="4" t="s">
        <v>409</v>
      </c>
      <c r="U43" s="4" t="s">
        <v>410</v>
      </c>
      <c r="V43" s="4" t="s">
        <v>411</v>
      </c>
      <c r="W43" s="4" t="s">
        <v>412</v>
      </c>
      <c r="X43" s="4" t="s">
        <v>414</v>
      </c>
      <c r="Y43" s="4" t="s">
        <v>415</v>
      </c>
      <c r="Z43" s="4">
        <v>323</v>
      </c>
      <c r="AA43" s="4"/>
      <c r="AB43" s="4" t="s">
        <v>384</v>
      </c>
      <c r="AC43" s="4"/>
      <c r="AD43" s="4" t="s">
        <v>416</v>
      </c>
      <c r="AE43" s="4" t="s">
        <v>417</v>
      </c>
      <c r="AF43" s="4"/>
      <c r="AG43" s="4"/>
      <c r="AH43" s="4"/>
      <c r="AU43" s="22" t="e">
        <f t="shared" si="4"/>
        <v>#DIV/0!</v>
      </c>
      <c r="AV43" s="11" t="s">
        <v>166</v>
      </c>
      <c r="AW43" s="31">
        <v>91.825428356562696</v>
      </c>
      <c r="AX43" s="31">
        <v>0.70042368710842995</v>
      </c>
      <c r="AY43" s="11"/>
      <c r="AZ43" s="11"/>
      <c r="BA43" s="11"/>
      <c r="BB43" s="11">
        <v>25</v>
      </c>
      <c r="BK43" s="23" t="s">
        <v>163</v>
      </c>
      <c r="BL43" s="11" t="s">
        <v>422</v>
      </c>
    </row>
    <row r="44" spans="1:64" ht="15.6" x14ac:dyDescent="0.3">
      <c r="B44" s="11" t="s">
        <v>164</v>
      </c>
      <c r="C44" s="4" t="s">
        <v>187</v>
      </c>
      <c r="D44" s="4" t="s">
        <v>264</v>
      </c>
      <c r="E44" s="4"/>
      <c r="F44" s="55" t="s">
        <v>259</v>
      </c>
      <c r="G44" s="4">
        <v>166.28200000000001</v>
      </c>
      <c r="H44" s="48">
        <f t="shared" si="5"/>
        <v>541.24920316089526</v>
      </c>
      <c r="I44" s="4" t="s">
        <v>267</v>
      </c>
      <c r="J44" s="4">
        <v>90</v>
      </c>
      <c r="K44" s="4"/>
      <c r="L44" s="4"/>
      <c r="M44" s="4" t="s">
        <v>261</v>
      </c>
      <c r="N44" s="4"/>
      <c r="O44" s="4" t="s">
        <v>266</v>
      </c>
      <c r="P44" s="4"/>
      <c r="Q44" s="4" t="s">
        <v>407</v>
      </c>
      <c r="R44" s="4" t="s">
        <v>408</v>
      </c>
      <c r="S44" s="4"/>
      <c r="T44" s="4" t="s">
        <v>409</v>
      </c>
      <c r="U44" s="4" t="s">
        <v>410</v>
      </c>
      <c r="V44" s="4" t="s">
        <v>411</v>
      </c>
      <c r="W44" s="4" t="s">
        <v>412</v>
      </c>
      <c r="X44" s="4" t="s">
        <v>414</v>
      </c>
      <c r="Y44" s="4" t="s">
        <v>415</v>
      </c>
      <c r="Z44" s="4">
        <v>323</v>
      </c>
      <c r="AA44" s="4"/>
      <c r="AB44" s="4" t="s">
        <v>384</v>
      </c>
      <c r="AC44" s="4"/>
      <c r="AD44" s="4" t="s">
        <v>416</v>
      </c>
      <c r="AE44" s="4" t="s">
        <v>417</v>
      </c>
      <c r="AF44" s="4"/>
      <c r="AG44" s="4"/>
      <c r="AH44" s="4"/>
      <c r="AU44" s="22" t="e">
        <f t="shared" si="4"/>
        <v>#DIV/0!</v>
      </c>
      <c r="AV44" s="11" t="s">
        <v>166</v>
      </c>
      <c r="AW44" s="31">
        <v>84.319092928662499</v>
      </c>
      <c r="AX44" s="31">
        <v>1.34544509386612</v>
      </c>
      <c r="AY44" s="11"/>
      <c r="AZ44" s="11"/>
      <c r="BA44" s="11"/>
      <c r="BB44" s="11">
        <v>25</v>
      </c>
      <c r="BK44" s="23" t="s">
        <v>163</v>
      </c>
      <c r="BL44" s="11" t="s">
        <v>422</v>
      </c>
    </row>
    <row r="45" spans="1:64" ht="15.6" x14ac:dyDescent="0.3">
      <c r="B45" s="11" t="s">
        <v>164</v>
      </c>
      <c r="C45" s="4" t="s">
        <v>187</v>
      </c>
      <c r="D45" s="4" t="s">
        <v>264</v>
      </c>
      <c r="E45" s="4"/>
      <c r="F45" s="55" t="s">
        <v>259</v>
      </c>
      <c r="G45" s="4">
        <v>166.28200000000001</v>
      </c>
      <c r="H45" s="48">
        <f t="shared" si="5"/>
        <v>541.24920316089526</v>
      </c>
      <c r="I45" s="4" t="s">
        <v>267</v>
      </c>
      <c r="J45" s="4">
        <v>90</v>
      </c>
      <c r="K45" s="4"/>
      <c r="L45" s="4"/>
      <c r="M45" s="4" t="s">
        <v>261</v>
      </c>
      <c r="N45" s="4"/>
      <c r="O45" s="4" t="s">
        <v>266</v>
      </c>
      <c r="P45" s="4"/>
      <c r="Q45" s="4" t="s">
        <v>407</v>
      </c>
      <c r="R45" s="4" t="s">
        <v>408</v>
      </c>
      <c r="S45" s="4"/>
      <c r="T45" s="4" t="s">
        <v>409</v>
      </c>
      <c r="U45" s="4" t="s">
        <v>410</v>
      </c>
      <c r="V45" s="4" t="s">
        <v>411</v>
      </c>
      <c r="W45" s="4" t="s">
        <v>412</v>
      </c>
      <c r="X45" s="4" t="s">
        <v>414</v>
      </c>
      <c r="Y45" s="4" t="s">
        <v>415</v>
      </c>
      <c r="Z45" s="4">
        <v>323</v>
      </c>
      <c r="AA45" s="4"/>
      <c r="AB45" s="4" t="s">
        <v>384</v>
      </c>
      <c r="AC45" s="4"/>
      <c r="AD45" s="4" t="s">
        <v>416</v>
      </c>
      <c r="AE45" s="4" t="s">
        <v>417</v>
      </c>
      <c r="AF45" s="4"/>
      <c r="AG45" s="4"/>
      <c r="AH45" s="4"/>
      <c r="AU45" s="22" t="e">
        <f t="shared" si="4"/>
        <v>#DIV/0!</v>
      </c>
      <c r="AV45" s="11" t="s">
        <v>166</v>
      </c>
      <c r="AW45" s="31">
        <v>73.843582330271104</v>
      </c>
      <c r="AX45" s="31">
        <v>3.2000343426356501</v>
      </c>
      <c r="AY45" s="11"/>
      <c r="AZ45" s="11"/>
      <c r="BA45" s="11"/>
      <c r="BB45" s="11">
        <v>25</v>
      </c>
      <c r="BK45" s="23" t="s">
        <v>163</v>
      </c>
      <c r="BL45" s="11" t="s">
        <v>422</v>
      </c>
    </row>
    <row r="46" spans="1:64" ht="15.6" x14ac:dyDescent="0.3">
      <c r="B46" s="11" t="s">
        <v>164</v>
      </c>
      <c r="C46" s="4" t="s">
        <v>187</v>
      </c>
      <c r="D46" s="4" t="s">
        <v>264</v>
      </c>
      <c r="E46" s="4"/>
      <c r="F46" s="55" t="s">
        <v>259</v>
      </c>
      <c r="G46" s="4">
        <v>166.28200000000001</v>
      </c>
      <c r="H46" s="48">
        <f t="shared" si="5"/>
        <v>541.24920316089526</v>
      </c>
      <c r="I46" s="4" t="s">
        <v>267</v>
      </c>
      <c r="J46" s="4">
        <v>90</v>
      </c>
      <c r="K46" s="4"/>
      <c r="L46" s="4"/>
      <c r="M46" s="4" t="s">
        <v>261</v>
      </c>
      <c r="N46" s="4"/>
      <c r="O46" s="4" t="s">
        <v>266</v>
      </c>
      <c r="P46" s="4"/>
      <c r="Q46" s="4" t="s">
        <v>407</v>
      </c>
      <c r="R46" s="4" t="s">
        <v>408</v>
      </c>
      <c r="S46" s="4"/>
      <c r="T46" s="4" t="s">
        <v>409</v>
      </c>
      <c r="U46" s="4" t="s">
        <v>410</v>
      </c>
      <c r="V46" s="4" t="s">
        <v>411</v>
      </c>
      <c r="W46" s="4" t="s">
        <v>412</v>
      </c>
      <c r="X46" s="4" t="s">
        <v>414</v>
      </c>
      <c r="Y46" s="4" t="s">
        <v>415</v>
      </c>
      <c r="Z46" s="4">
        <v>323</v>
      </c>
      <c r="AA46" s="4"/>
      <c r="AB46" s="4" t="s">
        <v>384</v>
      </c>
      <c r="AC46" s="4"/>
      <c r="AD46" s="4" t="s">
        <v>416</v>
      </c>
      <c r="AE46" s="4" t="s">
        <v>417</v>
      </c>
      <c r="AF46" s="4"/>
      <c r="AG46" s="4"/>
      <c r="AH46" s="4"/>
      <c r="AU46" s="22" t="e">
        <f t="shared" si="4"/>
        <v>#DIV/0!</v>
      </c>
      <c r="AV46" s="11" t="s">
        <v>166</v>
      </c>
      <c r="AW46" s="31">
        <v>65.906771997836202</v>
      </c>
      <c r="AX46" s="31">
        <v>9.0941661943097998</v>
      </c>
      <c r="AY46" s="11"/>
      <c r="AZ46" s="11"/>
      <c r="BA46" s="11"/>
      <c r="BB46" s="11">
        <v>25</v>
      </c>
      <c r="BK46" s="23" t="s">
        <v>163</v>
      </c>
      <c r="BL46" s="11" t="s">
        <v>422</v>
      </c>
    </row>
    <row r="47" spans="1:64" ht="15.6" x14ac:dyDescent="0.3">
      <c r="B47" s="11" t="s">
        <v>164</v>
      </c>
      <c r="C47" s="4" t="s">
        <v>187</v>
      </c>
      <c r="D47" s="4" t="s">
        <v>264</v>
      </c>
      <c r="E47" s="4"/>
      <c r="F47" s="55" t="s">
        <v>259</v>
      </c>
      <c r="G47" s="4">
        <v>166.28200000000001</v>
      </c>
      <c r="H47" s="48">
        <f t="shared" si="5"/>
        <v>541.24920316089526</v>
      </c>
      <c r="I47" s="4" t="s">
        <v>267</v>
      </c>
      <c r="J47" s="4">
        <v>90</v>
      </c>
      <c r="K47" s="4"/>
      <c r="L47" s="4"/>
      <c r="M47" s="4" t="s">
        <v>261</v>
      </c>
      <c r="N47" s="4"/>
      <c r="O47" s="4" t="s">
        <v>266</v>
      </c>
      <c r="P47" s="4"/>
      <c r="Q47" s="4" t="s">
        <v>407</v>
      </c>
      <c r="R47" s="4" t="s">
        <v>408</v>
      </c>
      <c r="S47" s="4"/>
      <c r="T47" s="4" t="s">
        <v>409</v>
      </c>
      <c r="U47" s="4" t="s">
        <v>410</v>
      </c>
      <c r="V47" s="4" t="s">
        <v>411</v>
      </c>
      <c r="W47" s="4" t="s">
        <v>412</v>
      </c>
      <c r="X47" s="4" t="s">
        <v>414</v>
      </c>
      <c r="Y47" s="4" t="s">
        <v>415</v>
      </c>
      <c r="Z47" s="4">
        <v>323</v>
      </c>
      <c r="AA47" s="4"/>
      <c r="AB47" s="4" t="s">
        <v>384</v>
      </c>
      <c r="AC47" s="4"/>
      <c r="AD47" s="4" t="s">
        <v>416</v>
      </c>
      <c r="AE47" s="4" t="s">
        <v>417</v>
      </c>
      <c r="AF47" s="4"/>
      <c r="AG47" s="4"/>
      <c r="AH47" s="4"/>
      <c r="AU47" s="22" t="e">
        <f t="shared" si="4"/>
        <v>#DIV/0!</v>
      </c>
      <c r="AV47" s="11" t="s">
        <v>166</v>
      </c>
      <c r="AW47" s="31">
        <v>131.62596366729801</v>
      </c>
      <c r="AX47" s="31">
        <v>9.7654153925609798E-3</v>
      </c>
      <c r="AY47" s="11"/>
      <c r="AZ47" s="11"/>
      <c r="BA47" s="11"/>
      <c r="BB47" s="11">
        <v>75</v>
      </c>
      <c r="BK47" s="23" t="s">
        <v>163</v>
      </c>
      <c r="BL47" s="11" t="s">
        <v>422</v>
      </c>
    </row>
    <row r="48" spans="1:64" ht="15.6" x14ac:dyDescent="0.3">
      <c r="B48" s="11" t="s">
        <v>164</v>
      </c>
      <c r="C48" s="4" t="s">
        <v>187</v>
      </c>
      <c r="D48" s="4" t="s">
        <v>264</v>
      </c>
      <c r="E48" s="4"/>
      <c r="F48" s="55" t="s">
        <v>259</v>
      </c>
      <c r="G48" s="4">
        <v>166.28200000000001</v>
      </c>
      <c r="H48" s="48">
        <f t="shared" si="5"/>
        <v>541.24920316089526</v>
      </c>
      <c r="I48" s="4" t="s">
        <v>267</v>
      </c>
      <c r="J48" s="4">
        <v>90</v>
      </c>
      <c r="K48" s="4"/>
      <c r="L48" s="4"/>
      <c r="M48" s="4" t="s">
        <v>261</v>
      </c>
      <c r="N48" s="4"/>
      <c r="O48" s="4" t="s">
        <v>266</v>
      </c>
      <c r="P48" s="4"/>
      <c r="Q48" s="4" t="s">
        <v>407</v>
      </c>
      <c r="R48" s="4" t="s">
        <v>408</v>
      </c>
      <c r="S48" s="4"/>
      <c r="T48" s="4" t="s">
        <v>409</v>
      </c>
      <c r="U48" s="4" t="s">
        <v>410</v>
      </c>
      <c r="V48" s="4" t="s">
        <v>411</v>
      </c>
      <c r="W48" s="4" t="s">
        <v>412</v>
      </c>
      <c r="X48" s="4" t="s">
        <v>414</v>
      </c>
      <c r="Y48" s="4" t="s">
        <v>415</v>
      </c>
      <c r="Z48" s="4">
        <v>323</v>
      </c>
      <c r="AA48" s="4"/>
      <c r="AB48" s="4" t="s">
        <v>384</v>
      </c>
      <c r="AC48" s="4"/>
      <c r="AD48" s="4" t="s">
        <v>416</v>
      </c>
      <c r="AE48" s="4" t="s">
        <v>417</v>
      </c>
      <c r="AF48" s="4"/>
      <c r="AG48" s="4"/>
      <c r="AH48" s="4"/>
      <c r="AU48" s="22" t="e">
        <f t="shared" si="4"/>
        <v>#DIV/0!</v>
      </c>
      <c r="AV48" s="11" t="s">
        <v>166</v>
      </c>
      <c r="AW48" s="31">
        <v>130.38461154666999</v>
      </c>
      <c r="AX48" s="31">
        <v>1.26792271836278E-2</v>
      </c>
      <c r="AY48" s="11"/>
      <c r="AZ48" s="11"/>
      <c r="BA48" s="11"/>
      <c r="BB48" s="11">
        <v>75</v>
      </c>
      <c r="BK48" s="23" t="s">
        <v>163</v>
      </c>
      <c r="BL48" s="11" t="s">
        <v>422</v>
      </c>
    </row>
    <row r="49" spans="2:64" ht="15.6" x14ac:dyDescent="0.3">
      <c r="B49" s="11" t="s">
        <v>164</v>
      </c>
      <c r="C49" s="4" t="s">
        <v>187</v>
      </c>
      <c r="D49" s="4" t="s">
        <v>264</v>
      </c>
      <c r="E49" s="4"/>
      <c r="F49" s="55" t="s">
        <v>259</v>
      </c>
      <c r="G49" s="4">
        <v>166.28200000000001</v>
      </c>
      <c r="H49" s="48">
        <f t="shared" si="5"/>
        <v>541.24920316089526</v>
      </c>
      <c r="I49" s="4" t="s">
        <v>267</v>
      </c>
      <c r="J49" s="4">
        <v>90</v>
      </c>
      <c r="K49" s="4"/>
      <c r="L49" s="4"/>
      <c r="M49" s="4" t="s">
        <v>261</v>
      </c>
      <c r="N49" s="4"/>
      <c r="O49" s="4" t="s">
        <v>266</v>
      </c>
      <c r="P49" s="4"/>
      <c r="Q49" s="4" t="s">
        <v>407</v>
      </c>
      <c r="R49" s="4" t="s">
        <v>408</v>
      </c>
      <c r="S49" s="4"/>
      <c r="T49" s="4" t="s">
        <v>409</v>
      </c>
      <c r="U49" s="4" t="s">
        <v>410</v>
      </c>
      <c r="V49" s="4" t="s">
        <v>411</v>
      </c>
      <c r="W49" s="4" t="s">
        <v>412</v>
      </c>
      <c r="X49" s="4" t="s">
        <v>414</v>
      </c>
      <c r="Y49" s="4" t="s">
        <v>415</v>
      </c>
      <c r="Z49" s="4">
        <v>323</v>
      </c>
      <c r="AA49" s="4"/>
      <c r="AB49" s="4" t="s">
        <v>384</v>
      </c>
      <c r="AC49" s="4"/>
      <c r="AD49" s="4" t="s">
        <v>416</v>
      </c>
      <c r="AE49" s="4" t="s">
        <v>417</v>
      </c>
      <c r="AF49" s="4"/>
      <c r="AG49" s="4"/>
      <c r="AH49" s="4"/>
      <c r="AU49" s="22" t="e">
        <f t="shared" si="4"/>
        <v>#DIV/0!</v>
      </c>
      <c r="AV49" s="11" t="s">
        <v>166</v>
      </c>
      <c r="AW49" s="31">
        <v>129.15496650148799</v>
      </c>
      <c r="AX49" s="31">
        <v>1.6462464269211899E-2</v>
      </c>
      <c r="AY49" s="11"/>
      <c r="AZ49" s="11"/>
      <c r="BA49" s="11"/>
      <c r="BB49" s="11">
        <v>75</v>
      </c>
      <c r="BK49" s="23" t="s">
        <v>163</v>
      </c>
      <c r="BL49" s="11" t="s">
        <v>422</v>
      </c>
    </row>
    <row r="50" spans="2:64" ht="15.6" x14ac:dyDescent="0.3">
      <c r="B50" s="11" t="s">
        <v>164</v>
      </c>
      <c r="C50" s="4" t="s">
        <v>187</v>
      </c>
      <c r="D50" s="4" t="s">
        <v>264</v>
      </c>
      <c r="E50" s="4"/>
      <c r="F50" s="55" t="s">
        <v>259</v>
      </c>
      <c r="G50" s="4">
        <v>166.28200000000001</v>
      </c>
      <c r="H50" s="48">
        <f t="shared" si="5"/>
        <v>541.24920316089526</v>
      </c>
      <c r="I50" s="4" t="s">
        <v>267</v>
      </c>
      <c r="J50" s="4">
        <v>90</v>
      </c>
      <c r="K50" s="4"/>
      <c r="L50" s="4"/>
      <c r="M50" s="4" t="s">
        <v>261</v>
      </c>
      <c r="N50" s="4"/>
      <c r="O50" s="4" t="s">
        <v>266</v>
      </c>
      <c r="P50" s="4"/>
      <c r="Q50" s="4" t="s">
        <v>407</v>
      </c>
      <c r="R50" s="4" t="s">
        <v>408</v>
      </c>
      <c r="S50" s="4"/>
      <c r="T50" s="4" t="s">
        <v>409</v>
      </c>
      <c r="U50" s="4" t="s">
        <v>410</v>
      </c>
      <c r="V50" s="4" t="s">
        <v>411</v>
      </c>
      <c r="W50" s="4" t="s">
        <v>412</v>
      </c>
      <c r="X50" s="4" t="s">
        <v>414</v>
      </c>
      <c r="Y50" s="4" t="s">
        <v>415</v>
      </c>
      <c r="Z50" s="4">
        <v>323</v>
      </c>
      <c r="AA50" s="4"/>
      <c r="AB50" s="4" t="s">
        <v>384</v>
      </c>
      <c r="AC50" s="4"/>
      <c r="AD50" s="4" t="s">
        <v>416</v>
      </c>
      <c r="AE50" s="4" t="s">
        <v>417</v>
      </c>
      <c r="AF50" s="4"/>
      <c r="AG50" s="4"/>
      <c r="AH50" s="4"/>
      <c r="AU50" s="22" t="e">
        <f t="shared" si="4"/>
        <v>#DIV/0!</v>
      </c>
      <c r="AV50" s="11" t="s">
        <v>166</v>
      </c>
      <c r="AW50" s="31">
        <v>127.936918123422</v>
      </c>
      <c r="AX50" s="31">
        <v>2.1629752319215299E-2</v>
      </c>
      <c r="AY50" s="11"/>
      <c r="AZ50" s="11"/>
      <c r="BA50" s="11"/>
      <c r="BB50" s="11">
        <v>75</v>
      </c>
      <c r="BK50" s="23" t="s">
        <v>163</v>
      </c>
      <c r="BL50" s="11" t="s">
        <v>422</v>
      </c>
    </row>
    <row r="51" spans="2:64" ht="15.6" x14ac:dyDescent="0.3">
      <c r="B51" s="11" t="s">
        <v>164</v>
      </c>
      <c r="C51" s="4" t="s">
        <v>187</v>
      </c>
      <c r="D51" s="4" t="s">
        <v>264</v>
      </c>
      <c r="E51" s="4"/>
      <c r="F51" s="55" t="s">
        <v>259</v>
      </c>
      <c r="G51" s="4">
        <v>166.28200000000001</v>
      </c>
      <c r="H51" s="48">
        <f t="shared" si="5"/>
        <v>541.24920316089526</v>
      </c>
      <c r="I51" s="4" t="s">
        <v>267</v>
      </c>
      <c r="J51" s="4">
        <v>90</v>
      </c>
      <c r="K51" s="4"/>
      <c r="L51" s="4"/>
      <c r="M51" s="4" t="s">
        <v>261</v>
      </c>
      <c r="N51" s="4"/>
      <c r="O51" s="4" t="s">
        <v>266</v>
      </c>
      <c r="P51" s="4"/>
      <c r="Q51" s="4" t="s">
        <v>407</v>
      </c>
      <c r="R51" s="4" t="s">
        <v>408</v>
      </c>
      <c r="S51" s="4"/>
      <c r="T51" s="4" t="s">
        <v>409</v>
      </c>
      <c r="U51" s="4" t="s">
        <v>410</v>
      </c>
      <c r="V51" s="4" t="s">
        <v>411</v>
      </c>
      <c r="W51" s="4" t="s">
        <v>412</v>
      </c>
      <c r="X51" s="4" t="s">
        <v>414</v>
      </c>
      <c r="Y51" s="4" t="s">
        <v>415</v>
      </c>
      <c r="Z51" s="4">
        <v>323</v>
      </c>
      <c r="AA51" s="4"/>
      <c r="AB51" s="4" t="s">
        <v>384</v>
      </c>
      <c r="AC51" s="4"/>
      <c r="AD51" s="4" t="s">
        <v>416</v>
      </c>
      <c r="AE51" s="4" t="s">
        <v>417</v>
      </c>
      <c r="AF51" s="4"/>
      <c r="AG51" s="4"/>
      <c r="AH51" s="4"/>
      <c r="AU51" s="22" t="e">
        <f t="shared" si="4"/>
        <v>#DIV/0!</v>
      </c>
      <c r="AV51" s="11" t="s">
        <v>166</v>
      </c>
      <c r="AW51" s="31">
        <v>125.53517493174699</v>
      </c>
      <c r="AX51" s="31">
        <v>2.8418964362799701E-2</v>
      </c>
      <c r="AY51" s="11"/>
      <c r="AZ51" s="11"/>
      <c r="BA51" s="11"/>
      <c r="BB51" s="11">
        <v>75</v>
      </c>
      <c r="BK51" s="23" t="s">
        <v>163</v>
      </c>
      <c r="BL51" s="11" t="s">
        <v>422</v>
      </c>
    </row>
    <row r="52" spans="2:64" ht="15.6" x14ac:dyDescent="0.3">
      <c r="B52" s="11" t="s">
        <v>164</v>
      </c>
      <c r="C52" s="4" t="s">
        <v>187</v>
      </c>
      <c r="D52" s="4" t="s">
        <v>264</v>
      </c>
      <c r="E52" s="4"/>
      <c r="F52" s="55" t="s">
        <v>259</v>
      </c>
      <c r="G52" s="4">
        <v>166.28200000000001</v>
      </c>
      <c r="H52" s="48">
        <f t="shared" si="5"/>
        <v>541.24920316089526</v>
      </c>
      <c r="I52" s="4" t="s">
        <v>267</v>
      </c>
      <c r="J52" s="4">
        <v>90</v>
      </c>
      <c r="K52" s="4"/>
      <c r="L52" s="4"/>
      <c r="M52" s="4" t="s">
        <v>261</v>
      </c>
      <c r="N52" s="4"/>
      <c r="O52" s="4" t="s">
        <v>266</v>
      </c>
      <c r="P52" s="4"/>
      <c r="Q52" s="4" t="s">
        <v>407</v>
      </c>
      <c r="R52" s="4" t="s">
        <v>408</v>
      </c>
      <c r="S52" s="4"/>
      <c r="T52" s="4" t="s">
        <v>409</v>
      </c>
      <c r="U52" s="4" t="s">
        <v>410</v>
      </c>
      <c r="V52" s="4" t="s">
        <v>411</v>
      </c>
      <c r="W52" s="4" t="s">
        <v>412</v>
      </c>
      <c r="X52" s="4" t="s">
        <v>414</v>
      </c>
      <c r="Y52" s="4" t="s">
        <v>415</v>
      </c>
      <c r="Z52" s="4">
        <v>323</v>
      </c>
      <c r="AA52" s="4"/>
      <c r="AB52" s="4" t="s">
        <v>384</v>
      </c>
      <c r="AC52" s="4"/>
      <c r="AD52" s="4" t="s">
        <v>416</v>
      </c>
      <c r="AE52" s="4" t="s">
        <v>417</v>
      </c>
      <c r="AF52" s="4"/>
      <c r="AG52" s="4"/>
      <c r="AH52" s="4"/>
      <c r="AU52" s="22" t="e">
        <f t="shared" si="4"/>
        <v>#DIV/0!</v>
      </c>
      <c r="AV52" s="11" t="s">
        <v>166</v>
      </c>
      <c r="AW52" s="31">
        <v>122.016834288466</v>
      </c>
      <c r="AX52" s="31">
        <v>3.8236156174685003E-2</v>
      </c>
      <c r="AY52" s="11"/>
      <c r="AZ52" s="11"/>
      <c r="BA52" s="11"/>
      <c r="BB52" s="11">
        <v>75</v>
      </c>
      <c r="BK52" s="23" t="s">
        <v>163</v>
      </c>
      <c r="BL52" s="11" t="s">
        <v>422</v>
      </c>
    </row>
    <row r="53" spans="2:64" ht="15.6" x14ac:dyDescent="0.3">
      <c r="B53" s="11" t="s">
        <v>164</v>
      </c>
      <c r="C53" s="4" t="s">
        <v>187</v>
      </c>
      <c r="D53" s="4" t="s">
        <v>264</v>
      </c>
      <c r="E53" s="4"/>
      <c r="F53" s="55" t="s">
        <v>259</v>
      </c>
      <c r="G53" s="4">
        <v>166.28200000000001</v>
      </c>
      <c r="H53" s="48">
        <f t="shared" si="5"/>
        <v>541.24920316089526</v>
      </c>
      <c r="I53" s="4" t="s">
        <v>267</v>
      </c>
      <c r="J53" s="4">
        <v>90</v>
      </c>
      <c r="K53" s="4"/>
      <c r="L53" s="4"/>
      <c r="M53" s="4" t="s">
        <v>261</v>
      </c>
      <c r="N53" s="4"/>
      <c r="O53" s="4" t="s">
        <v>266</v>
      </c>
      <c r="P53" s="4"/>
      <c r="Q53" s="4" t="s">
        <v>407</v>
      </c>
      <c r="R53" s="4" t="s">
        <v>408</v>
      </c>
      <c r="S53" s="4"/>
      <c r="T53" s="4" t="s">
        <v>409</v>
      </c>
      <c r="U53" s="4" t="s">
        <v>410</v>
      </c>
      <c r="V53" s="4" t="s">
        <v>411</v>
      </c>
      <c r="W53" s="4" t="s">
        <v>412</v>
      </c>
      <c r="X53" s="4" t="s">
        <v>414</v>
      </c>
      <c r="Y53" s="4" t="s">
        <v>415</v>
      </c>
      <c r="Z53" s="4">
        <v>323</v>
      </c>
      <c r="AA53" s="4"/>
      <c r="AB53" s="4" t="s">
        <v>384</v>
      </c>
      <c r="AC53" s="4"/>
      <c r="AD53" s="4" t="s">
        <v>416</v>
      </c>
      <c r="AE53" s="4" t="s">
        <v>417</v>
      </c>
      <c r="AF53" s="4"/>
      <c r="AG53" s="4"/>
      <c r="AH53" s="4"/>
      <c r="AU53" s="22" t="e">
        <f t="shared" si="4"/>
        <v>#DIV/0!</v>
      </c>
      <c r="AV53" s="11" t="s">
        <v>166</v>
      </c>
      <c r="AW53" s="31">
        <v>119.72622806376999</v>
      </c>
      <c r="AX53" s="31">
        <v>5.0837661726860398E-2</v>
      </c>
      <c r="AY53" s="11"/>
      <c r="AZ53" s="11"/>
      <c r="BA53" s="11"/>
      <c r="BB53" s="11">
        <v>75</v>
      </c>
      <c r="BK53" s="23" t="s">
        <v>163</v>
      </c>
      <c r="BL53" s="11" t="s">
        <v>422</v>
      </c>
    </row>
    <row r="54" spans="2:64" ht="15.6" x14ac:dyDescent="0.3">
      <c r="B54" s="11" t="s">
        <v>164</v>
      </c>
      <c r="C54" s="4" t="s">
        <v>187</v>
      </c>
      <c r="D54" s="4" t="s">
        <v>264</v>
      </c>
      <c r="E54" s="4"/>
      <c r="F54" s="55" t="s">
        <v>259</v>
      </c>
      <c r="G54" s="4">
        <v>166.28200000000001</v>
      </c>
      <c r="H54" s="48">
        <f t="shared" si="5"/>
        <v>541.24920316089526</v>
      </c>
      <c r="I54" s="4" t="s">
        <v>267</v>
      </c>
      <c r="J54" s="4">
        <v>90</v>
      </c>
      <c r="K54" s="4"/>
      <c r="L54" s="4"/>
      <c r="M54" s="4" t="s">
        <v>261</v>
      </c>
      <c r="N54" s="4"/>
      <c r="O54" s="4" t="s">
        <v>266</v>
      </c>
      <c r="P54" s="4"/>
      <c r="Q54" s="4" t="s">
        <v>407</v>
      </c>
      <c r="R54" s="4" t="s">
        <v>408</v>
      </c>
      <c r="S54" s="4"/>
      <c r="T54" s="4" t="s">
        <v>409</v>
      </c>
      <c r="U54" s="4" t="s">
        <v>410</v>
      </c>
      <c r="V54" s="4" t="s">
        <v>411</v>
      </c>
      <c r="W54" s="4" t="s">
        <v>412</v>
      </c>
      <c r="X54" s="4" t="s">
        <v>414</v>
      </c>
      <c r="Y54" s="4" t="s">
        <v>415</v>
      </c>
      <c r="Z54" s="4">
        <v>323</v>
      </c>
      <c r="AA54" s="4"/>
      <c r="AB54" s="4" t="s">
        <v>384</v>
      </c>
      <c r="AC54" s="4"/>
      <c r="AD54" s="4" t="s">
        <v>416</v>
      </c>
      <c r="AE54" s="4" t="s">
        <v>417</v>
      </c>
      <c r="AF54" s="4"/>
      <c r="AG54" s="4"/>
      <c r="AH54" s="4"/>
      <c r="AU54" s="22" t="e">
        <f t="shared" si="4"/>
        <v>#DIV/0!</v>
      </c>
      <c r="AV54" s="11" t="s">
        <v>166</v>
      </c>
      <c r="AW54" s="31">
        <v>115.273212119238</v>
      </c>
      <c r="AX54" s="31">
        <v>7.0878654375439096E-2</v>
      </c>
      <c r="AY54" s="11"/>
      <c r="AZ54" s="11"/>
      <c r="BA54" s="11"/>
      <c r="BB54" s="11">
        <v>75</v>
      </c>
      <c r="BK54" s="23" t="s">
        <v>163</v>
      </c>
      <c r="BL54" s="11" t="s">
        <v>422</v>
      </c>
    </row>
    <row r="55" spans="2:64" ht="15.6" x14ac:dyDescent="0.3">
      <c r="B55" s="11" t="s">
        <v>164</v>
      </c>
      <c r="C55" s="4" t="s">
        <v>187</v>
      </c>
      <c r="D55" s="4" t="s">
        <v>264</v>
      </c>
      <c r="E55" s="4"/>
      <c r="F55" s="55" t="s">
        <v>259</v>
      </c>
      <c r="G55" s="4">
        <v>166.28200000000001</v>
      </c>
      <c r="H55" s="48">
        <f t="shared" si="5"/>
        <v>541.24920316089526</v>
      </c>
      <c r="I55" s="4" t="s">
        <v>267</v>
      </c>
      <c r="J55" s="4">
        <v>90</v>
      </c>
      <c r="K55" s="4"/>
      <c r="L55" s="4"/>
      <c r="M55" s="4" t="s">
        <v>261</v>
      </c>
      <c r="N55" s="4"/>
      <c r="O55" s="4" t="s">
        <v>266</v>
      </c>
      <c r="P55" s="4"/>
      <c r="Q55" s="4" t="s">
        <v>407</v>
      </c>
      <c r="R55" s="4" t="s">
        <v>408</v>
      </c>
      <c r="S55" s="4"/>
      <c r="T55" s="4" t="s">
        <v>409</v>
      </c>
      <c r="U55" s="4" t="s">
        <v>410</v>
      </c>
      <c r="V55" s="4" t="s">
        <v>411</v>
      </c>
      <c r="W55" s="4" t="s">
        <v>412</v>
      </c>
      <c r="X55" s="4" t="s">
        <v>414</v>
      </c>
      <c r="Y55" s="4" t="s">
        <v>415</v>
      </c>
      <c r="Z55" s="4">
        <v>323</v>
      </c>
      <c r="AA55" s="4"/>
      <c r="AB55" s="4" t="s">
        <v>384</v>
      </c>
      <c r="AC55" s="4"/>
      <c r="AD55" s="4" t="s">
        <v>416</v>
      </c>
      <c r="AE55" s="4" t="s">
        <v>417</v>
      </c>
      <c r="AF55" s="4"/>
      <c r="AG55" s="4"/>
      <c r="AH55" s="4"/>
      <c r="AU55" s="22" t="e">
        <f t="shared" si="4"/>
        <v>#DIV/0!</v>
      </c>
      <c r="AV55" s="11" t="s">
        <v>166</v>
      </c>
      <c r="AW55" s="31">
        <v>112.042480752502</v>
      </c>
      <c r="AX55" s="31">
        <v>9.88201163354962E-2</v>
      </c>
      <c r="AY55" s="11"/>
      <c r="AZ55" s="11"/>
      <c r="BA55" s="11"/>
      <c r="BB55" s="11">
        <v>75</v>
      </c>
      <c r="BK55" s="23" t="s">
        <v>163</v>
      </c>
      <c r="BL55" s="11" t="s">
        <v>422</v>
      </c>
    </row>
    <row r="56" spans="2:64" ht="15.6" x14ac:dyDescent="0.3">
      <c r="B56" s="11" t="s">
        <v>164</v>
      </c>
      <c r="C56" s="4" t="s">
        <v>187</v>
      </c>
      <c r="D56" s="4" t="s">
        <v>264</v>
      </c>
      <c r="E56" s="4"/>
      <c r="F56" s="55" t="s">
        <v>259</v>
      </c>
      <c r="G56" s="4">
        <v>166.28200000000001</v>
      </c>
      <c r="H56" s="48">
        <f t="shared" si="5"/>
        <v>541.24920316089526</v>
      </c>
      <c r="I56" s="4" t="s">
        <v>267</v>
      </c>
      <c r="J56" s="4">
        <v>90</v>
      </c>
      <c r="K56" s="4"/>
      <c r="L56" s="4"/>
      <c r="M56" s="4" t="s">
        <v>261</v>
      </c>
      <c r="N56" s="4"/>
      <c r="O56" s="4" t="s">
        <v>266</v>
      </c>
      <c r="P56" s="4"/>
      <c r="Q56" s="4" t="s">
        <v>407</v>
      </c>
      <c r="R56" s="4" t="s">
        <v>408</v>
      </c>
      <c r="S56" s="4"/>
      <c r="T56" s="4" t="s">
        <v>409</v>
      </c>
      <c r="U56" s="4" t="s">
        <v>410</v>
      </c>
      <c r="V56" s="4" t="s">
        <v>411</v>
      </c>
      <c r="W56" s="4" t="s">
        <v>412</v>
      </c>
      <c r="X56" s="4" t="s">
        <v>414</v>
      </c>
      <c r="Y56" s="4" t="s">
        <v>415</v>
      </c>
      <c r="Z56" s="4">
        <v>323</v>
      </c>
      <c r="AA56" s="4"/>
      <c r="AB56" s="4" t="s">
        <v>384</v>
      </c>
      <c r="AC56" s="4"/>
      <c r="AD56" s="4" t="s">
        <v>416</v>
      </c>
      <c r="AE56" s="4" t="s">
        <v>417</v>
      </c>
      <c r="AF56" s="4"/>
      <c r="AG56" s="4"/>
      <c r="AH56" s="4"/>
      <c r="AU56" s="22" t="e">
        <f t="shared" si="4"/>
        <v>#DIV/0!</v>
      </c>
      <c r="AV56" s="11" t="s">
        <v>166</v>
      </c>
      <c r="AW56" s="31">
        <v>107.875248882555</v>
      </c>
      <c r="AX56" s="31">
        <v>0.13942154687651501</v>
      </c>
      <c r="AY56" s="11"/>
      <c r="AZ56" s="11"/>
      <c r="BA56" s="11"/>
      <c r="BB56" s="11">
        <v>75</v>
      </c>
      <c r="BK56" s="23" t="s">
        <v>163</v>
      </c>
      <c r="BL56" s="11" t="s">
        <v>422</v>
      </c>
    </row>
    <row r="57" spans="2:64" ht="15.6" x14ac:dyDescent="0.3">
      <c r="B57" s="11" t="s">
        <v>164</v>
      </c>
      <c r="C57" s="4" t="s">
        <v>187</v>
      </c>
      <c r="D57" s="4" t="s">
        <v>264</v>
      </c>
      <c r="E57" s="4"/>
      <c r="F57" s="55" t="s">
        <v>259</v>
      </c>
      <c r="G57" s="4">
        <v>166.28200000000001</v>
      </c>
      <c r="H57" s="48">
        <f t="shared" si="5"/>
        <v>541.24920316089526</v>
      </c>
      <c r="I57" s="4" t="s">
        <v>267</v>
      </c>
      <c r="J57" s="4">
        <v>90</v>
      </c>
      <c r="K57" s="4"/>
      <c r="L57" s="4"/>
      <c r="M57" s="4" t="s">
        <v>261</v>
      </c>
      <c r="N57" s="4"/>
      <c r="O57" s="4" t="s">
        <v>266</v>
      </c>
      <c r="P57" s="4"/>
      <c r="Q57" s="4" t="s">
        <v>407</v>
      </c>
      <c r="R57" s="4" t="s">
        <v>408</v>
      </c>
      <c r="S57" s="4"/>
      <c r="T57" s="4" t="s">
        <v>409</v>
      </c>
      <c r="U57" s="4" t="s">
        <v>410</v>
      </c>
      <c r="V57" s="4" t="s">
        <v>411</v>
      </c>
      <c r="W57" s="4" t="s">
        <v>412</v>
      </c>
      <c r="X57" s="4" t="s">
        <v>414</v>
      </c>
      <c r="Y57" s="4" t="s">
        <v>415</v>
      </c>
      <c r="Z57" s="4">
        <v>323</v>
      </c>
      <c r="AA57" s="4"/>
      <c r="AB57" s="4" t="s">
        <v>384</v>
      </c>
      <c r="AC57" s="4"/>
      <c r="AD57" s="4" t="s">
        <v>416</v>
      </c>
      <c r="AE57" s="4" t="s">
        <v>417</v>
      </c>
      <c r="AF57" s="4"/>
      <c r="AG57" s="4"/>
      <c r="AH57" s="4"/>
      <c r="AU57" s="22" t="e">
        <f t="shared" si="4"/>
        <v>#DIV/0!</v>
      </c>
      <c r="AV57" s="11" t="s">
        <v>166</v>
      </c>
      <c r="AW57" s="31">
        <v>104.851858245198</v>
      </c>
      <c r="AX57" s="31">
        <v>0.19905315802795201</v>
      </c>
      <c r="AY57" s="11"/>
      <c r="AZ57" s="11"/>
      <c r="BA57" s="11"/>
      <c r="BB57" s="11">
        <v>75</v>
      </c>
      <c r="BK57" s="23" t="s">
        <v>163</v>
      </c>
      <c r="BL57" s="11" t="s">
        <v>422</v>
      </c>
    </row>
    <row r="58" spans="2:64" ht="15.6" x14ac:dyDescent="0.3">
      <c r="B58" s="11" t="s">
        <v>164</v>
      </c>
      <c r="C58" s="4" t="s">
        <v>187</v>
      </c>
      <c r="D58" s="4" t="s">
        <v>264</v>
      </c>
      <c r="E58" s="4"/>
      <c r="F58" s="55" t="s">
        <v>259</v>
      </c>
      <c r="G58" s="4">
        <v>166.28200000000001</v>
      </c>
      <c r="H58" s="48">
        <f t="shared" si="5"/>
        <v>541.24920316089526</v>
      </c>
      <c r="I58" s="4" t="s">
        <v>267</v>
      </c>
      <c r="J58" s="4">
        <v>90</v>
      </c>
      <c r="K58" s="4"/>
      <c r="L58" s="4"/>
      <c r="M58" s="4" t="s">
        <v>261</v>
      </c>
      <c r="N58" s="4"/>
      <c r="O58" s="4" t="s">
        <v>266</v>
      </c>
      <c r="P58" s="4"/>
      <c r="Q58" s="4" t="s">
        <v>407</v>
      </c>
      <c r="R58" s="4" t="s">
        <v>408</v>
      </c>
      <c r="S58" s="4"/>
      <c r="T58" s="4" t="s">
        <v>409</v>
      </c>
      <c r="U58" s="4" t="s">
        <v>410</v>
      </c>
      <c r="V58" s="4" t="s">
        <v>411</v>
      </c>
      <c r="W58" s="4" t="s">
        <v>412</v>
      </c>
      <c r="X58" s="4" t="s">
        <v>414</v>
      </c>
      <c r="Y58" s="4" t="s">
        <v>415</v>
      </c>
      <c r="Z58" s="4">
        <v>323</v>
      </c>
      <c r="AA58" s="4"/>
      <c r="AB58" s="4" t="s">
        <v>384</v>
      </c>
      <c r="AC58" s="4"/>
      <c r="AD58" s="4" t="s">
        <v>416</v>
      </c>
      <c r="AE58" s="4" t="s">
        <v>417</v>
      </c>
      <c r="AF58" s="4"/>
      <c r="AG58" s="4"/>
      <c r="AH58" s="4"/>
      <c r="AU58" s="22" t="e">
        <f t="shared" si="4"/>
        <v>#DIV/0!</v>
      </c>
      <c r="AV58" s="11" t="s">
        <v>166</v>
      </c>
      <c r="AW58" s="31">
        <v>100.952069501073</v>
      </c>
      <c r="AX58" s="31">
        <v>0.28083653644661899</v>
      </c>
      <c r="AY58" s="11"/>
      <c r="AZ58" s="11"/>
      <c r="BA58" s="11"/>
      <c r="BB58" s="11">
        <v>75</v>
      </c>
      <c r="BK58" s="23" t="s">
        <v>163</v>
      </c>
      <c r="BL58" s="11" t="s">
        <v>422</v>
      </c>
    </row>
    <row r="59" spans="2:64" ht="15.6" x14ac:dyDescent="0.3">
      <c r="B59" s="11" t="s">
        <v>164</v>
      </c>
      <c r="C59" s="4" t="s">
        <v>187</v>
      </c>
      <c r="D59" s="4" t="s">
        <v>264</v>
      </c>
      <c r="E59" s="4"/>
      <c r="F59" s="55" t="s">
        <v>259</v>
      </c>
      <c r="G59" s="4">
        <v>166.28200000000001</v>
      </c>
      <c r="H59" s="48">
        <f t="shared" si="5"/>
        <v>541.24920316089526</v>
      </c>
      <c r="I59" s="4" t="s">
        <v>267</v>
      </c>
      <c r="J59" s="4">
        <v>90</v>
      </c>
      <c r="K59" s="4"/>
      <c r="L59" s="4"/>
      <c r="M59" s="4" t="s">
        <v>261</v>
      </c>
      <c r="N59" s="4"/>
      <c r="O59" s="4" t="s">
        <v>266</v>
      </c>
      <c r="P59" s="4"/>
      <c r="Q59" s="4" t="s">
        <v>407</v>
      </c>
      <c r="R59" s="4" t="s">
        <v>408</v>
      </c>
      <c r="S59" s="4"/>
      <c r="T59" s="4" t="s">
        <v>409</v>
      </c>
      <c r="U59" s="4" t="s">
        <v>410</v>
      </c>
      <c r="V59" s="4" t="s">
        <v>411</v>
      </c>
      <c r="W59" s="4" t="s">
        <v>412</v>
      </c>
      <c r="X59" s="4" t="s">
        <v>414</v>
      </c>
      <c r="Y59" s="4" t="s">
        <v>415</v>
      </c>
      <c r="Z59" s="4">
        <v>323</v>
      </c>
      <c r="AA59" s="4"/>
      <c r="AB59" s="4" t="s">
        <v>384</v>
      </c>
      <c r="AC59" s="4"/>
      <c r="AD59" s="4" t="s">
        <v>416</v>
      </c>
      <c r="AE59" s="4" t="s">
        <v>417</v>
      </c>
      <c r="AF59" s="4"/>
      <c r="AG59" s="4"/>
      <c r="AH59" s="4"/>
      <c r="AU59" s="22" t="e">
        <f t="shared" si="4"/>
        <v>#DIV/0!</v>
      </c>
      <c r="AV59" s="11" t="s">
        <v>166</v>
      </c>
      <c r="AW59" s="31">
        <v>96.280667973469704</v>
      </c>
      <c r="AX59" s="31">
        <v>0.39622159720901101</v>
      </c>
      <c r="AY59" s="11"/>
      <c r="AZ59" s="11"/>
      <c r="BA59" s="11"/>
      <c r="BB59" s="11">
        <v>75</v>
      </c>
      <c r="BK59" s="23" t="s">
        <v>163</v>
      </c>
      <c r="BL59" s="11" t="s">
        <v>422</v>
      </c>
    </row>
    <row r="60" spans="2:64" ht="15.6" x14ac:dyDescent="0.3">
      <c r="B60" s="11" t="s">
        <v>164</v>
      </c>
      <c r="C60" s="4" t="s">
        <v>187</v>
      </c>
      <c r="D60" s="4" t="s">
        <v>264</v>
      </c>
      <c r="E60" s="4"/>
      <c r="F60" s="55" t="s">
        <v>259</v>
      </c>
      <c r="G60" s="4">
        <v>166.28200000000001</v>
      </c>
      <c r="H60" s="48">
        <f t="shared" si="5"/>
        <v>541.24920316089526</v>
      </c>
      <c r="I60" s="4" t="s">
        <v>267</v>
      </c>
      <c r="J60" s="4">
        <v>90</v>
      </c>
      <c r="K60" s="4"/>
      <c r="L60" s="4"/>
      <c r="M60" s="4" t="s">
        <v>261</v>
      </c>
      <c r="N60" s="4"/>
      <c r="O60" s="4" t="s">
        <v>266</v>
      </c>
      <c r="P60" s="4"/>
      <c r="Q60" s="4" t="s">
        <v>407</v>
      </c>
      <c r="R60" s="4" t="s">
        <v>408</v>
      </c>
      <c r="S60" s="4"/>
      <c r="T60" s="4" t="s">
        <v>409</v>
      </c>
      <c r="U60" s="4" t="s">
        <v>410</v>
      </c>
      <c r="V60" s="4" t="s">
        <v>411</v>
      </c>
      <c r="W60" s="4" t="s">
        <v>412</v>
      </c>
      <c r="X60" s="4" t="s">
        <v>414</v>
      </c>
      <c r="Y60" s="4" t="s">
        <v>415</v>
      </c>
      <c r="Z60" s="4">
        <v>323</v>
      </c>
      <c r="AA60" s="4"/>
      <c r="AB60" s="4" t="s">
        <v>384</v>
      </c>
      <c r="AC60" s="4"/>
      <c r="AD60" s="4" t="s">
        <v>416</v>
      </c>
      <c r="AE60" s="4" t="s">
        <v>417</v>
      </c>
      <c r="AF60" s="4"/>
      <c r="AG60" s="4"/>
      <c r="AH60" s="4"/>
      <c r="AU60" s="22" t="e">
        <f t="shared" si="4"/>
        <v>#DIV/0!</v>
      </c>
      <c r="AV60" s="11" t="s">
        <v>166</v>
      </c>
      <c r="AW60" s="31">
        <v>92.699670254175402</v>
      </c>
      <c r="AX60" s="31">
        <v>0.600275358047756</v>
      </c>
      <c r="AY60" s="11"/>
      <c r="AZ60" s="11"/>
      <c r="BA60" s="11"/>
      <c r="BB60" s="11">
        <v>75</v>
      </c>
      <c r="BK60" s="23" t="s">
        <v>163</v>
      </c>
      <c r="BL60" s="11" t="s">
        <v>422</v>
      </c>
    </row>
    <row r="61" spans="2:64" ht="15.6" x14ac:dyDescent="0.3">
      <c r="B61" s="11" t="s">
        <v>164</v>
      </c>
      <c r="C61" s="4" t="s">
        <v>187</v>
      </c>
      <c r="D61" s="4" t="s">
        <v>264</v>
      </c>
      <c r="E61" s="4"/>
      <c r="F61" s="55" t="s">
        <v>259</v>
      </c>
      <c r="G61" s="4">
        <v>166.28200000000001</v>
      </c>
      <c r="H61" s="48">
        <f t="shared" si="5"/>
        <v>541.24920316089526</v>
      </c>
      <c r="I61" s="4" t="s">
        <v>267</v>
      </c>
      <c r="J61" s="4">
        <v>90</v>
      </c>
      <c r="K61" s="4"/>
      <c r="L61" s="4"/>
      <c r="M61" s="4" t="s">
        <v>261</v>
      </c>
      <c r="N61" s="4"/>
      <c r="O61" s="4" t="s">
        <v>266</v>
      </c>
      <c r="P61" s="4"/>
      <c r="Q61" s="4" t="s">
        <v>407</v>
      </c>
      <c r="R61" s="4" t="s">
        <v>408</v>
      </c>
      <c r="S61" s="4"/>
      <c r="T61" s="4" t="s">
        <v>409</v>
      </c>
      <c r="U61" s="4" t="s">
        <v>410</v>
      </c>
      <c r="V61" s="4" t="s">
        <v>411</v>
      </c>
      <c r="W61" s="4" t="s">
        <v>412</v>
      </c>
      <c r="X61" s="4" t="s">
        <v>414</v>
      </c>
      <c r="Y61" s="4" t="s">
        <v>415</v>
      </c>
      <c r="Z61" s="4">
        <v>323</v>
      </c>
      <c r="AA61" s="4"/>
      <c r="AB61" s="4" t="s">
        <v>384</v>
      </c>
      <c r="AC61" s="4"/>
      <c r="AD61" s="4" t="s">
        <v>416</v>
      </c>
      <c r="AE61" s="4" t="s">
        <v>417</v>
      </c>
      <c r="AF61" s="4"/>
      <c r="AG61" s="4"/>
      <c r="AH61" s="4"/>
      <c r="AU61" s="22" t="e">
        <f t="shared" si="4"/>
        <v>#DIV/0!</v>
      </c>
      <c r="AV61" s="11" t="s">
        <v>166</v>
      </c>
      <c r="AW61" s="31">
        <v>88.410135791198698</v>
      </c>
      <c r="AX61" s="31">
        <v>0.92027479136281998</v>
      </c>
      <c r="AY61" s="11"/>
      <c r="AZ61" s="11"/>
      <c r="BA61" s="11"/>
      <c r="BB61" s="11">
        <v>75</v>
      </c>
      <c r="BK61" s="23" t="s">
        <v>163</v>
      </c>
      <c r="BL61" s="11" t="s">
        <v>422</v>
      </c>
    </row>
    <row r="62" spans="2:64" ht="15.6" x14ac:dyDescent="0.3">
      <c r="B62" s="11" t="s">
        <v>164</v>
      </c>
      <c r="C62" s="4" t="s">
        <v>187</v>
      </c>
      <c r="D62" s="4" t="s">
        <v>264</v>
      </c>
      <c r="E62" s="4"/>
      <c r="F62" s="55" t="s">
        <v>259</v>
      </c>
      <c r="G62" s="4">
        <v>166.28200000000001</v>
      </c>
      <c r="H62" s="48">
        <f t="shared" si="5"/>
        <v>541.24920316089526</v>
      </c>
      <c r="I62" s="4" t="s">
        <v>267</v>
      </c>
      <c r="J62" s="4">
        <v>90</v>
      </c>
      <c r="K62" s="4"/>
      <c r="L62" s="4"/>
      <c r="M62" s="4" t="s">
        <v>261</v>
      </c>
      <c r="N62" s="4"/>
      <c r="O62" s="4" t="s">
        <v>266</v>
      </c>
      <c r="P62" s="4"/>
      <c r="Q62" s="4" t="s">
        <v>407</v>
      </c>
      <c r="R62" s="4" t="s">
        <v>408</v>
      </c>
      <c r="S62" s="4"/>
      <c r="T62" s="4" t="s">
        <v>409</v>
      </c>
      <c r="U62" s="4" t="s">
        <v>410</v>
      </c>
      <c r="V62" s="4" t="s">
        <v>411</v>
      </c>
      <c r="W62" s="4" t="s">
        <v>412</v>
      </c>
      <c r="X62" s="4" t="s">
        <v>414</v>
      </c>
      <c r="Y62" s="4" t="s">
        <v>415</v>
      </c>
      <c r="Z62" s="4">
        <v>323</v>
      </c>
      <c r="AA62" s="4"/>
      <c r="AB62" s="4" t="s">
        <v>384</v>
      </c>
      <c r="AC62" s="4"/>
      <c r="AD62" s="4" t="s">
        <v>416</v>
      </c>
      <c r="AE62" s="4" t="s">
        <v>417</v>
      </c>
      <c r="AF62" s="4"/>
      <c r="AG62" s="4"/>
      <c r="AH62" s="4"/>
      <c r="AU62" s="22" t="e">
        <f t="shared" si="4"/>
        <v>#DIV/0!</v>
      </c>
      <c r="AV62" s="11" t="s">
        <v>166</v>
      </c>
      <c r="AW62" s="31">
        <v>83.523887469950495</v>
      </c>
      <c r="AX62" s="31">
        <v>1.5149990870666801</v>
      </c>
      <c r="AY62" s="11"/>
      <c r="AZ62" s="11"/>
      <c r="BA62" s="11"/>
      <c r="BB62" s="11">
        <v>75</v>
      </c>
      <c r="BK62" s="23" t="s">
        <v>163</v>
      </c>
      <c r="BL62" s="11" t="s">
        <v>422</v>
      </c>
    </row>
    <row r="63" spans="2:64" ht="15.6" x14ac:dyDescent="0.3">
      <c r="B63" s="11" t="s">
        <v>164</v>
      </c>
      <c r="C63" s="4" t="s">
        <v>187</v>
      </c>
      <c r="D63" s="4" t="s">
        <v>264</v>
      </c>
      <c r="E63" s="4"/>
      <c r="F63" s="55" t="s">
        <v>259</v>
      </c>
      <c r="G63" s="4">
        <v>166.28200000000001</v>
      </c>
      <c r="H63" s="48">
        <f t="shared" si="5"/>
        <v>541.24920316089526</v>
      </c>
      <c r="I63" s="4" t="s">
        <v>267</v>
      </c>
      <c r="J63" s="4">
        <v>90</v>
      </c>
      <c r="K63" s="4"/>
      <c r="L63" s="4"/>
      <c r="M63" s="4" t="s">
        <v>261</v>
      </c>
      <c r="N63" s="4"/>
      <c r="O63" s="4" t="s">
        <v>266</v>
      </c>
      <c r="P63" s="4"/>
      <c r="Q63" s="4" t="s">
        <v>407</v>
      </c>
      <c r="R63" s="4" t="s">
        <v>408</v>
      </c>
      <c r="S63" s="4"/>
      <c r="T63" s="4" t="s">
        <v>409</v>
      </c>
      <c r="U63" s="4" t="s">
        <v>410</v>
      </c>
      <c r="V63" s="4" t="s">
        <v>411</v>
      </c>
      <c r="W63" s="4" t="s">
        <v>412</v>
      </c>
      <c r="X63" s="4" t="s">
        <v>414</v>
      </c>
      <c r="Y63" s="4" t="s">
        <v>415</v>
      </c>
      <c r="Z63" s="4">
        <v>323</v>
      </c>
      <c r="AA63" s="4"/>
      <c r="AB63" s="4" t="s">
        <v>384</v>
      </c>
      <c r="AC63" s="4"/>
      <c r="AD63" s="4" t="s">
        <v>416</v>
      </c>
      <c r="AE63" s="4" t="s">
        <v>417</v>
      </c>
      <c r="AF63" s="4"/>
      <c r="AG63" s="4"/>
      <c r="AH63" s="4"/>
      <c r="AU63" s="22" t="e">
        <f t="shared" si="4"/>
        <v>#DIV/0!</v>
      </c>
      <c r="AV63" s="11" t="s">
        <v>166</v>
      </c>
      <c r="AW63" s="31">
        <v>75.972853086008499</v>
      </c>
      <c r="AX63" s="31">
        <v>2.74248543580932</v>
      </c>
      <c r="AY63" s="11"/>
      <c r="AZ63" s="11"/>
      <c r="BA63" s="11"/>
      <c r="BB63" s="11">
        <v>75</v>
      </c>
      <c r="BK63" s="23" t="s">
        <v>163</v>
      </c>
      <c r="BL63" s="11" t="s">
        <v>422</v>
      </c>
    </row>
    <row r="64" spans="2:64" ht="15.6" x14ac:dyDescent="0.3">
      <c r="B64" s="11" t="s">
        <v>164</v>
      </c>
      <c r="C64" s="4" t="s">
        <v>187</v>
      </c>
      <c r="D64" s="4" t="s">
        <v>264</v>
      </c>
      <c r="E64" s="4"/>
      <c r="F64" s="55" t="s">
        <v>259</v>
      </c>
      <c r="G64" s="4">
        <v>166.28200000000001</v>
      </c>
      <c r="H64" s="48">
        <f t="shared" si="5"/>
        <v>541.24920316089526</v>
      </c>
      <c r="I64" s="4" t="s">
        <v>267</v>
      </c>
      <c r="J64" s="4">
        <v>90</v>
      </c>
      <c r="K64" s="4"/>
      <c r="L64" s="4"/>
      <c r="M64" s="4" t="s">
        <v>261</v>
      </c>
      <c r="N64" s="4"/>
      <c r="O64" s="4" t="s">
        <v>266</v>
      </c>
      <c r="P64" s="4"/>
      <c r="Q64" s="4" t="s">
        <v>407</v>
      </c>
      <c r="R64" s="4" t="s">
        <v>408</v>
      </c>
      <c r="S64" s="4"/>
      <c r="T64" s="4" t="s">
        <v>409</v>
      </c>
      <c r="U64" s="4" t="s">
        <v>410</v>
      </c>
      <c r="V64" s="4" t="s">
        <v>411</v>
      </c>
      <c r="W64" s="4" t="s">
        <v>412</v>
      </c>
      <c r="X64" s="4" t="s">
        <v>414</v>
      </c>
      <c r="Y64" s="4" t="s">
        <v>415</v>
      </c>
      <c r="Z64" s="4">
        <v>323</v>
      </c>
      <c r="AA64" s="4"/>
      <c r="AB64" s="4" t="s">
        <v>384</v>
      </c>
      <c r="AC64" s="4"/>
      <c r="AD64" s="4" t="s">
        <v>416</v>
      </c>
      <c r="AE64" s="4" t="s">
        <v>417</v>
      </c>
      <c r="AF64" s="4"/>
      <c r="AG64" s="4"/>
      <c r="AH64" s="4"/>
      <c r="AU64" s="22" t="e">
        <f t="shared" si="4"/>
        <v>#DIV/0!</v>
      </c>
      <c r="AV64" s="11" t="s">
        <v>166</v>
      </c>
      <c r="AW64" s="31">
        <v>67.807185788602695</v>
      </c>
      <c r="AX64" s="31">
        <v>5.33094404048662</v>
      </c>
      <c r="AY64" s="11"/>
      <c r="AZ64" s="11"/>
      <c r="BA64" s="11"/>
      <c r="BB64" s="11">
        <v>75</v>
      </c>
      <c r="BK64" s="23" t="s">
        <v>163</v>
      </c>
      <c r="BL64" s="11" t="s">
        <v>422</v>
      </c>
    </row>
    <row r="65" spans="2:64" ht="15.6" x14ac:dyDescent="0.3">
      <c r="B65" s="11" t="s">
        <v>164</v>
      </c>
      <c r="C65" s="4" t="s">
        <v>187</v>
      </c>
      <c r="D65" s="4" t="s">
        <v>264</v>
      </c>
      <c r="E65" s="4"/>
      <c r="F65" s="55" t="s">
        <v>259</v>
      </c>
      <c r="G65" s="4">
        <v>166.28200000000001</v>
      </c>
      <c r="H65" s="48">
        <f t="shared" si="5"/>
        <v>541.24920316089526</v>
      </c>
      <c r="I65" s="4" t="s">
        <v>267</v>
      </c>
      <c r="J65" s="4">
        <v>90</v>
      </c>
      <c r="K65" s="4"/>
      <c r="L65" s="4"/>
      <c r="M65" s="4" t="s">
        <v>261</v>
      </c>
      <c r="N65" s="4"/>
      <c r="O65" s="4" t="s">
        <v>266</v>
      </c>
      <c r="P65" s="4"/>
      <c r="Q65" s="4" t="s">
        <v>407</v>
      </c>
      <c r="R65" s="4" t="s">
        <v>408</v>
      </c>
      <c r="S65" s="4"/>
      <c r="T65" s="4" t="s">
        <v>409</v>
      </c>
      <c r="U65" s="4" t="s">
        <v>410</v>
      </c>
      <c r="V65" s="4" t="s">
        <v>411</v>
      </c>
      <c r="W65" s="4" t="s">
        <v>412</v>
      </c>
      <c r="X65" s="4" t="s">
        <v>414</v>
      </c>
      <c r="Y65" s="4" t="s">
        <v>415</v>
      </c>
      <c r="Z65" s="4">
        <v>323</v>
      </c>
      <c r="AA65" s="4"/>
      <c r="AB65" s="4" t="s">
        <v>384</v>
      </c>
      <c r="AC65" s="4"/>
      <c r="AD65" s="4" t="s">
        <v>416</v>
      </c>
      <c r="AE65" s="4" t="s">
        <v>417</v>
      </c>
      <c r="AF65" s="4"/>
      <c r="AG65" s="4"/>
      <c r="AH65" s="4"/>
      <c r="AU65" s="22" t="e">
        <f t="shared" si="4"/>
        <v>#DIV/0!</v>
      </c>
      <c r="AV65" s="11" t="s">
        <v>166</v>
      </c>
      <c r="AW65" s="31">
        <v>56.101076317222699</v>
      </c>
      <c r="AX65" s="31">
        <v>11.9486705705765</v>
      </c>
      <c r="AY65" s="11"/>
      <c r="AZ65" s="11"/>
      <c r="BA65" s="11"/>
      <c r="BB65" s="11">
        <v>75</v>
      </c>
      <c r="BK65" s="23" t="s">
        <v>163</v>
      </c>
      <c r="BL65" s="11" t="s">
        <v>422</v>
      </c>
    </row>
    <row r="66" spans="2:64" ht="15.6" x14ac:dyDescent="0.3">
      <c r="B66" s="11" t="s">
        <v>164</v>
      </c>
      <c r="C66" s="4" t="s">
        <v>187</v>
      </c>
      <c r="D66" s="4" t="s">
        <v>264</v>
      </c>
      <c r="E66" s="4"/>
      <c r="F66" s="55" t="s">
        <v>259</v>
      </c>
      <c r="G66" s="4">
        <v>166.28200000000001</v>
      </c>
      <c r="H66" s="48">
        <f t="shared" si="5"/>
        <v>541.24920316089526</v>
      </c>
      <c r="I66" s="4" t="s">
        <v>267</v>
      </c>
      <c r="J66" s="4">
        <v>90</v>
      </c>
      <c r="K66" s="4"/>
      <c r="L66" s="4"/>
      <c r="M66" s="4" t="s">
        <v>261</v>
      </c>
      <c r="N66" s="4"/>
      <c r="O66" s="4" t="s">
        <v>266</v>
      </c>
      <c r="P66" s="4"/>
      <c r="Q66" s="4" t="s">
        <v>407</v>
      </c>
      <c r="R66" s="4" t="s">
        <v>408</v>
      </c>
      <c r="S66" s="4"/>
      <c r="T66" s="4" t="s">
        <v>409</v>
      </c>
      <c r="U66" s="4" t="s">
        <v>410</v>
      </c>
      <c r="V66" s="4" t="s">
        <v>411</v>
      </c>
      <c r="W66" s="4" t="s">
        <v>412</v>
      </c>
      <c r="X66" s="4" t="s">
        <v>414</v>
      </c>
      <c r="Y66" s="4" t="s">
        <v>415</v>
      </c>
      <c r="Z66" s="4">
        <v>323</v>
      </c>
      <c r="AA66" s="4"/>
      <c r="AB66" s="4" t="s">
        <v>384</v>
      </c>
      <c r="AC66" s="4"/>
      <c r="AD66" s="4" t="s">
        <v>416</v>
      </c>
      <c r="AE66" s="4" t="s">
        <v>417</v>
      </c>
      <c r="AF66" s="4"/>
      <c r="AG66" s="4"/>
      <c r="AH66" s="4"/>
      <c r="AU66" s="22" t="e">
        <f t="shared" si="4"/>
        <v>#DIV/0!</v>
      </c>
      <c r="AV66" s="11" t="s">
        <v>166</v>
      </c>
      <c r="AW66" s="31">
        <v>38.7683543420452</v>
      </c>
      <c r="AX66" s="31">
        <v>31.6227766016838</v>
      </c>
      <c r="AY66" s="11"/>
      <c r="AZ66" s="11"/>
      <c r="BA66" s="11"/>
      <c r="BB66" s="11">
        <v>75</v>
      </c>
      <c r="BK66" s="23" t="s">
        <v>163</v>
      </c>
      <c r="BL66" s="11" t="s">
        <v>422</v>
      </c>
    </row>
    <row r="67" spans="2:64" ht="15.6" x14ac:dyDescent="0.3">
      <c r="B67" s="11" t="s">
        <v>164</v>
      </c>
      <c r="C67" s="4" t="s">
        <v>187</v>
      </c>
      <c r="D67" s="4" t="s">
        <v>264</v>
      </c>
      <c r="E67" s="4"/>
      <c r="F67" s="55" t="s">
        <v>259</v>
      </c>
      <c r="G67" s="4">
        <v>166.28200000000001</v>
      </c>
      <c r="H67" s="48">
        <f t="shared" si="5"/>
        <v>541.24920316089526</v>
      </c>
      <c r="I67" s="4" t="s">
        <v>267</v>
      </c>
      <c r="J67" s="4">
        <v>90</v>
      </c>
      <c r="K67" s="4"/>
      <c r="L67" s="4"/>
      <c r="M67" s="4" t="s">
        <v>261</v>
      </c>
      <c r="N67" s="4"/>
      <c r="O67" s="4" t="s">
        <v>266</v>
      </c>
      <c r="P67" s="4"/>
      <c r="Q67" s="4" t="s">
        <v>407</v>
      </c>
      <c r="R67" s="4" t="s">
        <v>408</v>
      </c>
      <c r="S67" s="4"/>
      <c r="T67" s="4" t="s">
        <v>409</v>
      </c>
      <c r="U67" s="4" t="s">
        <v>410</v>
      </c>
      <c r="V67" s="4" t="s">
        <v>411</v>
      </c>
      <c r="W67" s="4" t="s">
        <v>412</v>
      </c>
      <c r="X67" s="4" t="s">
        <v>414</v>
      </c>
      <c r="Y67" s="4" t="s">
        <v>415</v>
      </c>
      <c r="Z67" s="4">
        <v>323</v>
      </c>
      <c r="AA67" s="4"/>
      <c r="AB67" s="4" t="s">
        <v>384</v>
      </c>
      <c r="AC67" s="4"/>
      <c r="AD67" s="4" t="s">
        <v>416</v>
      </c>
      <c r="AE67" s="4" t="s">
        <v>417</v>
      </c>
      <c r="AF67" s="4"/>
      <c r="AG67" s="4"/>
      <c r="AH67" s="4"/>
      <c r="AU67" s="22" t="e">
        <f t="shared" si="4"/>
        <v>#DIV/0!</v>
      </c>
      <c r="AV67" s="11" t="s">
        <v>166</v>
      </c>
      <c r="AW67" s="31">
        <v>22.1655755346655</v>
      </c>
      <c r="AX67" s="31">
        <v>46.784618539059998</v>
      </c>
      <c r="AY67" s="11"/>
      <c r="AZ67" s="11"/>
      <c r="BA67" s="11"/>
      <c r="BB67" s="11">
        <v>75</v>
      </c>
      <c r="BK67" s="23" t="s">
        <v>163</v>
      </c>
      <c r="BL67" s="11" t="s">
        <v>422</v>
      </c>
    </row>
    <row r="68" spans="2:64" ht="177.6" customHeight="1" x14ac:dyDescent="0.3">
      <c r="B68" s="11" t="s">
        <v>168</v>
      </c>
      <c r="C68" s="4" t="s">
        <v>169</v>
      </c>
      <c r="D68" s="4" t="s">
        <v>265</v>
      </c>
      <c r="E68" s="4" t="e" vm="4">
        <v>#VALUE!</v>
      </c>
      <c r="F68" s="55" t="s">
        <v>262</v>
      </c>
      <c r="G68" s="4">
        <v>1023.654</v>
      </c>
      <c r="H68" s="48">
        <f t="shared" si="5"/>
        <v>167.14632092484374</v>
      </c>
      <c r="I68" s="4" t="s">
        <v>263</v>
      </c>
      <c r="J68" s="4">
        <v>171.1</v>
      </c>
      <c r="K68" s="4">
        <v>2.4500000000000002</v>
      </c>
      <c r="L68" s="4">
        <f>J68/K68</f>
        <v>69.836734693877546</v>
      </c>
      <c r="M68" s="4" t="s">
        <v>261</v>
      </c>
      <c r="N68" s="4"/>
      <c r="O68" s="4" t="s">
        <v>266</v>
      </c>
      <c r="P68" s="4"/>
      <c r="Q68" s="4" t="s">
        <v>407</v>
      </c>
      <c r="R68" s="4" t="s">
        <v>408</v>
      </c>
      <c r="S68" s="4"/>
      <c r="T68" s="4" t="s">
        <v>409</v>
      </c>
      <c r="U68" s="4" t="s">
        <v>410</v>
      </c>
      <c r="V68" s="4" t="s">
        <v>411</v>
      </c>
      <c r="W68" s="4" t="s">
        <v>413</v>
      </c>
      <c r="X68" s="4" t="s">
        <v>414</v>
      </c>
      <c r="Y68" s="4" t="s">
        <v>415</v>
      </c>
      <c r="Z68" s="4">
        <v>318</v>
      </c>
      <c r="AA68" s="4"/>
      <c r="AB68" s="4" t="s">
        <v>384</v>
      </c>
      <c r="AC68" s="4"/>
      <c r="AD68" s="4" t="s">
        <v>416</v>
      </c>
      <c r="AE68" s="4" t="s">
        <v>417</v>
      </c>
      <c r="AF68" s="4"/>
      <c r="AG68" s="4"/>
      <c r="AH68" s="4"/>
      <c r="AU68" s="22" t="e">
        <f t="shared" si="4"/>
        <v>#DIV/0!</v>
      </c>
      <c r="AV68" s="11" t="s">
        <v>166</v>
      </c>
      <c r="AW68" s="31">
        <v>442.680645941276</v>
      </c>
      <c r="AX68" s="31">
        <v>8.0763753545408205E-3</v>
      </c>
      <c r="AY68" s="11"/>
      <c r="AZ68" s="11"/>
      <c r="BA68" s="11"/>
      <c r="BB68" s="11">
        <v>25</v>
      </c>
      <c r="BK68" s="23" t="s">
        <v>163</v>
      </c>
      <c r="BL68" s="11" t="s">
        <v>422</v>
      </c>
    </row>
    <row r="69" spans="2:64" ht="15.6" x14ac:dyDescent="0.3">
      <c r="B69" s="11" t="s">
        <v>168</v>
      </c>
      <c r="C69" s="4" t="s">
        <v>169</v>
      </c>
      <c r="D69" s="4" t="s">
        <v>265</v>
      </c>
      <c r="E69" s="4"/>
      <c r="F69" s="55" t="s">
        <v>262</v>
      </c>
      <c r="G69" s="4">
        <v>1023.654</v>
      </c>
      <c r="H69" s="48">
        <f t="shared" si="5"/>
        <v>167.14632092484374</v>
      </c>
      <c r="I69" s="4" t="s">
        <v>267</v>
      </c>
      <c r="J69" s="4">
        <v>171.1</v>
      </c>
      <c r="K69" s="4">
        <v>2.4500000000000002</v>
      </c>
      <c r="L69" s="4">
        <f t="shared" ref="L69:L132" si="6">J69/K69</f>
        <v>69.836734693877546</v>
      </c>
      <c r="M69" s="4" t="s">
        <v>261</v>
      </c>
      <c r="N69" s="4"/>
      <c r="O69" s="4" t="s">
        <v>266</v>
      </c>
      <c r="P69" s="4"/>
      <c r="Q69" s="4" t="s">
        <v>407</v>
      </c>
      <c r="R69" s="4" t="s">
        <v>408</v>
      </c>
      <c r="S69" s="4"/>
      <c r="T69" s="4" t="s">
        <v>409</v>
      </c>
      <c r="U69" s="4" t="s">
        <v>410</v>
      </c>
      <c r="V69" s="4" t="s">
        <v>411</v>
      </c>
      <c r="W69" s="4" t="s">
        <v>413</v>
      </c>
      <c r="X69" s="4" t="s">
        <v>414</v>
      </c>
      <c r="Y69" s="4" t="s">
        <v>415</v>
      </c>
      <c r="Z69" s="4">
        <v>318</v>
      </c>
      <c r="AA69" s="4"/>
      <c r="AB69" s="4" t="s">
        <v>384</v>
      </c>
      <c r="AC69" s="4"/>
      <c r="AD69" s="4" t="s">
        <v>416</v>
      </c>
      <c r="AE69" s="4" t="s">
        <v>417</v>
      </c>
      <c r="AF69" s="4"/>
      <c r="AG69" s="4"/>
      <c r="AH69" s="4"/>
      <c r="AU69" s="22" t="e">
        <f t="shared" si="4"/>
        <v>#DIV/0!</v>
      </c>
      <c r="AV69" s="11" t="s">
        <v>166</v>
      </c>
      <c r="AW69" s="31">
        <v>418.21458734152299</v>
      </c>
      <c r="AX69" s="31">
        <v>9.8820116335496099E-3</v>
      </c>
      <c r="AY69" s="11"/>
      <c r="AZ69" s="11"/>
      <c r="BA69" s="11"/>
      <c r="BB69" s="11">
        <v>25</v>
      </c>
      <c r="BK69" s="23" t="s">
        <v>163</v>
      </c>
      <c r="BL69" s="11" t="s">
        <v>422</v>
      </c>
    </row>
    <row r="70" spans="2:64" ht="15.6" x14ac:dyDescent="0.3">
      <c r="B70" s="11" t="s">
        <v>168</v>
      </c>
      <c r="C70" s="4" t="s">
        <v>169</v>
      </c>
      <c r="D70" s="4" t="s">
        <v>265</v>
      </c>
      <c r="E70" s="4"/>
      <c r="F70" s="55" t="s">
        <v>262</v>
      </c>
      <c r="G70" s="4">
        <v>1023.654</v>
      </c>
      <c r="H70" s="48">
        <f t="shared" si="5"/>
        <v>167.14632092484374</v>
      </c>
      <c r="I70" s="4" t="s">
        <v>267</v>
      </c>
      <c r="J70" s="4">
        <v>171.1</v>
      </c>
      <c r="K70" s="4">
        <v>2.4500000000000002</v>
      </c>
      <c r="L70" s="4">
        <f t="shared" si="6"/>
        <v>69.836734693877546</v>
      </c>
      <c r="M70" s="4" t="s">
        <v>261</v>
      </c>
      <c r="N70" s="4"/>
      <c r="O70" s="4" t="s">
        <v>266</v>
      </c>
      <c r="P70" s="4"/>
      <c r="Q70" s="4" t="s">
        <v>407</v>
      </c>
      <c r="R70" s="4" t="s">
        <v>408</v>
      </c>
      <c r="S70" s="4"/>
      <c r="T70" s="4" t="s">
        <v>409</v>
      </c>
      <c r="U70" s="4" t="s">
        <v>410</v>
      </c>
      <c r="V70" s="4" t="s">
        <v>411</v>
      </c>
      <c r="W70" s="4" t="s">
        <v>413</v>
      </c>
      <c r="X70" s="4" t="s">
        <v>414</v>
      </c>
      <c r="Y70" s="4" t="s">
        <v>415</v>
      </c>
      <c r="Z70" s="4">
        <v>318</v>
      </c>
      <c r="AA70" s="4"/>
      <c r="AB70" s="4" t="s">
        <v>384</v>
      </c>
      <c r="AC70" s="4"/>
      <c r="AD70" s="4" t="s">
        <v>416</v>
      </c>
      <c r="AE70" s="4" t="s">
        <v>417</v>
      </c>
      <c r="AF70" s="4"/>
      <c r="AG70" s="4"/>
      <c r="AH70" s="4"/>
      <c r="AU70" s="22" t="e">
        <f t="shared" si="4"/>
        <v>#DIV/0!</v>
      </c>
      <c r="AV70" s="11" t="s">
        <v>166</v>
      </c>
      <c r="AW70" s="31">
        <v>402.65979825490803</v>
      </c>
      <c r="AX70" s="31">
        <v>1.2529627053302799E-2</v>
      </c>
      <c r="AY70" s="11"/>
      <c r="AZ70" s="11"/>
      <c r="BA70" s="11"/>
      <c r="BB70" s="11">
        <v>25</v>
      </c>
      <c r="BK70" s="23" t="s">
        <v>163</v>
      </c>
      <c r="BL70" s="11" t="s">
        <v>422</v>
      </c>
    </row>
    <row r="71" spans="2:64" ht="15.6" x14ac:dyDescent="0.3">
      <c r="B71" s="11" t="s">
        <v>168</v>
      </c>
      <c r="C71" s="4" t="s">
        <v>169</v>
      </c>
      <c r="D71" s="4" t="s">
        <v>265</v>
      </c>
      <c r="E71" s="4"/>
      <c r="F71" s="55" t="s">
        <v>262</v>
      </c>
      <c r="G71" s="4">
        <v>1023.654</v>
      </c>
      <c r="H71" s="48">
        <f t="shared" si="5"/>
        <v>167.14632092484374</v>
      </c>
      <c r="I71" s="4" t="s">
        <v>267</v>
      </c>
      <c r="J71" s="4">
        <v>171.1</v>
      </c>
      <c r="K71" s="4">
        <v>2.4500000000000002</v>
      </c>
      <c r="L71" s="4">
        <f t="shared" si="6"/>
        <v>69.836734693877546</v>
      </c>
      <c r="M71" s="4" t="s">
        <v>261</v>
      </c>
      <c r="N71" s="4"/>
      <c r="O71" s="4" t="s">
        <v>266</v>
      </c>
      <c r="P71" s="4"/>
      <c r="Q71" s="4" t="s">
        <v>407</v>
      </c>
      <c r="R71" s="4" t="s">
        <v>408</v>
      </c>
      <c r="S71" s="4"/>
      <c r="T71" s="4" t="s">
        <v>409</v>
      </c>
      <c r="U71" s="4" t="s">
        <v>410</v>
      </c>
      <c r="V71" s="4" t="s">
        <v>411</v>
      </c>
      <c r="W71" s="4" t="s">
        <v>413</v>
      </c>
      <c r="X71" s="4" t="s">
        <v>414</v>
      </c>
      <c r="Y71" s="4" t="s">
        <v>415</v>
      </c>
      <c r="Z71" s="4">
        <v>318</v>
      </c>
      <c r="AA71" s="4"/>
      <c r="AB71" s="4" t="s">
        <v>384</v>
      </c>
      <c r="AC71" s="4"/>
      <c r="AD71" s="4" t="s">
        <v>416</v>
      </c>
      <c r="AE71" s="4" t="s">
        <v>417</v>
      </c>
      <c r="AF71" s="4"/>
      <c r="AG71" s="4"/>
      <c r="AH71" s="4"/>
      <c r="AU71" s="22" t="e">
        <f t="shared" si="4"/>
        <v>#DIV/0!</v>
      </c>
      <c r="AV71" s="11" t="s">
        <v>166</v>
      </c>
      <c r="AW71" s="31">
        <v>384.02733627598502</v>
      </c>
      <c r="AX71" s="31">
        <v>1.5699155409485899E-2</v>
      </c>
      <c r="AY71" s="11"/>
      <c r="AZ71" s="11"/>
      <c r="BA71" s="11"/>
      <c r="BB71" s="11">
        <v>25</v>
      </c>
      <c r="BK71" s="23" t="s">
        <v>163</v>
      </c>
      <c r="BL71" s="11" t="s">
        <v>422</v>
      </c>
    </row>
    <row r="72" spans="2:64" ht="15.6" x14ac:dyDescent="0.3">
      <c r="B72" s="11" t="s">
        <v>168</v>
      </c>
      <c r="C72" s="4" t="s">
        <v>169</v>
      </c>
      <c r="D72" s="4" t="s">
        <v>265</v>
      </c>
      <c r="E72" s="4"/>
      <c r="F72" s="55" t="s">
        <v>262</v>
      </c>
      <c r="G72" s="4">
        <v>1023.654</v>
      </c>
      <c r="H72" s="48">
        <f t="shared" si="5"/>
        <v>167.14632092484374</v>
      </c>
      <c r="I72" s="4" t="s">
        <v>267</v>
      </c>
      <c r="J72" s="4">
        <v>171.1</v>
      </c>
      <c r="K72" s="4">
        <v>2.4500000000000002</v>
      </c>
      <c r="L72" s="4">
        <f t="shared" si="6"/>
        <v>69.836734693877546</v>
      </c>
      <c r="M72" s="4" t="s">
        <v>261</v>
      </c>
      <c r="N72" s="4"/>
      <c r="O72" s="4" t="s">
        <v>266</v>
      </c>
      <c r="P72" s="4"/>
      <c r="Q72" s="4" t="s">
        <v>407</v>
      </c>
      <c r="R72" s="4" t="s">
        <v>408</v>
      </c>
      <c r="S72" s="4"/>
      <c r="T72" s="4" t="s">
        <v>409</v>
      </c>
      <c r="U72" s="4" t="s">
        <v>410</v>
      </c>
      <c r="V72" s="4" t="s">
        <v>411</v>
      </c>
      <c r="W72" s="4" t="s">
        <v>413</v>
      </c>
      <c r="X72" s="4" t="s">
        <v>414</v>
      </c>
      <c r="Y72" s="4" t="s">
        <v>415</v>
      </c>
      <c r="Z72" s="4">
        <v>318</v>
      </c>
      <c r="AA72" s="4"/>
      <c r="AB72" s="4" t="s">
        <v>384</v>
      </c>
      <c r="AC72" s="4"/>
      <c r="AD72" s="4" t="s">
        <v>416</v>
      </c>
      <c r="AE72" s="4" t="s">
        <v>417</v>
      </c>
      <c r="AF72" s="4"/>
      <c r="AG72" s="4"/>
      <c r="AH72" s="4"/>
      <c r="AU72" s="22" t="e">
        <f t="shared" si="4"/>
        <v>#DIV/0!</v>
      </c>
      <c r="AV72" s="11" t="s">
        <v>166</v>
      </c>
      <c r="AW72" s="31">
        <v>359.381366380462</v>
      </c>
      <c r="AX72" s="31">
        <v>2.0873132447169401E-2</v>
      </c>
      <c r="AY72" s="11"/>
      <c r="AZ72" s="11"/>
      <c r="BA72" s="11"/>
      <c r="BB72" s="11">
        <v>25</v>
      </c>
      <c r="BK72" s="23" t="s">
        <v>163</v>
      </c>
      <c r="BL72" s="11" t="s">
        <v>422</v>
      </c>
    </row>
    <row r="73" spans="2:64" ht="15.6" x14ac:dyDescent="0.3">
      <c r="B73" s="11" t="s">
        <v>168</v>
      </c>
      <c r="C73" s="4" t="s">
        <v>169</v>
      </c>
      <c r="D73" s="4" t="s">
        <v>265</v>
      </c>
      <c r="E73" s="4"/>
      <c r="F73" s="55" t="s">
        <v>262</v>
      </c>
      <c r="G73" s="4">
        <v>1023.654</v>
      </c>
      <c r="H73" s="48">
        <f t="shared" si="5"/>
        <v>167.14632092484374</v>
      </c>
      <c r="I73" s="4" t="s">
        <v>267</v>
      </c>
      <c r="J73" s="4">
        <v>171.1</v>
      </c>
      <c r="K73" s="4">
        <v>2.4500000000000002</v>
      </c>
      <c r="L73" s="4">
        <f t="shared" si="6"/>
        <v>69.836734693877546</v>
      </c>
      <c r="M73" s="4" t="s">
        <v>261</v>
      </c>
      <c r="N73" s="4"/>
      <c r="O73" s="4" t="s">
        <v>266</v>
      </c>
      <c r="P73" s="4"/>
      <c r="Q73" s="4" t="s">
        <v>407</v>
      </c>
      <c r="R73" s="4" t="s">
        <v>408</v>
      </c>
      <c r="S73" s="4"/>
      <c r="T73" s="4" t="s">
        <v>409</v>
      </c>
      <c r="U73" s="4" t="s">
        <v>410</v>
      </c>
      <c r="V73" s="4" t="s">
        <v>411</v>
      </c>
      <c r="W73" s="4" t="s">
        <v>413</v>
      </c>
      <c r="X73" s="4" t="s">
        <v>414</v>
      </c>
      <c r="Y73" s="4" t="s">
        <v>415</v>
      </c>
      <c r="Z73" s="4">
        <v>318</v>
      </c>
      <c r="AA73" s="4"/>
      <c r="AB73" s="4" t="s">
        <v>384</v>
      </c>
      <c r="AC73" s="4"/>
      <c r="AD73" s="4" t="s">
        <v>416</v>
      </c>
      <c r="AE73" s="4" t="s">
        <v>417</v>
      </c>
      <c r="AF73" s="4"/>
      <c r="AG73" s="4"/>
      <c r="AH73" s="4"/>
      <c r="AU73" s="22" t="e">
        <f t="shared" si="4"/>
        <v>#DIV/0!</v>
      </c>
      <c r="AV73" s="11" t="s">
        <v>166</v>
      </c>
      <c r="AW73" s="31">
        <v>339.51908947692101</v>
      </c>
      <c r="AX73" s="31">
        <v>2.80836536446618E-2</v>
      </c>
      <c r="AY73" s="11"/>
      <c r="AZ73" s="11"/>
      <c r="BA73" s="11"/>
      <c r="BB73" s="11">
        <v>25</v>
      </c>
      <c r="BK73" s="23" t="s">
        <v>163</v>
      </c>
      <c r="BL73" s="11" t="s">
        <v>422</v>
      </c>
    </row>
    <row r="74" spans="2:64" ht="15.6" x14ac:dyDescent="0.3">
      <c r="B74" s="11" t="s">
        <v>168</v>
      </c>
      <c r="C74" s="4" t="s">
        <v>169</v>
      </c>
      <c r="D74" s="4" t="s">
        <v>265</v>
      </c>
      <c r="E74" s="4"/>
      <c r="F74" s="55" t="s">
        <v>262</v>
      </c>
      <c r="G74" s="4">
        <v>1023.654</v>
      </c>
      <c r="H74" s="48">
        <f t="shared" si="5"/>
        <v>167.14632092484374</v>
      </c>
      <c r="I74" s="4" t="s">
        <v>267</v>
      </c>
      <c r="J74" s="4">
        <v>171.1</v>
      </c>
      <c r="K74" s="4">
        <v>2.4500000000000002</v>
      </c>
      <c r="L74" s="4">
        <f t="shared" si="6"/>
        <v>69.836734693877546</v>
      </c>
      <c r="M74" s="4" t="s">
        <v>261</v>
      </c>
      <c r="N74" s="4"/>
      <c r="O74" s="4" t="s">
        <v>266</v>
      </c>
      <c r="P74" s="4"/>
      <c r="Q74" s="4" t="s">
        <v>407</v>
      </c>
      <c r="R74" s="4" t="s">
        <v>408</v>
      </c>
      <c r="S74" s="4"/>
      <c r="T74" s="4" t="s">
        <v>409</v>
      </c>
      <c r="U74" s="4" t="s">
        <v>410</v>
      </c>
      <c r="V74" s="4" t="s">
        <v>411</v>
      </c>
      <c r="W74" s="4" t="s">
        <v>413</v>
      </c>
      <c r="X74" s="4" t="s">
        <v>414</v>
      </c>
      <c r="Y74" s="4" t="s">
        <v>415</v>
      </c>
      <c r="Z74" s="4">
        <v>318</v>
      </c>
      <c r="AA74" s="4"/>
      <c r="AB74" s="4" t="s">
        <v>384</v>
      </c>
      <c r="AC74" s="4"/>
      <c r="AD74" s="4" t="s">
        <v>416</v>
      </c>
      <c r="AE74" s="4" t="s">
        <v>417</v>
      </c>
      <c r="AF74" s="4"/>
      <c r="AG74" s="4"/>
      <c r="AH74" s="4"/>
      <c r="AU74" s="22" t="e">
        <f t="shared" si="4"/>
        <v>#DIV/0!</v>
      </c>
      <c r="AV74" s="11" t="s">
        <v>166</v>
      </c>
      <c r="AW74" s="31">
        <v>320.75456020500201</v>
      </c>
      <c r="AX74" s="31">
        <v>4.0095236870985998E-2</v>
      </c>
      <c r="AY74" s="11"/>
      <c r="AZ74" s="11"/>
      <c r="BA74" s="11"/>
      <c r="BB74" s="11">
        <v>25</v>
      </c>
      <c r="BK74" s="23" t="s">
        <v>163</v>
      </c>
      <c r="BL74" s="11" t="s">
        <v>422</v>
      </c>
    </row>
    <row r="75" spans="2:64" ht="15.6" x14ac:dyDescent="0.3">
      <c r="B75" s="11" t="s">
        <v>168</v>
      </c>
      <c r="C75" s="4" t="s">
        <v>169</v>
      </c>
      <c r="D75" s="4" t="s">
        <v>265</v>
      </c>
      <c r="E75" s="4"/>
      <c r="F75" s="55" t="s">
        <v>262</v>
      </c>
      <c r="G75" s="4">
        <v>1023.654</v>
      </c>
      <c r="H75" s="48">
        <f t="shared" si="5"/>
        <v>167.14632092484374</v>
      </c>
      <c r="I75" s="4" t="s">
        <v>267</v>
      </c>
      <c r="J75" s="4">
        <v>171.1</v>
      </c>
      <c r="K75" s="4">
        <v>2.4500000000000002</v>
      </c>
      <c r="L75" s="4">
        <f t="shared" si="6"/>
        <v>69.836734693877546</v>
      </c>
      <c r="M75" s="4" t="s">
        <v>261</v>
      </c>
      <c r="N75" s="4"/>
      <c r="O75" s="4" t="s">
        <v>266</v>
      </c>
      <c r="P75" s="4"/>
      <c r="Q75" s="4" t="s">
        <v>407</v>
      </c>
      <c r="R75" s="4" t="s">
        <v>408</v>
      </c>
      <c r="S75" s="4"/>
      <c r="T75" s="4" t="s">
        <v>409</v>
      </c>
      <c r="U75" s="4" t="s">
        <v>410</v>
      </c>
      <c r="V75" s="4" t="s">
        <v>411</v>
      </c>
      <c r="W75" s="4" t="s">
        <v>413</v>
      </c>
      <c r="X75" s="4" t="s">
        <v>414</v>
      </c>
      <c r="Y75" s="4" t="s">
        <v>415</v>
      </c>
      <c r="Z75" s="4">
        <v>318</v>
      </c>
      <c r="AA75" s="4"/>
      <c r="AB75" s="4" t="s">
        <v>384</v>
      </c>
      <c r="AC75" s="4"/>
      <c r="AD75" s="4" t="s">
        <v>416</v>
      </c>
      <c r="AE75" s="4" t="s">
        <v>417</v>
      </c>
      <c r="AF75" s="4"/>
      <c r="AG75" s="4"/>
      <c r="AH75" s="4"/>
      <c r="AU75" s="22" t="e">
        <f t="shared" si="4"/>
        <v>#DIV/0!</v>
      </c>
      <c r="AV75" s="11" t="s">
        <v>166</v>
      </c>
      <c r="AW75" s="31">
        <v>305.91213696462</v>
      </c>
      <c r="AX75" s="31">
        <v>5.3309440404866099E-2</v>
      </c>
      <c r="AY75" s="11"/>
      <c r="AZ75" s="11"/>
      <c r="BA75" s="11"/>
      <c r="BB75" s="11">
        <v>25</v>
      </c>
      <c r="BK75" s="23" t="s">
        <v>163</v>
      </c>
      <c r="BL75" s="11" t="s">
        <v>422</v>
      </c>
    </row>
    <row r="76" spans="2:64" ht="15.6" x14ac:dyDescent="0.3">
      <c r="B76" s="11" t="s">
        <v>168</v>
      </c>
      <c r="C76" s="4" t="s">
        <v>169</v>
      </c>
      <c r="D76" s="4" t="s">
        <v>265</v>
      </c>
      <c r="E76" s="4"/>
      <c r="F76" s="55" t="s">
        <v>262</v>
      </c>
      <c r="G76" s="4">
        <v>1023.654</v>
      </c>
      <c r="H76" s="48">
        <f t="shared" si="5"/>
        <v>167.14632092484374</v>
      </c>
      <c r="I76" s="4" t="s">
        <v>267</v>
      </c>
      <c r="J76" s="4">
        <v>171.1</v>
      </c>
      <c r="K76" s="4">
        <v>2.4500000000000002</v>
      </c>
      <c r="L76" s="4">
        <f t="shared" si="6"/>
        <v>69.836734693877546</v>
      </c>
      <c r="M76" s="4" t="s">
        <v>261</v>
      </c>
      <c r="N76" s="4"/>
      <c r="O76" s="4" t="s">
        <v>266</v>
      </c>
      <c r="P76" s="4"/>
      <c r="Q76" s="4" t="s">
        <v>407</v>
      </c>
      <c r="R76" s="4" t="s">
        <v>408</v>
      </c>
      <c r="S76" s="4"/>
      <c r="T76" s="4" t="s">
        <v>409</v>
      </c>
      <c r="U76" s="4" t="s">
        <v>410</v>
      </c>
      <c r="V76" s="4" t="s">
        <v>411</v>
      </c>
      <c r="W76" s="4" t="s">
        <v>413</v>
      </c>
      <c r="X76" s="4" t="s">
        <v>414</v>
      </c>
      <c r="Y76" s="4" t="s">
        <v>415</v>
      </c>
      <c r="Z76" s="4">
        <v>318</v>
      </c>
      <c r="AA76" s="4"/>
      <c r="AB76" s="4" t="s">
        <v>384</v>
      </c>
      <c r="AC76" s="4"/>
      <c r="AD76" s="4" t="s">
        <v>416</v>
      </c>
      <c r="AE76" s="4" t="s">
        <v>417</v>
      </c>
      <c r="AF76" s="4"/>
      <c r="AG76" s="4"/>
      <c r="AH76" s="4"/>
      <c r="AU76" s="22" t="e">
        <f t="shared" si="4"/>
        <v>#DIV/0!</v>
      </c>
      <c r="AV76" s="11" t="s">
        <v>166</v>
      </c>
      <c r="AW76" s="31">
        <v>289.004995579575</v>
      </c>
      <c r="AX76" s="31">
        <v>7.1724925049475502E-2</v>
      </c>
      <c r="AY76" s="11"/>
      <c r="AZ76" s="11"/>
      <c r="BA76" s="11"/>
      <c r="BB76" s="11">
        <v>25</v>
      </c>
      <c r="BK76" s="23" t="s">
        <v>163</v>
      </c>
      <c r="BL76" s="11" t="s">
        <v>422</v>
      </c>
    </row>
    <row r="77" spans="2:64" ht="15.6" x14ac:dyDescent="0.3">
      <c r="B77" s="11" t="s">
        <v>168</v>
      </c>
      <c r="C77" s="4" t="s">
        <v>169</v>
      </c>
      <c r="D77" s="4" t="s">
        <v>265</v>
      </c>
      <c r="E77" s="4"/>
      <c r="F77" s="55" t="s">
        <v>262</v>
      </c>
      <c r="G77" s="4">
        <v>1023.654</v>
      </c>
      <c r="H77" s="48">
        <f t="shared" si="5"/>
        <v>167.14632092484374</v>
      </c>
      <c r="I77" s="4" t="s">
        <v>267</v>
      </c>
      <c r="J77" s="4">
        <v>171.1</v>
      </c>
      <c r="K77" s="4">
        <v>2.4500000000000002</v>
      </c>
      <c r="L77" s="4">
        <f t="shared" si="6"/>
        <v>69.836734693877546</v>
      </c>
      <c r="M77" s="4" t="s">
        <v>261</v>
      </c>
      <c r="N77" s="4"/>
      <c r="O77" s="4" t="s">
        <v>266</v>
      </c>
      <c r="P77" s="4"/>
      <c r="Q77" s="4" t="s">
        <v>407</v>
      </c>
      <c r="R77" s="4" t="s">
        <v>408</v>
      </c>
      <c r="S77" s="4"/>
      <c r="T77" s="4" t="s">
        <v>409</v>
      </c>
      <c r="U77" s="4" t="s">
        <v>410</v>
      </c>
      <c r="V77" s="4" t="s">
        <v>411</v>
      </c>
      <c r="W77" s="4" t="s">
        <v>413</v>
      </c>
      <c r="X77" s="4" t="s">
        <v>414</v>
      </c>
      <c r="Y77" s="4" t="s">
        <v>415</v>
      </c>
      <c r="Z77" s="4">
        <v>318</v>
      </c>
      <c r="AA77" s="4"/>
      <c r="AB77" s="4" t="s">
        <v>384</v>
      </c>
      <c r="AC77" s="4"/>
      <c r="AD77" s="4" t="s">
        <v>416</v>
      </c>
      <c r="AE77" s="4" t="s">
        <v>417</v>
      </c>
      <c r="AF77" s="4"/>
      <c r="AG77" s="4"/>
      <c r="AH77" s="4"/>
      <c r="AU77" s="22" t="e">
        <f t="shared" ref="AU77:AU140" si="7">(AS77*AT77)/(AG77)</f>
        <v>#DIV/0!</v>
      </c>
      <c r="AV77" s="11" t="s">
        <v>166</v>
      </c>
      <c r="AW77" s="31">
        <v>270.45733569217799</v>
      </c>
      <c r="AX77" s="31">
        <v>9.4238161344765606E-2</v>
      </c>
      <c r="AY77" s="11"/>
      <c r="AZ77" s="11"/>
      <c r="BA77" s="11"/>
      <c r="BB77" s="11">
        <v>25</v>
      </c>
      <c r="BK77" s="23" t="s">
        <v>163</v>
      </c>
      <c r="BL77" s="11" t="s">
        <v>422</v>
      </c>
    </row>
    <row r="78" spans="2:64" ht="15.6" x14ac:dyDescent="0.3">
      <c r="B78" s="11" t="s">
        <v>168</v>
      </c>
      <c r="C78" s="4" t="s">
        <v>169</v>
      </c>
      <c r="D78" s="4" t="s">
        <v>265</v>
      </c>
      <c r="E78" s="4"/>
      <c r="F78" s="55" t="s">
        <v>262</v>
      </c>
      <c r="G78" s="4">
        <v>1023.654</v>
      </c>
      <c r="H78" s="48">
        <f t="shared" si="5"/>
        <v>167.14632092484374</v>
      </c>
      <c r="I78" s="4" t="s">
        <v>267</v>
      </c>
      <c r="J78" s="4">
        <v>171.1</v>
      </c>
      <c r="K78" s="4">
        <v>2.4500000000000002</v>
      </c>
      <c r="L78" s="4">
        <f t="shared" si="6"/>
        <v>69.836734693877546</v>
      </c>
      <c r="M78" s="4" t="s">
        <v>261</v>
      </c>
      <c r="N78" s="4"/>
      <c r="O78" s="4" t="s">
        <v>266</v>
      </c>
      <c r="P78" s="4"/>
      <c r="Q78" s="4" t="s">
        <v>407</v>
      </c>
      <c r="R78" s="4" t="s">
        <v>408</v>
      </c>
      <c r="S78" s="4"/>
      <c r="T78" s="4" t="s">
        <v>409</v>
      </c>
      <c r="U78" s="4" t="s">
        <v>410</v>
      </c>
      <c r="V78" s="4" t="s">
        <v>411</v>
      </c>
      <c r="W78" s="4" t="s">
        <v>413</v>
      </c>
      <c r="X78" s="4" t="s">
        <v>414</v>
      </c>
      <c r="Y78" s="4" t="s">
        <v>415</v>
      </c>
      <c r="Z78" s="4">
        <v>318</v>
      </c>
      <c r="AA78" s="4"/>
      <c r="AB78" s="4" t="s">
        <v>384</v>
      </c>
      <c r="AC78" s="4"/>
      <c r="AD78" s="4" t="s">
        <v>416</v>
      </c>
      <c r="AE78" s="4" t="s">
        <v>417</v>
      </c>
      <c r="AF78" s="4"/>
      <c r="AG78" s="4"/>
      <c r="AH78" s="4"/>
      <c r="AU78" s="22" t="e">
        <f t="shared" si="7"/>
        <v>#DIV/0!</v>
      </c>
      <c r="AV78" s="11" t="s">
        <v>166</v>
      </c>
      <c r="AW78" s="31">
        <v>255.50970903525001</v>
      </c>
      <c r="AX78" s="31">
        <v>0.12830613496326601</v>
      </c>
      <c r="AY78" s="11"/>
      <c r="AZ78" s="11"/>
      <c r="BA78" s="11"/>
      <c r="BB78" s="11">
        <v>25</v>
      </c>
      <c r="BK78" s="23" t="s">
        <v>163</v>
      </c>
      <c r="BL78" s="11" t="s">
        <v>422</v>
      </c>
    </row>
    <row r="79" spans="2:64" ht="15.6" x14ac:dyDescent="0.3">
      <c r="B79" s="11" t="s">
        <v>168</v>
      </c>
      <c r="C79" s="4" t="s">
        <v>169</v>
      </c>
      <c r="D79" s="4" t="s">
        <v>265</v>
      </c>
      <c r="E79" s="4"/>
      <c r="F79" s="55" t="s">
        <v>262</v>
      </c>
      <c r="G79" s="4">
        <v>1023.654</v>
      </c>
      <c r="H79" s="48">
        <f t="shared" si="5"/>
        <v>167.14632092484374</v>
      </c>
      <c r="I79" s="4" t="s">
        <v>267</v>
      </c>
      <c r="J79" s="4">
        <v>171.1</v>
      </c>
      <c r="K79" s="4">
        <v>2.4500000000000002</v>
      </c>
      <c r="L79" s="4">
        <f t="shared" si="6"/>
        <v>69.836734693877546</v>
      </c>
      <c r="M79" s="4" t="s">
        <v>261</v>
      </c>
      <c r="N79" s="4"/>
      <c r="O79" s="4" t="s">
        <v>266</v>
      </c>
      <c r="P79" s="4"/>
      <c r="Q79" s="4" t="s">
        <v>407</v>
      </c>
      <c r="R79" s="4" t="s">
        <v>408</v>
      </c>
      <c r="S79" s="4"/>
      <c r="T79" s="4" t="s">
        <v>409</v>
      </c>
      <c r="U79" s="4" t="s">
        <v>410</v>
      </c>
      <c r="V79" s="4" t="s">
        <v>411</v>
      </c>
      <c r="W79" s="4" t="s">
        <v>413</v>
      </c>
      <c r="X79" s="4" t="s">
        <v>414</v>
      </c>
      <c r="Y79" s="4" t="s">
        <v>415</v>
      </c>
      <c r="Z79" s="4">
        <v>318</v>
      </c>
      <c r="AA79" s="4"/>
      <c r="AB79" s="4" t="s">
        <v>384</v>
      </c>
      <c r="AC79" s="4"/>
      <c r="AD79" s="4" t="s">
        <v>416</v>
      </c>
      <c r="AE79" s="4" t="s">
        <v>417</v>
      </c>
      <c r="AF79" s="4"/>
      <c r="AG79" s="4"/>
      <c r="AH79" s="4"/>
      <c r="AU79" s="22" t="e">
        <f t="shared" si="7"/>
        <v>#DIV/0!</v>
      </c>
      <c r="AV79" s="11" t="s">
        <v>166</v>
      </c>
      <c r="AW79" s="31">
        <v>243.686390791219</v>
      </c>
      <c r="AX79" s="31">
        <v>0.176775746714016</v>
      </c>
      <c r="AY79" s="11"/>
      <c r="AZ79" s="11"/>
      <c r="BA79" s="11"/>
      <c r="BB79" s="11">
        <v>25</v>
      </c>
      <c r="BK79" s="23" t="s">
        <v>163</v>
      </c>
      <c r="BL79" s="11" t="s">
        <v>422</v>
      </c>
    </row>
    <row r="80" spans="2:64" ht="15.6" x14ac:dyDescent="0.3">
      <c r="B80" s="11" t="s">
        <v>168</v>
      </c>
      <c r="C80" s="4" t="s">
        <v>169</v>
      </c>
      <c r="D80" s="4" t="s">
        <v>265</v>
      </c>
      <c r="E80" s="4"/>
      <c r="F80" s="55" t="s">
        <v>262</v>
      </c>
      <c r="G80" s="4">
        <v>1023.654</v>
      </c>
      <c r="H80" s="48">
        <f t="shared" si="5"/>
        <v>167.14632092484374</v>
      </c>
      <c r="I80" s="4" t="s">
        <v>267</v>
      </c>
      <c r="J80" s="4">
        <v>171.1</v>
      </c>
      <c r="K80" s="4">
        <v>2.4500000000000002</v>
      </c>
      <c r="L80" s="4">
        <f t="shared" si="6"/>
        <v>69.836734693877546</v>
      </c>
      <c r="M80" s="4" t="s">
        <v>261</v>
      </c>
      <c r="N80" s="4"/>
      <c r="O80" s="4" t="s">
        <v>266</v>
      </c>
      <c r="P80" s="4"/>
      <c r="Q80" s="4" t="s">
        <v>407</v>
      </c>
      <c r="R80" s="4" t="s">
        <v>408</v>
      </c>
      <c r="S80" s="4"/>
      <c r="T80" s="4" t="s">
        <v>409</v>
      </c>
      <c r="U80" s="4" t="s">
        <v>410</v>
      </c>
      <c r="V80" s="4" t="s">
        <v>411</v>
      </c>
      <c r="W80" s="4" t="s">
        <v>413</v>
      </c>
      <c r="X80" s="4" t="s">
        <v>414</v>
      </c>
      <c r="Y80" s="4" t="s">
        <v>415</v>
      </c>
      <c r="Z80" s="4">
        <v>318</v>
      </c>
      <c r="AA80" s="4"/>
      <c r="AB80" s="4" t="s">
        <v>384</v>
      </c>
      <c r="AC80" s="4"/>
      <c r="AD80" s="4" t="s">
        <v>416</v>
      </c>
      <c r="AE80" s="4" t="s">
        <v>417</v>
      </c>
      <c r="AF80" s="4"/>
      <c r="AG80" s="4"/>
      <c r="AH80" s="4"/>
      <c r="AU80" s="22" t="e">
        <f t="shared" si="7"/>
        <v>#DIV/0!</v>
      </c>
      <c r="AV80" s="11" t="s">
        <v>166</v>
      </c>
      <c r="AW80" s="31">
        <v>232.4101783884</v>
      </c>
      <c r="AX80" s="31">
        <v>0.246463480571192</v>
      </c>
      <c r="AY80" s="11"/>
      <c r="AZ80" s="11"/>
      <c r="BA80" s="11"/>
      <c r="BB80" s="11">
        <v>25</v>
      </c>
      <c r="BK80" s="23" t="s">
        <v>163</v>
      </c>
      <c r="BL80" s="11" t="s">
        <v>422</v>
      </c>
    </row>
    <row r="81" spans="2:64" ht="15.6" x14ac:dyDescent="0.3">
      <c r="B81" s="11" t="s">
        <v>168</v>
      </c>
      <c r="C81" s="4" t="s">
        <v>169</v>
      </c>
      <c r="D81" s="4" t="s">
        <v>265</v>
      </c>
      <c r="E81" s="4"/>
      <c r="F81" s="55" t="s">
        <v>262</v>
      </c>
      <c r="G81" s="4">
        <v>1023.654</v>
      </c>
      <c r="H81" s="48">
        <f t="shared" si="5"/>
        <v>167.14632092484374</v>
      </c>
      <c r="I81" s="4" t="s">
        <v>267</v>
      </c>
      <c r="J81" s="4">
        <v>171.1</v>
      </c>
      <c r="K81" s="4">
        <v>2.4500000000000002</v>
      </c>
      <c r="L81" s="4">
        <f t="shared" si="6"/>
        <v>69.836734693877546</v>
      </c>
      <c r="M81" s="4" t="s">
        <v>261</v>
      </c>
      <c r="N81" s="4"/>
      <c r="O81" s="4" t="s">
        <v>266</v>
      </c>
      <c r="P81" s="4"/>
      <c r="Q81" s="4" t="s">
        <v>407</v>
      </c>
      <c r="R81" s="4" t="s">
        <v>408</v>
      </c>
      <c r="S81" s="4"/>
      <c r="T81" s="4" t="s">
        <v>409</v>
      </c>
      <c r="U81" s="4" t="s">
        <v>410</v>
      </c>
      <c r="V81" s="4" t="s">
        <v>411</v>
      </c>
      <c r="W81" s="4" t="s">
        <v>413</v>
      </c>
      <c r="X81" s="4" t="s">
        <v>414</v>
      </c>
      <c r="Y81" s="4" t="s">
        <v>415</v>
      </c>
      <c r="Z81" s="4">
        <v>318</v>
      </c>
      <c r="AA81" s="4"/>
      <c r="AB81" s="4" t="s">
        <v>384</v>
      </c>
      <c r="AC81" s="4"/>
      <c r="AD81" s="4" t="s">
        <v>416</v>
      </c>
      <c r="AE81" s="4" t="s">
        <v>417</v>
      </c>
      <c r="AF81" s="4"/>
      <c r="AG81" s="4"/>
      <c r="AH81" s="4"/>
      <c r="AU81" s="22" t="e">
        <f t="shared" si="7"/>
        <v>#DIV/0!</v>
      </c>
      <c r="AV81" s="11" t="s">
        <v>166</v>
      </c>
      <c r="AW81" s="31">
        <v>221.65575534665601</v>
      </c>
      <c r="AX81" s="31">
        <v>0.35187770646174299</v>
      </c>
      <c r="AY81" s="11"/>
      <c r="AZ81" s="11"/>
      <c r="BA81" s="11"/>
      <c r="BB81" s="11">
        <v>25</v>
      </c>
      <c r="BK81" s="23" t="s">
        <v>163</v>
      </c>
      <c r="BL81" s="11" t="s">
        <v>422</v>
      </c>
    </row>
    <row r="82" spans="2:64" ht="15.6" x14ac:dyDescent="0.3">
      <c r="B82" s="11" t="s">
        <v>168</v>
      </c>
      <c r="C82" s="4" t="s">
        <v>169</v>
      </c>
      <c r="D82" s="4" t="s">
        <v>265</v>
      </c>
      <c r="E82" s="4"/>
      <c r="F82" s="55" t="s">
        <v>262</v>
      </c>
      <c r="G82" s="4">
        <v>1023.654</v>
      </c>
      <c r="H82" s="48">
        <f t="shared" si="5"/>
        <v>167.14632092484374</v>
      </c>
      <c r="I82" s="4" t="s">
        <v>267</v>
      </c>
      <c r="J82" s="4">
        <v>171.1</v>
      </c>
      <c r="K82" s="4">
        <v>2.4500000000000002</v>
      </c>
      <c r="L82" s="4">
        <f t="shared" si="6"/>
        <v>69.836734693877546</v>
      </c>
      <c r="M82" s="4" t="s">
        <v>261</v>
      </c>
      <c r="N82" s="4"/>
      <c r="O82" s="4" t="s">
        <v>266</v>
      </c>
      <c r="P82" s="4"/>
      <c r="Q82" s="4" t="s">
        <v>407</v>
      </c>
      <c r="R82" s="4" t="s">
        <v>408</v>
      </c>
      <c r="S82" s="4"/>
      <c r="T82" s="4" t="s">
        <v>409</v>
      </c>
      <c r="U82" s="4" t="s">
        <v>410</v>
      </c>
      <c r="V82" s="4" t="s">
        <v>411</v>
      </c>
      <c r="W82" s="4" t="s">
        <v>413</v>
      </c>
      <c r="X82" s="4" t="s">
        <v>414</v>
      </c>
      <c r="Y82" s="4" t="s">
        <v>415</v>
      </c>
      <c r="Z82" s="4">
        <v>318</v>
      </c>
      <c r="AA82" s="4"/>
      <c r="AB82" s="4" t="s">
        <v>384</v>
      </c>
      <c r="AC82" s="4"/>
      <c r="AD82" s="4" t="s">
        <v>416</v>
      </c>
      <c r="AE82" s="4" t="s">
        <v>417</v>
      </c>
      <c r="AF82" s="4"/>
      <c r="AG82" s="4"/>
      <c r="AH82" s="4"/>
      <c r="AU82" s="22" t="e">
        <f t="shared" si="7"/>
        <v>#DIV/0!</v>
      </c>
      <c r="AV82" s="11" t="s">
        <v>166</v>
      </c>
      <c r="AW82" s="31">
        <v>207.43041106148499</v>
      </c>
      <c r="AX82" s="31">
        <v>0.52680451025890696</v>
      </c>
      <c r="AY82" s="11"/>
      <c r="AZ82" s="11"/>
      <c r="BA82" s="11"/>
      <c r="BB82" s="11">
        <v>25</v>
      </c>
      <c r="BK82" s="23" t="s">
        <v>163</v>
      </c>
      <c r="BL82" s="11" t="s">
        <v>422</v>
      </c>
    </row>
    <row r="83" spans="2:64" ht="15.6" x14ac:dyDescent="0.3">
      <c r="B83" s="11" t="s">
        <v>168</v>
      </c>
      <c r="C83" s="4" t="s">
        <v>169</v>
      </c>
      <c r="D83" s="4" t="s">
        <v>265</v>
      </c>
      <c r="E83" s="4"/>
      <c r="F83" s="55" t="s">
        <v>262</v>
      </c>
      <c r="G83" s="4">
        <v>1023.654</v>
      </c>
      <c r="H83" s="48">
        <f t="shared" si="5"/>
        <v>167.14632092484374</v>
      </c>
      <c r="I83" s="4" t="s">
        <v>267</v>
      </c>
      <c r="J83" s="4">
        <v>171.1</v>
      </c>
      <c r="K83" s="4">
        <v>2.4500000000000002</v>
      </c>
      <c r="L83" s="4">
        <f t="shared" si="6"/>
        <v>69.836734693877546</v>
      </c>
      <c r="M83" s="4" t="s">
        <v>261</v>
      </c>
      <c r="N83" s="4"/>
      <c r="O83" s="4" t="s">
        <v>266</v>
      </c>
      <c r="P83" s="4"/>
      <c r="Q83" s="4" t="s">
        <v>407</v>
      </c>
      <c r="R83" s="4" t="s">
        <v>408</v>
      </c>
      <c r="S83" s="4"/>
      <c r="T83" s="4" t="s">
        <v>409</v>
      </c>
      <c r="U83" s="4" t="s">
        <v>410</v>
      </c>
      <c r="V83" s="4" t="s">
        <v>411</v>
      </c>
      <c r="W83" s="4" t="s">
        <v>413</v>
      </c>
      <c r="X83" s="4" t="s">
        <v>414</v>
      </c>
      <c r="Y83" s="4" t="s">
        <v>415</v>
      </c>
      <c r="Z83" s="4">
        <v>318</v>
      </c>
      <c r="AA83" s="4"/>
      <c r="AB83" s="4" t="s">
        <v>384</v>
      </c>
      <c r="AC83" s="4"/>
      <c r="AD83" s="4" t="s">
        <v>416</v>
      </c>
      <c r="AE83" s="4" t="s">
        <v>417</v>
      </c>
      <c r="AF83" s="4"/>
      <c r="AG83" s="4"/>
      <c r="AH83" s="4"/>
      <c r="AU83" s="22" t="e">
        <f t="shared" si="7"/>
        <v>#DIV/0!</v>
      </c>
      <c r="AV83" s="11" t="s">
        <v>166</v>
      </c>
      <c r="AW83" s="31">
        <v>194.118015865838</v>
      </c>
      <c r="AX83" s="31">
        <v>0.817280494501887</v>
      </c>
      <c r="AY83" s="11"/>
      <c r="AZ83" s="11"/>
      <c r="BA83" s="11"/>
      <c r="BB83" s="11">
        <v>25</v>
      </c>
      <c r="BK83" s="23" t="s">
        <v>163</v>
      </c>
      <c r="BL83" s="11" t="s">
        <v>422</v>
      </c>
    </row>
    <row r="84" spans="2:64" ht="15.6" x14ac:dyDescent="0.3">
      <c r="B84" s="11" t="s">
        <v>168</v>
      </c>
      <c r="C84" s="4" t="s">
        <v>169</v>
      </c>
      <c r="D84" s="4" t="s">
        <v>265</v>
      </c>
      <c r="E84" s="4"/>
      <c r="F84" s="55" t="s">
        <v>262</v>
      </c>
      <c r="G84" s="4">
        <v>1023.654</v>
      </c>
      <c r="H84" s="48">
        <f t="shared" si="5"/>
        <v>167.14632092484374</v>
      </c>
      <c r="I84" s="4" t="s">
        <v>267</v>
      </c>
      <c r="J84" s="4">
        <v>171.1</v>
      </c>
      <c r="K84" s="4">
        <v>2.4500000000000002</v>
      </c>
      <c r="L84" s="4">
        <f t="shared" si="6"/>
        <v>69.836734693877546</v>
      </c>
      <c r="M84" s="4" t="s">
        <v>261</v>
      </c>
      <c r="N84" s="4"/>
      <c r="O84" s="4" t="s">
        <v>266</v>
      </c>
      <c r="P84" s="4"/>
      <c r="Q84" s="4" t="s">
        <v>407</v>
      </c>
      <c r="R84" s="4" t="s">
        <v>408</v>
      </c>
      <c r="S84" s="4"/>
      <c r="T84" s="4" t="s">
        <v>409</v>
      </c>
      <c r="U84" s="4" t="s">
        <v>410</v>
      </c>
      <c r="V84" s="4" t="s">
        <v>411</v>
      </c>
      <c r="W84" s="4" t="s">
        <v>413</v>
      </c>
      <c r="X84" s="4" t="s">
        <v>414</v>
      </c>
      <c r="Y84" s="4" t="s">
        <v>415</v>
      </c>
      <c r="Z84" s="4">
        <v>318</v>
      </c>
      <c r="AA84" s="4"/>
      <c r="AB84" s="4" t="s">
        <v>384</v>
      </c>
      <c r="AC84" s="4"/>
      <c r="AD84" s="4" t="s">
        <v>416</v>
      </c>
      <c r="AE84" s="4" t="s">
        <v>417</v>
      </c>
      <c r="AF84" s="4"/>
      <c r="AG84" s="4"/>
      <c r="AH84" s="4"/>
      <c r="AU84" s="22" t="e">
        <f t="shared" si="7"/>
        <v>#DIV/0!</v>
      </c>
      <c r="AV84" s="11" t="s">
        <v>166</v>
      </c>
      <c r="AW84" s="31">
        <v>183.38950809170001</v>
      </c>
      <c r="AX84" s="31">
        <v>1.2830613496326599</v>
      </c>
      <c r="AY84" s="11"/>
      <c r="AZ84" s="11"/>
      <c r="BA84" s="11"/>
      <c r="BB84" s="11">
        <v>25</v>
      </c>
      <c r="BK84" s="23" t="s">
        <v>163</v>
      </c>
      <c r="BL84" s="11" t="s">
        <v>422</v>
      </c>
    </row>
    <row r="85" spans="2:64" ht="15.6" x14ac:dyDescent="0.3">
      <c r="B85" s="11" t="s">
        <v>168</v>
      </c>
      <c r="C85" s="4" t="s">
        <v>169</v>
      </c>
      <c r="D85" s="4" t="s">
        <v>265</v>
      </c>
      <c r="E85" s="4"/>
      <c r="F85" s="55" t="s">
        <v>262</v>
      </c>
      <c r="G85" s="4">
        <v>1023.654</v>
      </c>
      <c r="H85" s="48">
        <f t="shared" si="5"/>
        <v>167.14632092484374</v>
      </c>
      <c r="I85" s="4" t="s">
        <v>267</v>
      </c>
      <c r="J85" s="4">
        <v>171.1</v>
      </c>
      <c r="K85" s="4">
        <v>2.4500000000000002</v>
      </c>
      <c r="L85" s="4">
        <f t="shared" si="6"/>
        <v>69.836734693877546</v>
      </c>
      <c r="M85" s="4" t="s">
        <v>261</v>
      </c>
      <c r="N85" s="4"/>
      <c r="O85" s="4" t="s">
        <v>266</v>
      </c>
      <c r="P85" s="4"/>
      <c r="Q85" s="4" t="s">
        <v>407</v>
      </c>
      <c r="R85" s="4" t="s">
        <v>408</v>
      </c>
      <c r="S85" s="4"/>
      <c r="T85" s="4" t="s">
        <v>409</v>
      </c>
      <c r="U85" s="4" t="s">
        <v>410</v>
      </c>
      <c r="V85" s="4" t="s">
        <v>411</v>
      </c>
      <c r="W85" s="4" t="s">
        <v>413</v>
      </c>
      <c r="X85" s="4" t="s">
        <v>414</v>
      </c>
      <c r="Y85" s="4" t="s">
        <v>415</v>
      </c>
      <c r="Z85" s="4">
        <v>318</v>
      </c>
      <c r="AA85" s="4"/>
      <c r="AB85" s="4" t="s">
        <v>384</v>
      </c>
      <c r="AC85" s="4"/>
      <c r="AD85" s="4" t="s">
        <v>416</v>
      </c>
      <c r="AE85" s="4" t="s">
        <v>417</v>
      </c>
      <c r="AF85" s="4"/>
      <c r="AG85" s="4"/>
      <c r="AH85" s="4"/>
      <c r="AU85" s="22" t="e">
        <f t="shared" si="7"/>
        <v>#DIV/0!</v>
      </c>
      <c r="AV85" s="11" t="s">
        <v>166</v>
      </c>
      <c r="AW85" s="31">
        <v>176.56864338394999</v>
      </c>
      <c r="AX85" s="31">
        <v>1.8982373547039899</v>
      </c>
      <c r="AY85" s="11"/>
      <c r="AZ85" s="11"/>
      <c r="BA85" s="11"/>
      <c r="BB85" s="11">
        <v>25</v>
      </c>
      <c r="BK85" s="23" t="s">
        <v>163</v>
      </c>
      <c r="BL85" s="11" t="s">
        <v>422</v>
      </c>
    </row>
    <row r="86" spans="2:64" ht="15.6" x14ac:dyDescent="0.3">
      <c r="B86" s="11" t="s">
        <v>168</v>
      </c>
      <c r="C86" s="4" t="s">
        <v>169</v>
      </c>
      <c r="D86" s="4" t="s">
        <v>265</v>
      </c>
      <c r="E86" s="4"/>
      <c r="F86" s="55" t="s">
        <v>262</v>
      </c>
      <c r="G86" s="4">
        <v>1023.654</v>
      </c>
      <c r="H86" s="48">
        <f t="shared" si="5"/>
        <v>167.14632092484374</v>
      </c>
      <c r="I86" s="4" t="s">
        <v>267</v>
      </c>
      <c r="J86" s="4">
        <v>171.1</v>
      </c>
      <c r="K86" s="4">
        <v>2.4500000000000002</v>
      </c>
      <c r="L86" s="4">
        <f t="shared" si="6"/>
        <v>69.836734693877546</v>
      </c>
      <c r="M86" s="4" t="s">
        <v>261</v>
      </c>
      <c r="N86" s="4"/>
      <c r="O86" s="4" t="s">
        <v>266</v>
      </c>
      <c r="P86" s="4"/>
      <c r="Q86" s="4" t="s">
        <v>407</v>
      </c>
      <c r="R86" s="4" t="s">
        <v>408</v>
      </c>
      <c r="S86" s="4"/>
      <c r="T86" s="4" t="s">
        <v>409</v>
      </c>
      <c r="U86" s="4" t="s">
        <v>410</v>
      </c>
      <c r="V86" s="4" t="s">
        <v>411</v>
      </c>
      <c r="W86" s="4" t="s">
        <v>413</v>
      </c>
      <c r="X86" s="4" t="s">
        <v>414</v>
      </c>
      <c r="Y86" s="4" t="s">
        <v>415</v>
      </c>
      <c r="Z86" s="4">
        <v>318</v>
      </c>
      <c r="AA86" s="4"/>
      <c r="AB86" s="4" t="s">
        <v>384</v>
      </c>
      <c r="AC86" s="4"/>
      <c r="AD86" s="4" t="s">
        <v>416</v>
      </c>
      <c r="AE86" s="4" t="s">
        <v>417</v>
      </c>
      <c r="AF86" s="4"/>
      <c r="AG86" s="4"/>
      <c r="AH86" s="4"/>
      <c r="AU86" s="22" t="e">
        <f t="shared" si="7"/>
        <v>#DIV/0!</v>
      </c>
      <c r="AV86" s="11" t="s">
        <v>166</v>
      </c>
      <c r="AW86" s="31">
        <v>170.00146928176</v>
      </c>
      <c r="AX86" s="31">
        <v>2.7101272981508</v>
      </c>
      <c r="AY86" s="11"/>
      <c r="AZ86" s="11"/>
      <c r="BA86" s="11"/>
      <c r="BB86" s="11">
        <v>25</v>
      </c>
      <c r="BK86" s="23" t="s">
        <v>163</v>
      </c>
      <c r="BL86" s="11" t="s">
        <v>422</v>
      </c>
    </row>
    <row r="87" spans="2:64" ht="15.6" x14ac:dyDescent="0.3">
      <c r="B87" s="11" t="s">
        <v>168</v>
      </c>
      <c r="C87" s="4" t="s">
        <v>169</v>
      </c>
      <c r="D87" s="4" t="s">
        <v>265</v>
      </c>
      <c r="E87" s="4"/>
      <c r="F87" s="55" t="s">
        <v>262</v>
      </c>
      <c r="G87" s="4">
        <v>1023.654</v>
      </c>
      <c r="H87" s="48">
        <f t="shared" si="5"/>
        <v>167.14632092484374</v>
      </c>
      <c r="I87" s="4" t="s">
        <v>267</v>
      </c>
      <c r="J87" s="4">
        <v>171.1</v>
      </c>
      <c r="K87" s="4">
        <v>2.4500000000000002</v>
      </c>
      <c r="L87" s="4">
        <f t="shared" si="6"/>
        <v>69.836734693877546</v>
      </c>
      <c r="M87" s="4" t="s">
        <v>261</v>
      </c>
      <c r="N87" s="4"/>
      <c r="O87" s="4" t="s">
        <v>266</v>
      </c>
      <c r="P87" s="4"/>
      <c r="Q87" s="4" t="s">
        <v>407</v>
      </c>
      <c r="R87" s="4" t="s">
        <v>408</v>
      </c>
      <c r="S87" s="4"/>
      <c r="T87" s="4" t="s">
        <v>409</v>
      </c>
      <c r="U87" s="4" t="s">
        <v>410</v>
      </c>
      <c r="V87" s="4" t="s">
        <v>411</v>
      </c>
      <c r="W87" s="4" t="s">
        <v>413</v>
      </c>
      <c r="X87" s="4" t="s">
        <v>414</v>
      </c>
      <c r="Y87" s="4" t="s">
        <v>415</v>
      </c>
      <c r="Z87" s="4">
        <v>318</v>
      </c>
      <c r="AA87" s="4"/>
      <c r="AB87" s="4" t="s">
        <v>384</v>
      </c>
      <c r="AC87" s="4"/>
      <c r="AD87" s="4" t="s">
        <v>416</v>
      </c>
      <c r="AE87" s="4" t="s">
        <v>417</v>
      </c>
      <c r="AF87" s="4"/>
      <c r="AG87" s="4"/>
      <c r="AH87" s="4"/>
      <c r="AU87" s="22" t="e">
        <f t="shared" si="7"/>
        <v>#DIV/0!</v>
      </c>
      <c r="AV87" s="11" t="s">
        <v>166</v>
      </c>
      <c r="AW87" s="31">
        <v>163.67855018919201</v>
      </c>
      <c r="AX87" s="31">
        <v>3.7785014014045699</v>
      </c>
      <c r="AY87" s="11"/>
      <c r="AZ87" s="11"/>
      <c r="BA87" s="11"/>
      <c r="BB87" s="11">
        <v>25</v>
      </c>
      <c r="BK87" s="23" t="s">
        <v>163</v>
      </c>
      <c r="BL87" s="11" t="s">
        <v>422</v>
      </c>
    </row>
    <row r="88" spans="2:64" ht="15.6" x14ac:dyDescent="0.3">
      <c r="B88" s="11" t="s">
        <v>168</v>
      </c>
      <c r="C88" s="4" t="s">
        <v>169</v>
      </c>
      <c r="D88" s="4" t="s">
        <v>265</v>
      </c>
      <c r="E88" s="4"/>
      <c r="F88" s="55" t="s">
        <v>262</v>
      </c>
      <c r="G88" s="4">
        <v>1023.654</v>
      </c>
      <c r="H88" s="48">
        <f t="shared" si="5"/>
        <v>167.14632092484374</v>
      </c>
      <c r="I88" s="4" t="s">
        <v>267</v>
      </c>
      <c r="J88" s="4">
        <v>171.1</v>
      </c>
      <c r="K88" s="4">
        <v>2.4500000000000002</v>
      </c>
      <c r="L88" s="4">
        <f t="shared" si="6"/>
        <v>69.836734693877546</v>
      </c>
      <c r="M88" s="4" t="s">
        <v>261</v>
      </c>
      <c r="N88" s="4"/>
      <c r="O88" s="4" t="s">
        <v>266</v>
      </c>
      <c r="P88" s="4"/>
      <c r="Q88" s="4" t="s">
        <v>407</v>
      </c>
      <c r="R88" s="4" t="s">
        <v>408</v>
      </c>
      <c r="S88" s="4"/>
      <c r="T88" s="4" t="s">
        <v>409</v>
      </c>
      <c r="U88" s="4" t="s">
        <v>410</v>
      </c>
      <c r="V88" s="4" t="s">
        <v>411</v>
      </c>
      <c r="W88" s="4" t="s">
        <v>413</v>
      </c>
      <c r="X88" s="4" t="s">
        <v>414</v>
      </c>
      <c r="Y88" s="4" t="s">
        <v>415</v>
      </c>
      <c r="Z88" s="4">
        <v>318</v>
      </c>
      <c r="AA88" s="4"/>
      <c r="AB88" s="4" t="s">
        <v>384</v>
      </c>
      <c r="AC88" s="4"/>
      <c r="AD88" s="4" t="s">
        <v>416</v>
      </c>
      <c r="AE88" s="4" t="s">
        <v>417</v>
      </c>
      <c r="AF88" s="4"/>
      <c r="AG88" s="4"/>
      <c r="AH88" s="4"/>
      <c r="AU88" s="22" t="e">
        <f t="shared" si="7"/>
        <v>#DIV/0!</v>
      </c>
      <c r="AV88" s="11" t="s">
        <v>166</v>
      </c>
      <c r="AW88" s="31">
        <v>156.104577380427</v>
      </c>
      <c r="AX88" s="31">
        <v>5.3945939735468</v>
      </c>
      <c r="AY88" s="11"/>
      <c r="AZ88" s="11"/>
      <c r="BA88" s="11"/>
      <c r="BB88" s="11">
        <v>25</v>
      </c>
      <c r="BK88" s="23" t="s">
        <v>163</v>
      </c>
      <c r="BL88" s="11" t="s">
        <v>422</v>
      </c>
    </row>
    <row r="89" spans="2:64" ht="15.6" x14ac:dyDescent="0.3">
      <c r="B89" s="11" t="s">
        <v>168</v>
      </c>
      <c r="C89" s="4" t="s">
        <v>169</v>
      </c>
      <c r="D89" s="4" t="s">
        <v>265</v>
      </c>
      <c r="E89" s="4"/>
      <c r="F89" s="55" t="s">
        <v>262</v>
      </c>
      <c r="G89" s="4">
        <v>1023.654</v>
      </c>
      <c r="H89" s="48">
        <f t="shared" si="5"/>
        <v>167.14632092484374</v>
      </c>
      <c r="I89" s="4" t="s">
        <v>267</v>
      </c>
      <c r="J89" s="4">
        <v>171.1</v>
      </c>
      <c r="K89" s="4">
        <v>2.4500000000000002</v>
      </c>
      <c r="L89" s="4">
        <f t="shared" si="6"/>
        <v>69.836734693877546</v>
      </c>
      <c r="M89" s="4" t="s">
        <v>261</v>
      </c>
      <c r="N89" s="4"/>
      <c r="O89" s="4" t="s">
        <v>266</v>
      </c>
      <c r="P89" s="4"/>
      <c r="Q89" s="4" t="s">
        <v>407</v>
      </c>
      <c r="R89" s="4" t="s">
        <v>408</v>
      </c>
      <c r="S89" s="4"/>
      <c r="T89" s="4" t="s">
        <v>409</v>
      </c>
      <c r="U89" s="4" t="s">
        <v>410</v>
      </c>
      <c r="V89" s="4" t="s">
        <v>411</v>
      </c>
      <c r="W89" s="4" t="s">
        <v>413</v>
      </c>
      <c r="X89" s="4" t="s">
        <v>414</v>
      </c>
      <c r="Y89" s="4" t="s">
        <v>415</v>
      </c>
      <c r="Z89" s="4">
        <v>318</v>
      </c>
      <c r="AA89" s="4"/>
      <c r="AB89" s="4" t="s">
        <v>384</v>
      </c>
      <c r="AC89" s="4"/>
      <c r="AD89" s="4" t="s">
        <v>416</v>
      </c>
      <c r="AE89" s="4" t="s">
        <v>417</v>
      </c>
      <c r="AF89" s="4"/>
      <c r="AG89" s="4"/>
      <c r="AH89" s="4"/>
      <c r="AU89" s="22" t="e">
        <f t="shared" si="7"/>
        <v>#DIV/0!</v>
      </c>
      <c r="AV89" s="11" t="s">
        <v>166</v>
      </c>
      <c r="AW89" s="31">
        <v>146.08615329640199</v>
      </c>
      <c r="AX89" s="31">
        <v>7.4324846443678503</v>
      </c>
      <c r="AY89" s="11"/>
      <c r="AZ89" s="11"/>
      <c r="BA89" s="11"/>
      <c r="BB89" s="11">
        <v>25</v>
      </c>
      <c r="BK89" s="23" t="s">
        <v>163</v>
      </c>
      <c r="BL89" s="11" t="s">
        <v>422</v>
      </c>
    </row>
    <row r="90" spans="2:64" ht="15.6" x14ac:dyDescent="0.3">
      <c r="B90" s="11" t="s">
        <v>168</v>
      </c>
      <c r="C90" s="4" t="s">
        <v>169</v>
      </c>
      <c r="D90" s="4" t="s">
        <v>265</v>
      </c>
      <c r="E90" s="4"/>
      <c r="F90" s="55" t="s">
        <v>262</v>
      </c>
      <c r="G90" s="4">
        <v>1023.654</v>
      </c>
      <c r="H90" s="48">
        <f t="shared" si="5"/>
        <v>167.14632092484374</v>
      </c>
      <c r="I90" s="4" t="s">
        <v>267</v>
      </c>
      <c r="J90" s="4">
        <v>171.1</v>
      </c>
      <c r="K90" s="4">
        <v>2.4500000000000002</v>
      </c>
      <c r="L90" s="4">
        <f t="shared" si="6"/>
        <v>69.836734693877546</v>
      </c>
      <c r="M90" s="4" t="s">
        <v>261</v>
      </c>
      <c r="N90" s="4"/>
      <c r="O90" s="4" t="s">
        <v>266</v>
      </c>
      <c r="P90" s="4"/>
      <c r="Q90" s="4" t="s">
        <v>407</v>
      </c>
      <c r="R90" s="4" t="s">
        <v>408</v>
      </c>
      <c r="S90" s="4"/>
      <c r="T90" s="4" t="s">
        <v>409</v>
      </c>
      <c r="U90" s="4" t="s">
        <v>410</v>
      </c>
      <c r="V90" s="4" t="s">
        <v>411</v>
      </c>
      <c r="W90" s="4" t="s">
        <v>413</v>
      </c>
      <c r="X90" s="4" t="s">
        <v>414</v>
      </c>
      <c r="Y90" s="4" t="s">
        <v>415</v>
      </c>
      <c r="Z90" s="4">
        <v>318</v>
      </c>
      <c r="AA90" s="4"/>
      <c r="AB90" s="4" t="s">
        <v>384</v>
      </c>
      <c r="AC90" s="4"/>
      <c r="AD90" s="4" t="s">
        <v>416</v>
      </c>
      <c r="AE90" s="4" t="s">
        <v>417</v>
      </c>
      <c r="AF90" s="4"/>
      <c r="AG90" s="4"/>
      <c r="AH90" s="4"/>
      <c r="AU90" s="22" t="e">
        <f t="shared" si="7"/>
        <v>#DIV/0!</v>
      </c>
      <c r="AV90" s="11" t="s">
        <v>166</v>
      </c>
      <c r="AW90" s="31">
        <v>143.343696863779</v>
      </c>
      <c r="AX90" s="31">
        <v>10.3624850625371</v>
      </c>
      <c r="AY90" s="11"/>
      <c r="AZ90" s="11"/>
      <c r="BA90" s="11"/>
      <c r="BB90" s="11">
        <v>25</v>
      </c>
      <c r="BK90" s="23" t="s">
        <v>163</v>
      </c>
      <c r="BL90" s="11" t="s">
        <v>422</v>
      </c>
    </row>
    <row r="91" spans="2:64" ht="15.6" x14ac:dyDescent="0.3">
      <c r="B91" s="11" t="s">
        <v>168</v>
      </c>
      <c r="C91" s="4" t="s">
        <v>169</v>
      </c>
      <c r="D91" s="4" t="s">
        <v>265</v>
      </c>
      <c r="E91" s="4"/>
      <c r="F91" s="55" t="s">
        <v>262</v>
      </c>
      <c r="G91" s="4">
        <v>1023.654</v>
      </c>
      <c r="H91" s="48">
        <f t="shared" si="5"/>
        <v>167.14632092484374</v>
      </c>
      <c r="I91" s="4" t="s">
        <v>267</v>
      </c>
      <c r="J91" s="4">
        <v>171.1</v>
      </c>
      <c r="K91" s="4">
        <v>2.4500000000000002</v>
      </c>
      <c r="L91" s="4">
        <f t="shared" si="6"/>
        <v>69.836734693877546</v>
      </c>
      <c r="M91" s="4" t="s">
        <v>261</v>
      </c>
      <c r="N91" s="4"/>
      <c r="O91" s="4" t="s">
        <v>266</v>
      </c>
      <c r="P91" s="4"/>
      <c r="Q91" s="4" t="s">
        <v>407</v>
      </c>
      <c r="R91" s="4" t="s">
        <v>408</v>
      </c>
      <c r="S91" s="4"/>
      <c r="T91" s="4" t="s">
        <v>409</v>
      </c>
      <c r="U91" s="4" t="s">
        <v>410</v>
      </c>
      <c r="V91" s="4" t="s">
        <v>411</v>
      </c>
      <c r="W91" s="4" t="s">
        <v>413</v>
      </c>
      <c r="X91" s="4" t="s">
        <v>414</v>
      </c>
      <c r="Y91" s="4" t="s">
        <v>415</v>
      </c>
      <c r="Z91" s="4">
        <v>318</v>
      </c>
      <c r="AA91" s="4"/>
      <c r="AB91" s="4" t="s">
        <v>384</v>
      </c>
      <c r="AC91" s="4"/>
      <c r="AD91" s="4" t="s">
        <v>416</v>
      </c>
      <c r="AE91" s="4" t="s">
        <v>417</v>
      </c>
      <c r="AF91" s="4"/>
      <c r="AG91" s="4"/>
      <c r="AH91" s="4"/>
      <c r="AU91" s="22" t="e">
        <f t="shared" si="7"/>
        <v>#DIV/0!</v>
      </c>
      <c r="AV91" s="11" t="s">
        <v>166</v>
      </c>
      <c r="AW91" s="31">
        <v>10.191320336549399</v>
      </c>
      <c r="AX91" s="31">
        <v>32.382418289930797</v>
      </c>
      <c r="AY91" s="11"/>
      <c r="AZ91" s="11"/>
      <c r="BA91" s="11"/>
      <c r="BB91" s="11">
        <v>75</v>
      </c>
      <c r="BK91" s="23" t="s">
        <v>163</v>
      </c>
      <c r="BL91" s="11" t="s">
        <v>422</v>
      </c>
    </row>
    <row r="92" spans="2:64" ht="15.6" x14ac:dyDescent="0.3">
      <c r="B92" s="11" t="s">
        <v>168</v>
      </c>
      <c r="C92" s="4" t="s">
        <v>169</v>
      </c>
      <c r="D92" s="4" t="s">
        <v>265</v>
      </c>
      <c r="E92" s="4"/>
      <c r="F92" s="55" t="s">
        <v>262</v>
      </c>
      <c r="G92" s="4">
        <v>1023.654</v>
      </c>
      <c r="H92" s="48">
        <f t="shared" si="5"/>
        <v>167.14632092484374</v>
      </c>
      <c r="I92" s="4" t="s">
        <v>267</v>
      </c>
      <c r="J92" s="4">
        <v>171.1</v>
      </c>
      <c r="K92" s="4">
        <v>2.4500000000000002</v>
      </c>
      <c r="L92" s="4">
        <f t="shared" si="6"/>
        <v>69.836734693877546</v>
      </c>
      <c r="M92" s="4" t="s">
        <v>261</v>
      </c>
      <c r="N92" s="4"/>
      <c r="O92" s="4" t="s">
        <v>266</v>
      </c>
      <c r="P92" s="4"/>
      <c r="Q92" s="4" t="s">
        <v>407</v>
      </c>
      <c r="R92" s="4" t="s">
        <v>408</v>
      </c>
      <c r="S92" s="4"/>
      <c r="T92" s="4" t="s">
        <v>409</v>
      </c>
      <c r="U92" s="4" t="s">
        <v>410</v>
      </c>
      <c r="V92" s="4" t="s">
        <v>411</v>
      </c>
      <c r="W92" s="4" t="s">
        <v>413</v>
      </c>
      <c r="X92" s="4" t="s">
        <v>414</v>
      </c>
      <c r="Y92" s="4" t="s">
        <v>415</v>
      </c>
      <c r="Z92" s="4">
        <v>318</v>
      </c>
      <c r="AA92" s="4"/>
      <c r="AB92" s="4" t="s">
        <v>384</v>
      </c>
      <c r="AC92" s="4"/>
      <c r="AD92" s="4" t="s">
        <v>416</v>
      </c>
      <c r="AE92" s="4" t="s">
        <v>417</v>
      </c>
      <c r="AF92" s="4"/>
      <c r="AG92" s="4"/>
      <c r="AH92" s="4"/>
      <c r="AU92" s="22" t="e">
        <f t="shared" si="7"/>
        <v>#DIV/0!</v>
      </c>
      <c r="AV92" s="11" t="s">
        <v>166</v>
      </c>
      <c r="AW92" s="31">
        <v>12.9154966501488</v>
      </c>
      <c r="AX92" s="31">
        <v>32.000343426356501</v>
      </c>
      <c r="AY92" s="11"/>
      <c r="AZ92" s="11"/>
      <c r="BA92" s="11"/>
      <c r="BB92" s="11">
        <v>75</v>
      </c>
      <c r="BK92" s="23" t="s">
        <v>163</v>
      </c>
      <c r="BL92" s="11" t="s">
        <v>422</v>
      </c>
    </row>
    <row r="93" spans="2:64" ht="15.6" x14ac:dyDescent="0.3">
      <c r="B93" s="11" t="s">
        <v>168</v>
      </c>
      <c r="C93" s="4" t="s">
        <v>169</v>
      </c>
      <c r="D93" s="4" t="s">
        <v>265</v>
      </c>
      <c r="E93" s="4"/>
      <c r="F93" s="55" t="s">
        <v>262</v>
      </c>
      <c r="G93" s="4">
        <v>1023.654</v>
      </c>
      <c r="H93" s="48">
        <f t="shared" si="5"/>
        <v>167.14632092484374</v>
      </c>
      <c r="I93" s="4" t="s">
        <v>267</v>
      </c>
      <c r="J93" s="4">
        <v>171.1</v>
      </c>
      <c r="K93" s="4">
        <v>2.4500000000000002</v>
      </c>
      <c r="L93" s="4">
        <f t="shared" si="6"/>
        <v>69.836734693877546</v>
      </c>
      <c r="M93" s="4" t="s">
        <v>261</v>
      </c>
      <c r="N93" s="4"/>
      <c r="O93" s="4" t="s">
        <v>266</v>
      </c>
      <c r="P93" s="4"/>
      <c r="Q93" s="4" t="s">
        <v>407</v>
      </c>
      <c r="R93" s="4" t="s">
        <v>408</v>
      </c>
      <c r="S93" s="4"/>
      <c r="T93" s="4" t="s">
        <v>409</v>
      </c>
      <c r="U93" s="4" t="s">
        <v>410</v>
      </c>
      <c r="V93" s="4" t="s">
        <v>411</v>
      </c>
      <c r="W93" s="4" t="s">
        <v>413</v>
      </c>
      <c r="X93" s="4" t="s">
        <v>414</v>
      </c>
      <c r="Y93" s="4" t="s">
        <v>415</v>
      </c>
      <c r="Z93" s="4">
        <v>318</v>
      </c>
      <c r="AA93" s="4"/>
      <c r="AB93" s="4" t="s">
        <v>384</v>
      </c>
      <c r="AC93" s="4"/>
      <c r="AD93" s="4" t="s">
        <v>416</v>
      </c>
      <c r="AE93" s="4" t="s">
        <v>417</v>
      </c>
      <c r="AF93" s="4"/>
      <c r="AG93" s="4"/>
      <c r="AH93" s="4"/>
      <c r="AU93" s="22" t="e">
        <f t="shared" si="7"/>
        <v>#DIV/0!</v>
      </c>
      <c r="AV93" s="11" t="s">
        <v>166</v>
      </c>
      <c r="AW93" s="31">
        <v>15.0298529839037</v>
      </c>
      <c r="AX93" s="31">
        <v>31.6227766016838</v>
      </c>
      <c r="AY93" s="11"/>
      <c r="AZ93" s="11"/>
      <c r="BA93" s="11"/>
      <c r="BB93" s="11">
        <v>75</v>
      </c>
      <c r="BK93" s="23" t="s">
        <v>163</v>
      </c>
      <c r="BL93" s="11" t="s">
        <v>422</v>
      </c>
    </row>
    <row r="94" spans="2:64" ht="15.6" x14ac:dyDescent="0.3">
      <c r="B94" s="11" t="s">
        <v>168</v>
      </c>
      <c r="C94" s="4" t="s">
        <v>169</v>
      </c>
      <c r="D94" s="4" t="s">
        <v>265</v>
      </c>
      <c r="E94" s="4"/>
      <c r="F94" s="55" t="s">
        <v>262</v>
      </c>
      <c r="G94" s="4">
        <v>1023.654</v>
      </c>
      <c r="H94" s="48">
        <f t="shared" si="5"/>
        <v>167.14632092484374</v>
      </c>
      <c r="I94" s="4" t="s">
        <v>267</v>
      </c>
      <c r="J94" s="4">
        <v>171.1</v>
      </c>
      <c r="K94" s="4">
        <v>2.4500000000000002</v>
      </c>
      <c r="L94" s="4">
        <f t="shared" si="6"/>
        <v>69.836734693877546</v>
      </c>
      <c r="M94" s="4" t="s">
        <v>261</v>
      </c>
      <c r="N94" s="4"/>
      <c r="O94" s="4" t="s">
        <v>266</v>
      </c>
      <c r="P94" s="4"/>
      <c r="Q94" s="4" t="s">
        <v>407</v>
      </c>
      <c r="R94" s="4" t="s">
        <v>408</v>
      </c>
      <c r="S94" s="4"/>
      <c r="T94" s="4" t="s">
        <v>409</v>
      </c>
      <c r="U94" s="4" t="s">
        <v>410</v>
      </c>
      <c r="V94" s="4" t="s">
        <v>411</v>
      </c>
      <c r="W94" s="4" t="s">
        <v>413</v>
      </c>
      <c r="X94" s="4" t="s">
        <v>414</v>
      </c>
      <c r="Y94" s="4" t="s">
        <v>415</v>
      </c>
      <c r="Z94" s="4">
        <v>318</v>
      </c>
      <c r="AA94" s="4"/>
      <c r="AB94" s="4" t="s">
        <v>384</v>
      </c>
      <c r="AC94" s="4"/>
      <c r="AD94" s="4" t="s">
        <v>416</v>
      </c>
      <c r="AE94" s="4" t="s">
        <v>417</v>
      </c>
      <c r="AF94" s="4"/>
      <c r="AG94" s="4"/>
      <c r="AH94" s="4"/>
      <c r="AU94" s="22" t="e">
        <f t="shared" si="7"/>
        <v>#DIV/0!</v>
      </c>
      <c r="AV94" s="11" t="s">
        <v>166</v>
      </c>
      <c r="AW94" s="31">
        <v>17.325394311345001</v>
      </c>
      <c r="AX94" s="31">
        <v>30.5165955954017</v>
      </c>
      <c r="AY94" s="11"/>
      <c r="AZ94" s="11"/>
      <c r="BA94" s="11"/>
      <c r="BB94" s="11">
        <v>75</v>
      </c>
      <c r="BK94" s="23" t="s">
        <v>163</v>
      </c>
      <c r="BL94" s="11" t="s">
        <v>422</v>
      </c>
    </row>
    <row r="95" spans="2:64" ht="15.6" x14ac:dyDescent="0.3">
      <c r="B95" s="11" t="s">
        <v>168</v>
      </c>
      <c r="C95" s="4" t="s">
        <v>169</v>
      </c>
      <c r="D95" s="4" t="s">
        <v>265</v>
      </c>
      <c r="E95" s="4"/>
      <c r="F95" s="55" t="s">
        <v>262</v>
      </c>
      <c r="G95" s="4">
        <v>1023.654</v>
      </c>
      <c r="H95" s="48">
        <f t="shared" ref="H95:H158" si="8">((J95)*1000)/G95</f>
        <v>167.14632092484374</v>
      </c>
      <c r="I95" s="4" t="s">
        <v>267</v>
      </c>
      <c r="J95" s="4">
        <v>171.1</v>
      </c>
      <c r="K95" s="4">
        <v>2.4500000000000002</v>
      </c>
      <c r="L95" s="4">
        <f t="shared" si="6"/>
        <v>69.836734693877546</v>
      </c>
      <c r="M95" s="4" t="s">
        <v>261</v>
      </c>
      <c r="N95" s="4"/>
      <c r="O95" s="4" t="s">
        <v>266</v>
      </c>
      <c r="P95" s="4"/>
      <c r="Q95" s="4" t="s">
        <v>407</v>
      </c>
      <c r="R95" s="4" t="s">
        <v>408</v>
      </c>
      <c r="S95" s="4"/>
      <c r="T95" s="4" t="s">
        <v>409</v>
      </c>
      <c r="U95" s="4" t="s">
        <v>410</v>
      </c>
      <c r="V95" s="4" t="s">
        <v>411</v>
      </c>
      <c r="W95" s="4" t="s">
        <v>413</v>
      </c>
      <c r="X95" s="4" t="s">
        <v>414</v>
      </c>
      <c r="Y95" s="4" t="s">
        <v>415</v>
      </c>
      <c r="Z95" s="4">
        <v>318</v>
      </c>
      <c r="AA95" s="4"/>
      <c r="AB95" s="4" t="s">
        <v>384</v>
      </c>
      <c r="AC95" s="4"/>
      <c r="AD95" s="4" t="s">
        <v>416</v>
      </c>
      <c r="AE95" s="4" t="s">
        <v>417</v>
      </c>
      <c r="AF95" s="4"/>
      <c r="AG95" s="4"/>
      <c r="AH95" s="4"/>
      <c r="AU95" s="22" t="e">
        <f t="shared" si="7"/>
        <v>#DIV/0!</v>
      </c>
      <c r="AV95" s="11" t="s">
        <v>166</v>
      </c>
      <c r="AW95" s="31">
        <v>19.971538535011199</v>
      </c>
      <c r="AX95" s="31">
        <v>29.4491093702288</v>
      </c>
      <c r="AY95" s="11"/>
      <c r="AZ95" s="11"/>
      <c r="BA95" s="11"/>
      <c r="BB95" s="11">
        <v>75</v>
      </c>
      <c r="BK95" s="23" t="s">
        <v>163</v>
      </c>
      <c r="BL95" s="11" t="s">
        <v>422</v>
      </c>
    </row>
    <row r="96" spans="2:64" ht="15.6" x14ac:dyDescent="0.3">
      <c r="B96" s="11" t="s">
        <v>168</v>
      </c>
      <c r="C96" s="4" t="s">
        <v>169</v>
      </c>
      <c r="D96" s="4" t="s">
        <v>265</v>
      </c>
      <c r="E96" s="4"/>
      <c r="F96" s="55" t="s">
        <v>262</v>
      </c>
      <c r="G96" s="4">
        <v>1023.654</v>
      </c>
      <c r="H96" s="48">
        <f t="shared" si="8"/>
        <v>167.14632092484374</v>
      </c>
      <c r="I96" s="4" t="s">
        <v>267</v>
      </c>
      <c r="J96" s="4">
        <v>171.1</v>
      </c>
      <c r="K96" s="4">
        <v>2.4500000000000002</v>
      </c>
      <c r="L96" s="4">
        <f t="shared" si="6"/>
        <v>69.836734693877546</v>
      </c>
      <c r="M96" s="4" t="s">
        <v>261</v>
      </c>
      <c r="N96" s="4"/>
      <c r="O96" s="4" t="s">
        <v>266</v>
      </c>
      <c r="P96" s="4"/>
      <c r="Q96" s="4" t="s">
        <v>407</v>
      </c>
      <c r="R96" s="4" t="s">
        <v>408</v>
      </c>
      <c r="S96" s="4"/>
      <c r="T96" s="4" t="s">
        <v>409</v>
      </c>
      <c r="U96" s="4" t="s">
        <v>410</v>
      </c>
      <c r="V96" s="4" t="s">
        <v>411</v>
      </c>
      <c r="W96" s="4" t="s">
        <v>413</v>
      </c>
      <c r="X96" s="4" t="s">
        <v>414</v>
      </c>
      <c r="Y96" s="4" t="s">
        <v>415</v>
      </c>
      <c r="Z96" s="4">
        <v>318</v>
      </c>
      <c r="AA96" s="4"/>
      <c r="AB96" s="4" t="s">
        <v>384</v>
      </c>
      <c r="AC96" s="4"/>
      <c r="AD96" s="4" t="s">
        <v>416</v>
      </c>
      <c r="AE96" s="4" t="s">
        <v>417</v>
      </c>
      <c r="AF96" s="4"/>
      <c r="AG96" s="4"/>
      <c r="AH96" s="4"/>
      <c r="AU96" s="22" t="e">
        <f t="shared" si="7"/>
        <v>#DIV/0!</v>
      </c>
      <c r="AV96" s="11" t="s">
        <v>166</v>
      </c>
      <c r="AW96" s="31">
        <v>22.8047172214673</v>
      </c>
      <c r="AX96" s="31">
        <v>28.758278594124299</v>
      </c>
      <c r="AY96" s="11"/>
      <c r="AZ96" s="11"/>
      <c r="BA96" s="11"/>
      <c r="BB96" s="11">
        <v>75</v>
      </c>
      <c r="BK96" s="23" t="s">
        <v>163</v>
      </c>
      <c r="BL96" s="11" t="s">
        <v>422</v>
      </c>
    </row>
    <row r="97" spans="2:64" ht="15.6" x14ac:dyDescent="0.3">
      <c r="B97" s="11" t="s">
        <v>168</v>
      </c>
      <c r="C97" s="4" t="s">
        <v>169</v>
      </c>
      <c r="D97" s="4" t="s">
        <v>265</v>
      </c>
      <c r="E97" s="4"/>
      <c r="F97" s="55" t="s">
        <v>262</v>
      </c>
      <c r="G97" s="4">
        <v>1023.654</v>
      </c>
      <c r="H97" s="48">
        <f t="shared" si="8"/>
        <v>167.14632092484374</v>
      </c>
      <c r="I97" s="4" t="s">
        <v>267</v>
      </c>
      <c r="J97" s="4">
        <v>171.1</v>
      </c>
      <c r="K97" s="4">
        <v>2.4500000000000002</v>
      </c>
      <c r="L97" s="4">
        <f t="shared" si="6"/>
        <v>69.836734693877546</v>
      </c>
      <c r="M97" s="4" t="s">
        <v>261</v>
      </c>
      <c r="N97" s="4"/>
      <c r="O97" s="4" t="s">
        <v>266</v>
      </c>
      <c r="P97" s="4"/>
      <c r="Q97" s="4" t="s">
        <v>407</v>
      </c>
      <c r="R97" s="4" t="s">
        <v>408</v>
      </c>
      <c r="S97" s="4"/>
      <c r="T97" s="4" t="s">
        <v>409</v>
      </c>
      <c r="U97" s="4" t="s">
        <v>410</v>
      </c>
      <c r="V97" s="4" t="s">
        <v>411</v>
      </c>
      <c r="W97" s="4" t="s">
        <v>413</v>
      </c>
      <c r="X97" s="4" t="s">
        <v>414</v>
      </c>
      <c r="Y97" s="4" t="s">
        <v>415</v>
      </c>
      <c r="Z97" s="4">
        <v>318</v>
      </c>
      <c r="AA97" s="4"/>
      <c r="AB97" s="4" t="s">
        <v>384</v>
      </c>
      <c r="AC97" s="4"/>
      <c r="AD97" s="4" t="s">
        <v>416</v>
      </c>
      <c r="AE97" s="4" t="s">
        <v>417</v>
      </c>
      <c r="AF97" s="4"/>
      <c r="AG97" s="4"/>
      <c r="AH97" s="4"/>
      <c r="AU97" s="22" t="e">
        <f t="shared" si="7"/>
        <v>#DIV/0!</v>
      </c>
      <c r="AV97" s="11" t="s">
        <v>166</v>
      </c>
      <c r="AW97" s="31">
        <v>25.071305836487699</v>
      </c>
      <c r="AX97" s="31">
        <v>27.424854358093199</v>
      </c>
      <c r="AY97" s="11"/>
      <c r="AZ97" s="11"/>
      <c r="BA97" s="11"/>
      <c r="BB97" s="11">
        <v>75</v>
      </c>
      <c r="BK97" s="23" t="s">
        <v>163</v>
      </c>
      <c r="BL97" s="11" t="s">
        <v>422</v>
      </c>
    </row>
    <row r="98" spans="2:64" ht="15.6" x14ac:dyDescent="0.3">
      <c r="B98" s="11" t="s">
        <v>168</v>
      </c>
      <c r="C98" s="4" t="s">
        <v>169</v>
      </c>
      <c r="D98" s="4" t="s">
        <v>265</v>
      </c>
      <c r="E98" s="4"/>
      <c r="F98" s="55" t="s">
        <v>262</v>
      </c>
      <c r="G98" s="4">
        <v>1023.654</v>
      </c>
      <c r="H98" s="48">
        <f t="shared" si="8"/>
        <v>167.14632092484374</v>
      </c>
      <c r="I98" s="4" t="s">
        <v>267</v>
      </c>
      <c r="J98" s="4">
        <v>171.1</v>
      </c>
      <c r="K98" s="4">
        <v>2.4500000000000002</v>
      </c>
      <c r="L98" s="4">
        <f t="shared" si="6"/>
        <v>69.836734693877546</v>
      </c>
      <c r="M98" s="4" t="s">
        <v>261</v>
      </c>
      <c r="N98" s="4"/>
      <c r="O98" s="4" t="s">
        <v>266</v>
      </c>
      <c r="P98" s="4"/>
      <c r="Q98" s="4" t="s">
        <v>407</v>
      </c>
      <c r="R98" s="4" t="s">
        <v>408</v>
      </c>
      <c r="S98" s="4"/>
      <c r="T98" s="4" t="s">
        <v>409</v>
      </c>
      <c r="U98" s="4" t="s">
        <v>410</v>
      </c>
      <c r="V98" s="4" t="s">
        <v>411</v>
      </c>
      <c r="W98" s="4" t="s">
        <v>413</v>
      </c>
      <c r="X98" s="4" t="s">
        <v>414</v>
      </c>
      <c r="Y98" s="4" t="s">
        <v>415</v>
      </c>
      <c r="Z98" s="4">
        <v>318</v>
      </c>
      <c r="AA98" s="4"/>
      <c r="AB98" s="4" t="s">
        <v>384</v>
      </c>
      <c r="AC98" s="4"/>
      <c r="AD98" s="4" t="s">
        <v>416</v>
      </c>
      <c r="AE98" s="4" t="s">
        <v>417</v>
      </c>
      <c r="AF98" s="4"/>
      <c r="AG98" s="4"/>
      <c r="AH98" s="4"/>
      <c r="AU98" s="22" t="e">
        <f t="shared" si="7"/>
        <v>#DIV/0!</v>
      </c>
      <c r="AV98" s="11" t="s">
        <v>166</v>
      </c>
      <c r="AW98" s="31">
        <v>28.090513016247701</v>
      </c>
      <c r="AX98" s="31">
        <v>26.1532564997229</v>
      </c>
      <c r="AY98" s="11"/>
      <c r="AZ98" s="11"/>
      <c r="BA98" s="11"/>
      <c r="BB98" s="11">
        <v>75</v>
      </c>
      <c r="BK98" s="23" t="s">
        <v>163</v>
      </c>
      <c r="BL98" s="11" t="s">
        <v>422</v>
      </c>
    </row>
    <row r="99" spans="2:64" ht="15.6" x14ac:dyDescent="0.3">
      <c r="B99" s="11" t="s">
        <v>168</v>
      </c>
      <c r="C99" s="4" t="s">
        <v>169</v>
      </c>
      <c r="D99" s="4" t="s">
        <v>265</v>
      </c>
      <c r="E99" s="4"/>
      <c r="F99" s="55" t="s">
        <v>262</v>
      </c>
      <c r="G99" s="4">
        <v>1023.654</v>
      </c>
      <c r="H99" s="48">
        <f t="shared" si="8"/>
        <v>167.14632092484374</v>
      </c>
      <c r="I99" s="4" t="s">
        <v>267</v>
      </c>
      <c r="J99" s="4">
        <v>171.1</v>
      </c>
      <c r="K99" s="4">
        <v>2.4500000000000002</v>
      </c>
      <c r="L99" s="4">
        <f t="shared" si="6"/>
        <v>69.836734693877546</v>
      </c>
      <c r="M99" s="4" t="s">
        <v>261</v>
      </c>
      <c r="N99" s="4"/>
      <c r="O99" s="4" t="s">
        <v>266</v>
      </c>
      <c r="P99" s="4"/>
      <c r="Q99" s="4" t="s">
        <v>407</v>
      </c>
      <c r="R99" s="4" t="s">
        <v>408</v>
      </c>
      <c r="S99" s="4"/>
      <c r="T99" s="4" t="s">
        <v>409</v>
      </c>
      <c r="U99" s="4" t="s">
        <v>410</v>
      </c>
      <c r="V99" s="4" t="s">
        <v>411</v>
      </c>
      <c r="W99" s="4" t="s">
        <v>413</v>
      </c>
      <c r="X99" s="4" t="s">
        <v>414</v>
      </c>
      <c r="Y99" s="4" t="s">
        <v>415</v>
      </c>
      <c r="Z99" s="4">
        <v>318</v>
      </c>
      <c r="AA99" s="4"/>
      <c r="AB99" s="4" t="s">
        <v>384</v>
      </c>
      <c r="AC99" s="4"/>
      <c r="AD99" s="4" t="s">
        <v>416</v>
      </c>
      <c r="AE99" s="4" t="s">
        <v>417</v>
      </c>
      <c r="AF99" s="4"/>
      <c r="AG99" s="4"/>
      <c r="AH99" s="4"/>
      <c r="AU99" s="22" t="e">
        <f t="shared" si="7"/>
        <v>#DIV/0!</v>
      </c>
      <c r="AV99" s="11" t="s">
        <v>166</v>
      </c>
      <c r="AW99" s="31">
        <v>30.882463312074101</v>
      </c>
      <c r="AX99" s="31">
        <v>24.646348057119098</v>
      </c>
      <c r="AY99" s="11"/>
      <c r="AZ99" s="11"/>
      <c r="BA99" s="11"/>
      <c r="BB99" s="11">
        <v>75</v>
      </c>
      <c r="BK99" s="23" t="s">
        <v>163</v>
      </c>
      <c r="BL99" s="11" t="s">
        <v>422</v>
      </c>
    </row>
    <row r="100" spans="2:64" ht="15.6" x14ac:dyDescent="0.3">
      <c r="B100" s="11" t="s">
        <v>168</v>
      </c>
      <c r="C100" s="4" t="s">
        <v>169</v>
      </c>
      <c r="D100" s="4" t="s">
        <v>265</v>
      </c>
      <c r="E100" s="4"/>
      <c r="F100" s="55" t="s">
        <v>262</v>
      </c>
      <c r="G100" s="4">
        <v>1023.654</v>
      </c>
      <c r="H100" s="48">
        <f t="shared" si="8"/>
        <v>167.14632092484374</v>
      </c>
      <c r="I100" s="4" t="s">
        <v>267</v>
      </c>
      <c r="J100" s="4">
        <v>171.1</v>
      </c>
      <c r="K100" s="4">
        <v>2.4500000000000002</v>
      </c>
      <c r="L100" s="4">
        <f t="shared" si="6"/>
        <v>69.836734693877546</v>
      </c>
      <c r="M100" s="4" t="s">
        <v>261</v>
      </c>
      <c r="N100" s="4"/>
      <c r="O100" s="4" t="s">
        <v>266</v>
      </c>
      <c r="P100" s="4"/>
      <c r="Q100" s="4" t="s">
        <v>407</v>
      </c>
      <c r="R100" s="4" t="s">
        <v>408</v>
      </c>
      <c r="S100" s="4"/>
      <c r="T100" s="4" t="s">
        <v>409</v>
      </c>
      <c r="U100" s="4" t="s">
        <v>410</v>
      </c>
      <c r="V100" s="4" t="s">
        <v>411</v>
      </c>
      <c r="W100" s="4" t="s">
        <v>413</v>
      </c>
      <c r="X100" s="4" t="s">
        <v>414</v>
      </c>
      <c r="Y100" s="4" t="s">
        <v>415</v>
      </c>
      <c r="Z100" s="4">
        <v>318</v>
      </c>
      <c r="AA100" s="4"/>
      <c r="AB100" s="4" t="s">
        <v>384</v>
      </c>
      <c r="AC100" s="4"/>
      <c r="AD100" s="4" t="s">
        <v>416</v>
      </c>
      <c r="AE100" s="4" t="s">
        <v>417</v>
      </c>
      <c r="AF100" s="4"/>
      <c r="AG100" s="4"/>
      <c r="AH100" s="4"/>
      <c r="AU100" s="22" t="e">
        <f t="shared" si="7"/>
        <v>#DIV/0!</v>
      </c>
      <c r="AV100" s="11" t="s">
        <v>166</v>
      </c>
      <c r="AW100" s="31">
        <v>33.314534158963802</v>
      </c>
      <c r="AX100" s="31">
        <v>23.2262652476604</v>
      </c>
      <c r="AY100" s="11"/>
      <c r="AZ100" s="11"/>
      <c r="BA100" s="11"/>
      <c r="BB100" s="11">
        <v>75</v>
      </c>
      <c r="BK100" s="23" t="s">
        <v>163</v>
      </c>
      <c r="BL100" s="11" t="s">
        <v>422</v>
      </c>
    </row>
    <row r="101" spans="2:64" ht="15.6" x14ac:dyDescent="0.3">
      <c r="B101" s="11" t="s">
        <v>168</v>
      </c>
      <c r="C101" s="4" t="s">
        <v>169</v>
      </c>
      <c r="D101" s="4" t="s">
        <v>265</v>
      </c>
      <c r="E101" s="4"/>
      <c r="F101" s="55" t="s">
        <v>262</v>
      </c>
      <c r="G101" s="4">
        <v>1023.654</v>
      </c>
      <c r="H101" s="48">
        <f t="shared" si="8"/>
        <v>167.14632092484374</v>
      </c>
      <c r="I101" s="4" t="s">
        <v>267</v>
      </c>
      <c r="J101" s="4">
        <v>171.1</v>
      </c>
      <c r="K101" s="4">
        <v>2.4500000000000002</v>
      </c>
      <c r="L101" s="4">
        <f t="shared" si="6"/>
        <v>69.836734693877546</v>
      </c>
      <c r="M101" s="4" t="s">
        <v>261</v>
      </c>
      <c r="N101" s="4"/>
      <c r="O101" s="4" t="s">
        <v>266</v>
      </c>
      <c r="P101" s="4"/>
      <c r="Q101" s="4" t="s">
        <v>407</v>
      </c>
      <c r="R101" s="4" t="s">
        <v>408</v>
      </c>
      <c r="S101" s="4"/>
      <c r="T101" s="4" t="s">
        <v>409</v>
      </c>
      <c r="U101" s="4" t="s">
        <v>410</v>
      </c>
      <c r="V101" s="4" t="s">
        <v>411</v>
      </c>
      <c r="W101" s="4" t="s">
        <v>413</v>
      </c>
      <c r="X101" s="4" t="s">
        <v>414</v>
      </c>
      <c r="Y101" s="4" t="s">
        <v>415</v>
      </c>
      <c r="Z101" s="4">
        <v>318</v>
      </c>
      <c r="AA101" s="4"/>
      <c r="AB101" s="4" t="s">
        <v>384</v>
      </c>
      <c r="AC101" s="4"/>
      <c r="AD101" s="4" t="s">
        <v>416</v>
      </c>
      <c r="AE101" s="4" t="s">
        <v>417</v>
      </c>
      <c r="AF101" s="4"/>
      <c r="AG101" s="4"/>
      <c r="AH101" s="4"/>
      <c r="AU101" s="22" t="e">
        <f t="shared" si="7"/>
        <v>#DIV/0!</v>
      </c>
      <c r="AV101" s="11" t="s">
        <v>166</v>
      </c>
      <c r="AW101" s="31">
        <v>36.974408456724099</v>
      </c>
      <c r="AX101" s="31">
        <v>21.6297523192152</v>
      </c>
      <c r="AY101" s="11"/>
      <c r="AZ101" s="11"/>
      <c r="BA101" s="11"/>
      <c r="BB101" s="11">
        <v>75</v>
      </c>
      <c r="BK101" s="23" t="s">
        <v>163</v>
      </c>
      <c r="BL101" s="11" t="s">
        <v>422</v>
      </c>
    </row>
    <row r="102" spans="2:64" ht="15.6" x14ac:dyDescent="0.3">
      <c r="B102" s="11" t="s">
        <v>168</v>
      </c>
      <c r="C102" s="4" t="s">
        <v>169</v>
      </c>
      <c r="D102" s="4" t="s">
        <v>265</v>
      </c>
      <c r="E102" s="4"/>
      <c r="F102" s="55" t="s">
        <v>262</v>
      </c>
      <c r="G102" s="4">
        <v>1023.654</v>
      </c>
      <c r="H102" s="48">
        <f t="shared" si="8"/>
        <v>167.14632092484374</v>
      </c>
      <c r="I102" s="4" t="s">
        <v>267</v>
      </c>
      <c r="J102" s="4">
        <v>171.1</v>
      </c>
      <c r="K102" s="4">
        <v>2.4500000000000002</v>
      </c>
      <c r="L102" s="4">
        <f t="shared" si="6"/>
        <v>69.836734693877546</v>
      </c>
      <c r="M102" s="4" t="s">
        <v>261</v>
      </c>
      <c r="N102" s="4"/>
      <c r="O102" s="4" t="s">
        <v>266</v>
      </c>
      <c r="P102" s="4"/>
      <c r="Q102" s="4" t="s">
        <v>407</v>
      </c>
      <c r="R102" s="4" t="s">
        <v>408</v>
      </c>
      <c r="S102" s="4"/>
      <c r="T102" s="4" t="s">
        <v>409</v>
      </c>
      <c r="U102" s="4" t="s">
        <v>410</v>
      </c>
      <c r="V102" s="4" t="s">
        <v>411</v>
      </c>
      <c r="W102" s="4" t="s">
        <v>413</v>
      </c>
      <c r="X102" s="4" t="s">
        <v>414</v>
      </c>
      <c r="Y102" s="4" t="s">
        <v>415</v>
      </c>
      <c r="Z102" s="4">
        <v>318</v>
      </c>
      <c r="AA102" s="4"/>
      <c r="AB102" s="4" t="s">
        <v>384</v>
      </c>
      <c r="AC102" s="4"/>
      <c r="AD102" s="4" t="s">
        <v>416</v>
      </c>
      <c r="AE102" s="4" t="s">
        <v>417</v>
      </c>
      <c r="AF102" s="4"/>
      <c r="AG102" s="4"/>
      <c r="AH102" s="4"/>
      <c r="AU102" s="22" t="e">
        <f t="shared" si="7"/>
        <v>#DIV/0!</v>
      </c>
      <c r="AV102" s="11" t="s">
        <v>166</v>
      </c>
      <c r="AW102" s="31">
        <v>40.265979825490803</v>
      </c>
      <c r="AX102" s="31">
        <v>20.142979527787901</v>
      </c>
      <c r="AY102" s="11"/>
      <c r="AZ102" s="11"/>
      <c r="BA102" s="11"/>
      <c r="BB102" s="11">
        <v>75</v>
      </c>
      <c r="BK102" s="23" t="s">
        <v>163</v>
      </c>
      <c r="BL102" s="11" t="s">
        <v>422</v>
      </c>
    </row>
    <row r="103" spans="2:64" ht="15.6" x14ac:dyDescent="0.3">
      <c r="B103" s="11" t="s">
        <v>168</v>
      </c>
      <c r="C103" s="4" t="s">
        <v>169</v>
      </c>
      <c r="D103" s="4" t="s">
        <v>265</v>
      </c>
      <c r="E103" s="4"/>
      <c r="F103" s="55" t="s">
        <v>262</v>
      </c>
      <c r="G103" s="4">
        <v>1023.654</v>
      </c>
      <c r="H103" s="48">
        <f t="shared" si="8"/>
        <v>167.14632092484374</v>
      </c>
      <c r="I103" s="4" t="s">
        <v>267</v>
      </c>
      <c r="J103" s="4">
        <v>171.1</v>
      </c>
      <c r="K103" s="4">
        <v>2.4500000000000002</v>
      </c>
      <c r="L103" s="4">
        <f t="shared" si="6"/>
        <v>69.836734693877546</v>
      </c>
      <c r="M103" s="4" t="s">
        <v>261</v>
      </c>
      <c r="N103" s="4"/>
      <c r="O103" s="4" t="s">
        <v>266</v>
      </c>
      <c r="P103" s="4"/>
      <c r="Q103" s="4" t="s">
        <v>407</v>
      </c>
      <c r="R103" s="4" t="s">
        <v>408</v>
      </c>
      <c r="S103" s="4"/>
      <c r="T103" s="4" t="s">
        <v>409</v>
      </c>
      <c r="U103" s="4" t="s">
        <v>410</v>
      </c>
      <c r="V103" s="4" t="s">
        <v>411</v>
      </c>
      <c r="W103" s="4" t="s">
        <v>413</v>
      </c>
      <c r="X103" s="4" t="s">
        <v>414</v>
      </c>
      <c r="Y103" s="4" t="s">
        <v>415</v>
      </c>
      <c r="Z103" s="4">
        <v>318</v>
      </c>
      <c r="AA103" s="4"/>
      <c r="AB103" s="4" t="s">
        <v>384</v>
      </c>
      <c r="AC103" s="4"/>
      <c r="AD103" s="4" t="s">
        <v>416</v>
      </c>
      <c r="AE103" s="4" t="s">
        <v>417</v>
      </c>
      <c r="AF103" s="4"/>
      <c r="AG103" s="4"/>
      <c r="AH103" s="4"/>
      <c r="AU103" s="22" t="e">
        <f t="shared" si="7"/>
        <v>#DIV/0!</v>
      </c>
      <c r="AV103" s="11" t="s">
        <v>166</v>
      </c>
      <c r="AW103" s="31">
        <v>42.621588290153198</v>
      </c>
      <c r="AX103" s="31">
        <v>18.758403622423199</v>
      </c>
      <c r="AY103" s="11"/>
      <c r="AZ103" s="11"/>
      <c r="BA103" s="11"/>
      <c r="BB103" s="11">
        <v>75</v>
      </c>
      <c r="BK103" s="23" t="s">
        <v>163</v>
      </c>
      <c r="BL103" s="11" t="s">
        <v>422</v>
      </c>
    </row>
    <row r="104" spans="2:64" ht="15.6" x14ac:dyDescent="0.3">
      <c r="B104" s="11" t="s">
        <v>168</v>
      </c>
      <c r="C104" s="4" t="s">
        <v>169</v>
      </c>
      <c r="D104" s="4" t="s">
        <v>265</v>
      </c>
      <c r="E104" s="4"/>
      <c r="F104" s="55" t="s">
        <v>262</v>
      </c>
      <c r="G104" s="4">
        <v>1023.654</v>
      </c>
      <c r="H104" s="48">
        <f t="shared" si="8"/>
        <v>167.14632092484374</v>
      </c>
      <c r="I104" s="4" t="s">
        <v>267</v>
      </c>
      <c r="J104" s="4">
        <v>171.1</v>
      </c>
      <c r="K104" s="4">
        <v>2.4500000000000002</v>
      </c>
      <c r="L104" s="4">
        <f t="shared" si="6"/>
        <v>69.836734693877546</v>
      </c>
      <c r="M104" s="4" t="s">
        <v>261</v>
      </c>
      <c r="N104" s="4"/>
      <c r="O104" s="4" t="s">
        <v>266</v>
      </c>
      <c r="P104" s="4"/>
      <c r="Q104" s="4" t="s">
        <v>407</v>
      </c>
      <c r="R104" s="4" t="s">
        <v>408</v>
      </c>
      <c r="S104" s="4"/>
      <c r="T104" s="4" t="s">
        <v>409</v>
      </c>
      <c r="U104" s="4" t="s">
        <v>410</v>
      </c>
      <c r="V104" s="4" t="s">
        <v>411</v>
      </c>
      <c r="W104" s="4" t="s">
        <v>413</v>
      </c>
      <c r="X104" s="4" t="s">
        <v>414</v>
      </c>
      <c r="Y104" s="4" t="s">
        <v>415</v>
      </c>
      <c r="Z104" s="4">
        <v>318</v>
      </c>
      <c r="AA104" s="4"/>
      <c r="AB104" s="4" t="s">
        <v>384</v>
      </c>
      <c r="AC104" s="4"/>
      <c r="AD104" s="4" t="s">
        <v>416</v>
      </c>
      <c r="AE104" s="4" t="s">
        <v>417</v>
      </c>
      <c r="AF104" s="4"/>
      <c r="AG104" s="4"/>
      <c r="AH104" s="4"/>
      <c r="AU104" s="22" t="e">
        <f t="shared" si="7"/>
        <v>#DIV/0!</v>
      </c>
      <c r="AV104" s="11" t="s">
        <v>166</v>
      </c>
      <c r="AW104" s="31">
        <v>45.978144445700799</v>
      </c>
      <c r="AX104" s="31">
        <v>17.262885979925102</v>
      </c>
      <c r="AY104" s="11"/>
      <c r="AZ104" s="11"/>
      <c r="BA104" s="11"/>
      <c r="BB104" s="11">
        <v>75</v>
      </c>
      <c r="BK104" s="23" t="s">
        <v>163</v>
      </c>
      <c r="BL104" s="11" t="s">
        <v>422</v>
      </c>
    </row>
    <row r="105" spans="2:64" ht="15.6" x14ac:dyDescent="0.3">
      <c r="B105" s="11" t="s">
        <v>168</v>
      </c>
      <c r="C105" s="4" t="s">
        <v>169</v>
      </c>
      <c r="D105" s="4" t="s">
        <v>265</v>
      </c>
      <c r="E105" s="4"/>
      <c r="F105" s="55" t="s">
        <v>262</v>
      </c>
      <c r="G105" s="4">
        <v>1023.654</v>
      </c>
      <c r="H105" s="48">
        <f t="shared" si="8"/>
        <v>167.14632092484374</v>
      </c>
      <c r="I105" s="4" t="s">
        <v>267</v>
      </c>
      <c r="J105" s="4">
        <v>171.1</v>
      </c>
      <c r="K105" s="4">
        <v>2.4500000000000002</v>
      </c>
      <c r="L105" s="4">
        <f t="shared" si="6"/>
        <v>69.836734693877546</v>
      </c>
      <c r="M105" s="4" t="s">
        <v>261</v>
      </c>
      <c r="N105" s="4"/>
      <c r="O105" s="4" t="s">
        <v>266</v>
      </c>
      <c r="P105" s="4"/>
      <c r="Q105" s="4" t="s">
        <v>407</v>
      </c>
      <c r="R105" s="4" t="s">
        <v>408</v>
      </c>
      <c r="S105" s="4"/>
      <c r="T105" s="4" t="s">
        <v>409</v>
      </c>
      <c r="U105" s="4" t="s">
        <v>410</v>
      </c>
      <c r="V105" s="4" t="s">
        <v>411</v>
      </c>
      <c r="W105" s="4" t="s">
        <v>413</v>
      </c>
      <c r="X105" s="4" t="s">
        <v>414</v>
      </c>
      <c r="Y105" s="4" t="s">
        <v>415</v>
      </c>
      <c r="Z105" s="4">
        <v>318</v>
      </c>
      <c r="AA105" s="4"/>
      <c r="AB105" s="4" t="s">
        <v>384</v>
      </c>
      <c r="AC105" s="4"/>
      <c r="AD105" s="4" t="s">
        <v>416</v>
      </c>
      <c r="AE105" s="4" t="s">
        <v>417</v>
      </c>
      <c r="AF105" s="4"/>
      <c r="AG105" s="4"/>
      <c r="AH105" s="4"/>
      <c r="AU105" s="22" t="e">
        <f t="shared" si="7"/>
        <v>#DIV/0!</v>
      </c>
      <c r="AV105" s="11" t="s">
        <v>166</v>
      </c>
      <c r="AW105" s="31">
        <v>49.131273878296597</v>
      </c>
      <c r="AX105" s="31">
        <v>15.6991554094859</v>
      </c>
      <c r="AY105" s="11"/>
      <c r="AZ105" s="11"/>
      <c r="BA105" s="11"/>
      <c r="BB105" s="11">
        <v>75</v>
      </c>
      <c r="BK105" s="23" t="s">
        <v>163</v>
      </c>
      <c r="BL105" s="11" t="s">
        <v>422</v>
      </c>
    </row>
    <row r="106" spans="2:64" ht="15.6" x14ac:dyDescent="0.3">
      <c r="B106" s="11" t="s">
        <v>168</v>
      </c>
      <c r="C106" s="4" t="s">
        <v>169</v>
      </c>
      <c r="D106" s="4" t="s">
        <v>265</v>
      </c>
      <c r="E106" s="4"/>
      <c r="F106" s="55" t="s">
        <v>262</v>
      </c>
      <c r="G106" s="4">
        <v>1023.654</v>
      </c>
      <c r="H106" s="48">
        <f t="shared" si="8"/>
        <v>167.14632092484374</v>
      </c>
      <c r="I106" s="4" t="s">
        <v>267</v>
      </c>
      <c r="J106" s="4">
        <v>171.1</v>
      </c>
      <c r="K106" s="4">
        <v>2.4500000000000002</v>
      </c>
      <c r="L106" s="4">
        <f t="shared" si="6"/>
        <v>69.836734693877546</v>
      </c>
      <c r="M106" s="4" t="s">
        <v>261</v>
      </c>
      <c r="N106" s="4"/>
      <c r="O106" s="4" t="s">
        <v>266</v>
      </c>
      <c r="P106" s="4"/>
      <c r="Q106" s="4" t="s">
        <v>407</v>
      </c>
      <c r="R106" s="4" t="s">
        <v>408</v>
      </c>
      <c r="S106" s="4"/>
      <c r="T106" s="4" t="s">
        <v>409</v>
      </c>
      <c r="U106" s="4" t="s">
        <v>410</v>
      </c>
      <c r="V106" s="4" t="s">
        <v>411</v>
      </c>
      <c r="W106" s="4" t="s">
        <v>413</v>
      </c>
      <c r="X106" s="4" t="s">
        <v>414</v>
      </c>
      <c r="Y106" s="4" t="s">
        <v>415</v>
      </c>
      <c r="Z106" s="4">
        <v>318</v>
      </c>
      <c r="AA106" s="4"/>
      <c r="AB106" s="4" t="s">
        <v>384</v>
      </c>
      <c r="AC106" s="4"/>
      <c r="AD106" s="4" t="s">
        <v>416</v>
      </c>
      <c r="AE106" s="4" t="s">
        <v>417</v>
      </c>
      <c r="AF106" s="4"/>
      <c r="AG106" s="4"/>
      <c r="AH106" s="4"/>
      <c r="AU106" s="22" t="e">
        <f t="shared" si="7"/>
        <v>#DIV/0!</v>
      </c>
      <c r="AV106" s="11" t="s">
        <v>166</v>
      </c>
      <c r="AW106" s="31">
        <v>52.500641380926901</v>
      </c>
      <c r="AX106" s="31">
        <v>14.620036390149</v>
      </c>
      <c r="AY106" s="11"/>
      <c r="AZ106" s="11"/>
      <c r="BA106" s="11"/>
      <c r="BB106" s="11">
        <v>75</v>
      </c>
      <c r="BK106" s="23" t="s">
        <v>163</v>
      </c>
      <c r="BL106" s="11" t="s">
        <v>422</v>
      </c>
    </row>
    <row r="107" spans="2:64" ht="15.6" x14ac:dyDescent="0.3">
      <c r="B107" s="11" t="s">
        <v>168</v>
      </c>
      <c r="C107" s="4" t="s">
        <v>169</v>
      </c>
      <c r="D107" s="4" t="s">
        <v>265</v>
      </c>
      <c r="E107" s="4"/>
      <c r="F107" s="55" t="s">
        <v>262</v>
      </c>
      <c r="G107" s="4">
        <v>1023.654</v>
      </c>
      <c r="H107" s="48">
        <f t="shared" si="8"/>
        <v>167.14632092484374</v>
      </c>
      <c r="I107" s="4" t="s">
        <v>267</v>
      </c>
      <c r="J107" s="4">
        <v>171.1</v>
      </c>
      <c r="K107" s="4">
        <v>2.4500000000000002</v>
      </c>
      <c r="L107" s="4">
        <f t="shared" si="6"/>
        <v>69.836734693877546</v>
      </c>
      <c r="M107" s="4" t="s">
        <v>261</v>
      </c>
      <c r="N107" s="4"/>
      <c r="O107" s="4" t="s">
        <v>266</v>
      </c>
      <c r="P107" s="4"/>
      <c r="Q107" s="4" t="s">
        <v>407</v>
      </c>
      <c r="R107" s="4" t="s">
        <v>408</v>
      </c>
      <c r="S107" s="4"/>
      <c r="T107" s="4" t="s">
        <v>409</v>
      </c>
      <c r="U107" s="4" t="s">
        <v>410</v>
      </c>
      <c r="V107" s="4" t="s">
        <v>411</v>
      </c>
      <c r="W107" s="4" t="s">
        <v>413</v>
      </c>
      <c r="X107" s="4" t="s">
        <v>414</v>
      </c>
      <c r="Y107" s="4" t="s">
        <v>415</v>
      </c>
      <c r="Z107" s="4">
        <v>318</v>
      </c>
      <c r="AA107" s="4"/>
      <c r="AB107" s="4" t="s">
        <v>384</v>
      </c>
      <c r="AC107" s="4"/>
      <c r="AD107" s="4" t="s">
        <v>416</v>
      </c>
      <c r="AE107" s="4" t="s">
        <v>417</v>
      </c>
      <c r="AF107" s="4"/>
      <c r="AG107" s="4"/>
      <c r="AH107" s="4"/>
      <c r="AU107" s="22" t="e">
        <f t="shared" si="7"/>
        <v>#DIV/0!</v>
      </c>
      <c r="AV107" s="11" t="s">
        <v>166</v>
      </c>
      <c r="AW107" s="31">
        <v>55.571992327137302</v>
      </c>
      <c r="AX107" s="31">
        <v>13.1388302294858</v>
      </c>
      <c r="AY107" s="11"/>
      <c r="AZ107" s="11"/>
      <c r="BA107" s="11"/>
      <c r="BB107" s="11">
        <v>75</v>
      </c>
      <c r="BK107" s="23" t="s">
        <v>163</v>
      </c>
      <c r="BL107" s="11" t="s">
        <v>422</v>
      </c>
    </row>
    <row r="108" spans="2:64" ht="15.6" x14ac:dyDescent="0.3">
      <c r="B108" s="11" t="s">
        <v>168</v>
      </c>
      <c r="C108" s="4" t="s">
        <v>169</v>
      </c>
      <c r="D108" s="4" t="s">
        <v>265</v>
      </c>
      <c r="E108" s="4"/>
      <c r="F108" s="55" t="s">
        <v>262</v>
      </c>
      <c r="G108" s="4">
        <v>1023.654</v>
      </c>
      <c r="H108" s="48">
        <f t="shared" si="8"/>
        <v>167.14632092484374</v>
      </c>
      <c r="I108" s="4" t="s">
        <v>267</v>
      </c>
      <c r="J108" s="4">
        <v>171.1</v>
      </c>
      <c r="K108" s="4">
        <v>2.4500000000000002</v>
      </c>
      <c r="L108" s="4">
        <f t="shared" si="6"/>
        <v>69.836734693877546</v>
      </c>
      <c r="M108" s="4" t="s">
        <v>261</v>
      </c>
      <c r="N108" s="4"/>
      <c r="O108" s="4" t="s">
        <v>266</v>
      </c>
      <c r="P108" s="4"/>
      <c r="Q108" s="4" t="s">
        <v>407</v>
      </c>
      <c r="R108" s="4" t="s">
        <v>408</v>
      </c>
      <c r="S108" s="4"/>
      <c r="T108" s="4" t="s">
        <v>409</v>
      </c>
      <c r="U108" s="4" t="s">
        <v>410</v>
      </c>
      <c r="V108" s="4" t="s">
        <v>411</v>
      </c>
      <c r="W108" s="4" t="s">
        <v>413</v>
      </c>
      <c r="X108" s="4" t="s">
        <v>414</v>
      </c>
      <c r="Y108" s="4" t="s">
        <v>415</v>
      </c>
      <c r="Z108" s="4">
        <v>318</v>
      </c>
      <c r="AA108" s="4"/>
      <c r="AB108" s="4" t="s">
        <v>384</v>
      </c>
      <c r="AC108" s="4"/>
      <c r="AD108" s="4" t="s">
        <v>416</v>
      </c>
      <c r="AE108" s="4" t="s">
        <v>417</v>
      </c>
      <c r="AF108" s="4"/>
      <c r="AG108" s="4"/>
      <c r="AH108" s="4"/>
      <c r="AU108" s="22" t="e">
        <f t="shared" si="7"/>
        <v>#DIV/0!</v>
      </c>
      <c r="AV108" s="11" t="s">
        <v>166</v>
      </c>
      <c r="AW108" s="31">
        <v>59.383057056850902</v>
      </c>
      <c r="AX108" s="31">
        <v>11.9486705705765</v>
      </c>
      <c r="AY108" s="11"/>
      <c r="AZ108" s="11"/>
      <c r="BA108" s="11"/>
      <c r="BB108" s="11">
        <v>75</v>
      </c>
      <c r="BK108" s="23" t="s">
        <v>163</v>
      </c>
      <c r="BL108" s="11" t="s">
        <v>422</v>
      </c>
    </row>
    <row r="109" spans="2:64" ht="15.6" x14ac:dyDescent="0.3">
      <c r="B109" s="11" t="s">
        <v>168</v>
      </c>
      <c r="C109" s="4" t="s">
        <v>169</v>
      </c>
      <c r="D109" s="4" t="s">
        <v>265</v>
      </c>
      <c r="E109" s="4"/>
      <c r="F109" s="55" t="s">
        <v>262</v>
      </c>
      <c r="G109" s="4">
        <v>1023.654</v>
      </c>
      <c r="H109" s="48">
        <f t="shared" si="8"/>
        <v>167.14632092484374</v>
      </c>
      <c r="I109" s="4" t="s">
        <v>267</v>
      </c>
      <c r="J109" s="4">
        <v>171.1</v>
      </c>
      <c r="K109" s="4">
        <v>2.4500000000000002</v>
      </c>
      <c r="L109" s="4">
        <f t="shared" si="6"/>
        <v>69.836734693877546</v>
      </c>
      <c r="M109" s="4" t="s">
        <v>261</v>
      </c>
      <c r="N109" s="4"/>
      <c r="O109" s="4" t="s">
        <v>266</v>
      </c>
      <c r="P109" s="4"/>
      <c r="Q109" s="4" t="s">
        <v>407</v>
      </c>
      <c r="R109" s="4" t="s">
        <v>408</v>
      </c>
      <c r="S109" s="4"/>
      <c r="T109" s="4" t="s">
        <v>409</v>
      </c>
      <c r="U109" s="4" t="s">
        <v>410</v>
      </c>
      <c r="V109" s="4" t="s">
        <v>411</v>
      </c>
      <c r="W109" s="4" t="s">
        <v>413</v>
      </c>
      <c r="X109" s="4" t="s">
        <v>414</v>
      </c>
      <c r="Y109" s="4" t="s">
        <v>415</v>
      </c>
      <c r="Z109" s="4">
        <v>318</v>
      </c>
      <c r="AA109" s="4"/>
      <c r="AB109" s="4" t="s">
        <v>384</v>
      </c>
      <c r="AC109" s="4"/>
      <c r="AD109" s="4" t="s">
        <v>416</v>
      </c>
      <c r="AE109" s="4" t="s">
        <v>417</v>
      </c>
      <c r="AF109" s="4"/>
      <c r="AG109" s="4"/>
      <c r="AH109" s="4"/>
      <c r="AU109" s="22" t="e">
        <f t="shared" si="7"/>
        <v>#DIV/0!</v>
      </c>
      <c r="AV109" s="11" t="s">
        <v>166</v>
      </c>
      <c r="AW109" s="31">
        <v>62.857037634670696</v>
      </c>
      <c r="AX109" s="31">
        <v>10.866319596988101</v>
      </c>
      <c r="AY109" s="11"/>
      <c r="AZ109" s="11"/>
      <c r="BA109" s="11"/>
      <c r="BB109" s="11">
        <v>75</v>
      </c>
      <c r="BK109" s="23" t="s">
        <v>163</v>
      </c>
      <c r="BL109" s="11" t="s">
        <v>422</v>
      </c>
    </row>
    <row r="110" spans="2:64" ht="15.6" x14ac:dyDescent="0.3">
      <c r="B110" s="11" t="s">
        <v>168</v>
      </c>
      <c r="C110" s="4" t="s">
        <v>169</v>
      </c>
      <c r="D110" s="4" t="s">
        <v>265</v>
      </c>
      <c r="E110" s="4"/>
      <c r="F110" s="55" t="s">
        <v>262</v>
      </c>
      <c r="G110" s="4">
        <v>1023.654</v>
      </c>
      <c r="H110" s="48">
        <f t="shared" si="8"/>
        <v>167.14632092484374</v>
      </c>
      <c r="I110" s="4" t="s">
        <v>267</v>
      </c>
      <c r="J110" s="4">
        <v>171.1</v>
      </c>
      <c r="K110" s="4">
        <v>2.4500000000000002</v>
      </c>
      <c r="L110" s="4">
        <f t="shared" si="6"/>
        <v>69.836734693877546</v>
      </c>
      <c r="M110" s="4" t="s">
        <v>261</v>
      </c>
      <c r="N110" s="4"/>
      <c r="O110" s="4" t="s">
        <v>266</v>
      </c>
      <c r="P110" s="4"/>
      <c r="Q110" s="4" t="s">
        <v>407</v>
      </c>
      <c r="R110" s="4" t="s">
        <v>408</v>
      </c>
      <c r="S110" s="4"/>
      <c r="T110" s="4" t="s">
        <v>409</v>
      </c>
      <c r="U110" s="4" t="s">
        <v>410</v>
      </c>
      <c r="V110" s="4" t="s">
        <v>411</v>
      </c>
      <c r="W110" s="4" t="s">
        <v>413</v>
      </c>
      <c r="X110" s="4" t="s">
        <v>414</v>
      </c>
      <c r="Y110" s="4" t="s">
        <v>415</v>
      </c>
      <c r="Z110" s="4">
        <v>318</v>
      </c>
      <c r="AA110" s="4"/>
      <c r="AB110" s="4" t="s">
        <v>384</v>
      </c>
      <c r="AC110" s="4"/>
      <c r="AD110" s="4" t="s">
        <v>416</v>
      </c>
      <c r="AE110" s="4" t="s">
        <v>417</v>
      </c>
      <c r="AF110" s="4"/>
      <c r="AG110" s="4"/>
      <c r="AH110" s="4"/>
      <c r="AU110" s="22" t="e">
        <f t="shared" si="7"/>
        <v>#DIV/0!</v>
      </c>
      <c r="AV110" s="11" t="s">
        <v>166</v>
      </c>
      <c r="AW110" s="31">
        <v>66.534250273169405</v>
      </c>
      <c r="AX110" s="31">
        <v>9.8820116335496007</v>
      </c>
      <c r="AY110" s="11"/>
      <c r="AZ110" s="11"/>
      <c r="BA110" s="11"/>
      <c r="BB110" s="11">
        <v>75</v>
      </c>
      <c r="BK110" s="23" t="s">
        <v>163</v>
      </c>
      <c r="BL110" s="11" t="s">
        <v>422</v>
      </c>
    </row>
    <row r="111" spans="2:64" ht="15.6" x14ac:dyDescent="0.3">
      <c r="B111" s="11" t="s">
        <v>168</v>
      </c>
      <c r="C111" s="4" t="s">
        <v>169</v>
      </c>
      <c r="D111" s="4" t="s">
        <v>265</v>
      </c>
      <c r="E111" s="4"/>
      <c r="F111" s="55" t="s">
        <v>262</v>
      </c>
      <c r="G111" s="4">
        <v>1023.654</v>
      </c>
      <c r="H111" s="48">
        <f t="shared" si="8"/>
        <v>167.14632092484374</v>
      </c>
      <c r="I111" s="4" t="s">
        <v>267</v>
      </c>
      <c r="J111" s="4">
        <v>171.1</v>
      </c>
      <c r="K111" s="4">
        <v>2.4500000000000002</v>
      </c>
      <c r="L111" s="4">
        <f t="shared" si="6"/>
        <v>69.836734693877546</v>
      </c>
      <c r="M111" s="4" t="s">
        <v>261</v>
      </c>
      <c r="N111" s="4"/>
      <c r="O111" s="4" t="s">
        <v>266</v>
      </c>
      <c r="P111" s="4"/>
      <c r="Q111" s="4" t="s">
        <v>407</v>
      </c>
      <c r="R111" s="4" t="s">
        <v>408</v>
      </c>
      <c r="S111" s="4"/>
      <c r="T111" s="4" t="s">
        <v>409</v>
      </c>
      <c r="U111" s="4" t="s">
        <v>410</v>
      </c>
      <c r="V111" s="4" t="s">
        <v>411</v>
      </c>
      <c r="W111" s="4" t="s">
        <v>413</v>
      </c>
      <c r="X111" s="4" t="s">
        <v>414</v>
      </c>
      <c r="Y111" s="4" t="s">
        <v>415</v>
      </c>
      <c r="Z111" s="4">
        <v>318</v>
      </c>
      <c r="AA111" s="4"/>
      <c r="AB111" s="4" t="s">
        <v>384</v>
      </c>
      <c r="AC111" s="4"/>
      <c r="AD111" s="4" t="s">
        <v>416</v>
      </c>
      <c r="AE111" s="4" t="s">
        <v>417</v>
      </c>
      <c r="AF111" s="4"/>
      <c r="AG111" s="4"/>
      <c r="AH111" s="4"/>
      <c r="AU111" s="22" t="e">
        <f t="shared" si="7"/>
        <v>#DIV/0!</v>
      </c>
      <c r="AV111" s="11" t="s">
        <v>166</v>
      </c>
      <c r="AW111" s="31">
        <v>71.097094323124296</v>
      </c>
      <c r="AX111" s="31">
        <v>8.7760475787679297</v>
      </c>
      <c r="AY111" s="11"/>
      <c r="AZ111" s="11"/>
      <c r="BA111" s="11"/>
      <c r="BB111" s="11">
        <v>75</v>
      </c>
      <c r="BK111" s="23" t="s">
        <v>163</v>
      </c>
      <c r="BL111" s="11" t="s">
        <v>422</v>
      </c>
    </row>
    <row r="112" spans="2:64" ht="15.6" x14ac:dyDescent="0.3">
      <c r="B112" s="11" t="s">
        <v>168</v>
      </c>
      <c r="C112" s="4" t="s">
        <v>169</v>
      </c>
      <c r="D112" s="4" t="s">
        <v>265</v>
      </c>
      <c r="E112" s="4"/>
      <c r="F112" s="55" t="s">
        <v>262</v>
      </c>
      <c r="G112" s="4">
        <v>1023.654</v>
      </c>
      <c r="H112" s="48">
        <f t="shared" si="8"/>
        <v>167.14632092484374</v>
      </c>
      <c r="I112" s="4" t="s">
        <v>267</v>
      </c>
      <c r="J112" s="4">
        <v>171.1</v>
      </c>
      <c r="K112" s="4">
        <v>2.4500000000000002</v>
      </c>
      <c r="L112" s="4">
        <f t="shared" si="6"/>
        <v>69.836734693877546</v>
      </c>
      <c r="M112" s="4" t="s">
        <v>261</v>
      </c>
      <c r="N112" s="4"/>
      <c r="O112" s="4" t="s">
        <v>266</v>
      </c>
      <c r="P112" s="4"/>
      <c r="Q112" s="4" t="s">
        <v>407</v>
      </c>
      <c r="R112" s="4" t="s">
        <v>408</v>
      </c>
      <c r="S112" s="4"/>
      <c r="T112" s="4" t="s">
        <v>409</v>
      </c>
      <c r="U112" s="4" t="s">
        <v>410</v>
      </c>
      <c r="V112" s="4" t="s">
        <v>411</v>
      </c>
      <c r="W112" s="4" t="s">
        <v>413</v>
      </c>
      <c r="X112" s="4" t="s">
        <v>414</v>
      </c>
      <c r="Y112" s="4" t="s">
        <v>415</v>
      </c>
      <c r="Z112" s="4">
        <v>318</v>
      </c>
      <c r="AA112" s="4"/>
      <c r="AB112" s="4" t="s">
        <v>384</v>
      </c>
      <c r="AC112" s="4"/>
      <c r="AD112" s="4" t="s">
        <v>416</v>
      </c>
      <c r="AE112" s="4" t="s">
        <v>417</v>
      </c>
      <c r="AF112" s="4"/>
      <c r="AG112" s="4"/>
      <c r="AH112" s="4"/>
      <c r="AU112" s="22" t="e">
        <f t="shared" si="7"/>
        <v>#DIV/0!</v>
      </c>
      <c r="AV112" s="11" t="s">
        <v>166</v>
      </c>
      <c r="AW112" s="31">
        <v>73.843582330271204</v>
      </c>
      <c r="AX112" s="31">
        <v>7.8869160203332997</v>
      </c>
      <c r="AY112" s="11"/>
      <c r="AZ112" s="11"/>
      <c r="BA112" s="11"/>
      <c r="BB112" s="11">
        <v>75</v>
      </c>
      <c r="BK112" s="23" t="s">
        <v>163</v>
      </c>
      <c r="BL112" s="11" t="s">
        <v>422</v>
      </c>
    </row>
    <row r="113" spans="2:64" ht="15.6" x14ac:dyDescent="0.3">
      <c r="B113" s="11" t="s">
        <v>168</v>
      </c>
      <c r="C113" s="4" t="s">
        <v>169</v>
      </c>
      <c r="D113" s="4" t="s">
        <v>265</v>
      </c>
      <c r="E113" s="4"/>
      <c r="F113" s="55" t="s">
        <v>262</v>
      </c>
      <c r="G113" s="4">
        <v>1023.654</v>
      </c>
      <c r="H113" s="48">
        <f t="shared" si="8"/>
        <v>167.14632092484374</v>
      </c>
      <c r="I113" s="4" t="s">
        <v>267</v>
      </c>
      <c r="J113" s="4">
        <v>171.1</v>
      </c>
      <c r="K113" s="4">
        <v>2.4500000000000002</v>
      </c>
      <c r="L113" s="4">
        <f t="shared" si="6"/>
        <v>69.836734693877546</v>
      </c>
      <c r="M113" s="4" t="s">
        <v>261</v>
      </c>
      <c r="N113" s="4"/>
      <c r="O113" s="4" t="s">
        <v>266</v>
      </c>
      <c r="P113" s="4"/>
      <c r="Q113" s="4" t="s">
        <v>407</v>
      </c>
      <c r="R113" s="4" t="s">
        <v>408</v>
      </c>
      <c r="S113" s="4"/>
      <c r="T113" s="4" t="s">
        <v>409</v>
      </c>
      <c r="U113" s="4" t="s">
        <v>410</v>
      </c>
      <c r="V113" s="4" t="s">
        <v>411</v>
      </c>
      <c r="W113" s="4" t="s">
        <v>413</v>
      </c>
      <c r="X113" s="4" t="s">
        <v>414</v>
      </c>
      <c r="Y113" s="4" t="s">
        <v>415</v>
      </c>
      <c r="Z113" s="4">
        <v>318</v>
      </c>
      <c r="AA113" s="4"/>
      <c r="AB113" s="4" t="s">
        <v>384</v>
      </c>
      <c r="AC113" s="4"/>
      <c r="AD113" s="4" t="s">
        <v>416</v>
      </c>
      <c r="AE113" s="4" t="s">
        <v>417</v>
      </c>
      <c r="AF113" s="4"/>
      <c r="AG113" s="4"/>
      <c r="AH113" s="4"/>
      <c r="AU113" s="22" t="e">
        <f t="shared" si="7"/>
        <v>#DIV/0!</v>
      </c>
      <c r="AV113" s="11" t="s">
        <v>166</v>
      </c>
      <c r="AW113" s="31">
        <v>75.972853086008598</v>
      </c>
      <c r="AX113" s="31">
        <v>7.0878654375438996</v>
      </c>
      <c r="AY113" s="11"/>
      <c r="AZ113" s="11"/>
      <c r="BA113" s="11"/>
      <c r="BB113" s="11">
        <v>75</v>
      </c>
      <c r="BK113" s="23" t="s">
        <v>163</v>
      </c>
      <c r="BL113" s="11" t="s">
        <v>422</v>
      </c>
    </row>
    <row r="114" spans="2:64" ht="15.6" x14ac:dyDescent="0.3">
      <c r="B114" s="11" t="s">
        <v>168</v>
      </c>
      <c r="C114" s="4" t="s">
        <v>169</v>
      </c>
      <c r="D114" s="4" t="s">
        <v>265</v>
      </c>
      <c r="E114" s="4"/>
      <c r="F114" s="55" t="s">
        <v>262</v>
      </c>
      <c r="G114" s="4">
        <v>1023.654</v>
      </c>
      <c r="H114" s="48">
        <f t="shared" si="8"/>
        <v>167.14632092484374</v>
      </c>
      <c r="I114" s="4" t="s">
        <v>267</v>
      </c>
      <c r="J114" s="4">
        <v>171.1</v>
      </c>
      <c r="K114" s="4">
        <v>2.4500000000000002</v>
      </c>
      <c r="L114" s="4">
        <f t="shared" si="6"/>
        <v>69.836734693877546</v>
      </c>
      <c r="M114" s="4" t="s">
        <v>261</v>
      </c>
      <c r="N114" s="4"/>
      <c r="O114" s="4" t="s">
        <v>266</v>
      </c>
      <c r="P114" s="4"/>
      <c r="Q114" s="4" t="s">
        <v>407</v>
      </c>
      <c r="R114" s="4" t="s">
        <v>408</v>
      </c>
      <c r="S114" s="4"/>
      <c r="T114" s="4" t="s">
        <v>409</v>
      </c>
      <c r="U114" s="4" t="s">
        <v>410</v>
      </c>
      <c r="V114" s="4" t="s">
        <v>411</v>
      </c>
      <c r="W114" s="4" t="s">
        <v>413</v>
      </c>
      <c r="X114" s="4" t="s">
        <v>414</v>
      </c>
      <c r="Y114" s="4" t="s">
        <v>415</v>
      </c>
      <c r="Z114" s="4">
        <v>318</v>
      </c>
      <c r="AA114" s="4"/>
      <c r="AB114" s="4" t="s">
        <v>384</v>
      </c>
      <c r="AC114" s="4"/>
      <c r="AD114" s="4" t="s">
        <v>416</v>
      </c>
      <c r="AE114" s="4" t="s">
        <v>417</v>
      </c>
      <c r="AF114" s="4"/>
      <c r="AG114" s="4"/>
      <c r="AH114" s="4"/>
      <c r="AU114" s="22" t="e">
        <f t="shared" si="7"/>
        <v>#DIV/0!</v>
      </c>
      <c r="AV114" s="11" t="s">
        <v>166</v>
      </c>
      <c r="AW114" s="31">
        <v>80.417356773477593</v>
      </c>
      <c r="AX114" s="31">
        <v>6.4458226251928501</v>
      </c>
      <c r="AY114" s="11"/>
      <c r="AZ114" s="11"/>
      <c r="BA114" s="11"/>
      <c r="BB114" s="11">
        <v>75</v>
      </c>
      <c r="BK114" s="23" t="s">
        <v>163</v>
      </c>
      <c r="BL114" s="11" t="s">
        <v>422</v>
      </c>
    </row>
    <row r="115" spans="2:64" ht="15.6" x14ac:dyDescent="0.3">
      <c r="B115" s="11" t="s">
        <v>168</v>
      </c>
      <c r="C115" s="4" t="s">
        <v>169</v>
      </c>
      <c r="D115" s="4" t="s">
        <v>265</v>
      </c>
      <c r="E115" s="4"/>
      <c r="F115" s="55" t="s">
        <v>262</v>
      </c>
      <c r="G115" s="4">
        <v>1023.654</v>
      </c>
      <c r="H115" s="48">
        <f t="shared" si="8"/>
        <v>167.14632092484374</v>
      </c>
      <c r="I115" s="4" t="s">
        <v>267</v>
      </c>
      <c r="J115" s="4">
        <v>171.1</v>
      </c>
      <c r="K115" s="4">
        <v>2.4500000000000002</v>
      </c>
      <c r="L115" s="4">
        <f t="shared" si="6"/>
        <v>69.836734693877546</v>
      </c>
      <c r="M115" s="4" t="s">
        <v>261</v>
      </c>
      <c r="N115" s="4"/>
      <c r="O115" s="4" t="s">
        <v>266</v>
      </c>
      <c r="P115" s="4"/>
      <c r="Q115" s="4" t="s">
        <v>407</v>
      </c>
      <c r="R115" s="4" t="s">
        <v>408</v>
      </c>
      <c r="S115" s="4"/>
      <c r="T115" s="4" t="s">
        <v>409</v>
      </c>
      <c r="U115" s="4" t="s">
        <v>410</v>
      </c>
      <c r="V115" s="4" t="s">
        <v>411</v>
      </c>
      <c r="W115" s="4" t="s">
        <v>413</v>
      </c>
      <c r="X115" s="4" t="s">
        <v>414</v>
      </c>
      <c r="Y115" s="4" t="s">
        <v>415</v>
      </c>
      <c r="Z115" s="4">
        <v>318</v>
      </c>
      <c r="AA115" s="4"/>
      <c r="AB115" s="4" t="s">
        <v>384</v>
      </c>
      <c r="AC115" s="4"/>
      <c r="AD115" s="4" t="s">
        <v>416</v>
      </c>
      <c r="AE115" s="4" t="s">
        <v>417</v>
      </c>
      <c r="AF115" s="4"/>
      <c r="AG115" s="4"/>
      <c r="AH115" s="4"/>
      <c r="AU115" s="22" t="e">
        <f t="shared" si="7"/>
        <v>#DIV/0!</v>
      </c>
      <c r="AV115" s="11" t="s">
        <v>166</v>
      </c>
      <c r="AW115" s="31">
        <v>84.319092928662499</v>
      </c>
      <c r="AX115" s="31">
        <v>5.7927741697587001</v>
      </c>
      <c r="AY115" s="11"/>
      <c r="AZ115" s="11"/>
      <c r="BA115" s="11"/>
      <c r="BB115" s="11">
        <v>75</v>
      </c>
      <c r="BK115" s="23" t="s">
        <v>163</v>
      </c>
      <c r="BL115" s="11" t="s">
        <v>422</v>
      </c>
    </row>
    <row r="116" spans="2:64" ht="15.6" x14ac:dyDescent="0.3">
      <c r="B116" s="11" t="s">
        <v>168</v>
      </c>
      <c r="C116" s="4" t="s">
        <v>169</v>
      </c>
      <c r="D116" s="4" t="s">
        <v>265</v>
      </c>
      <c r="E116" s="4"/>
      <c r="F116" s="55" t="s">
        <v>262</v>
      </c>
      <c r="G116" s="4">
        <v>1023.654</v>
      </c>
      <c r="H116" s="48">
        <f t="shared" si="8"/>
        <v>167.14632092484374</v>
      </c>
      <c r="I116" s="4" t="s">
        <v>267</v>
      </c>
      <c r="J116" s="4">
        <v>171.1</v>
      </c>
      <c r="K116" s="4">
        <v>2.4500000000000002</v>
      </c>
      <c r="L116" s="4">
        <f t="shared" si="6"/>
        <v>69.836734693877546</v>
      </c>
      <c r="M116" s="4" t="s">
        <v>261</v>
      </c>
      <c r="N116" s="4"/>
      <c r="O116" s="4" t="s">
        <v>266</v>
      </c>
      <c r="P116" s="4"/>
      <c r="Q116" s="4" t="s">
        <v>407</v>
      </c>
      <c r="R116" s="4" t="s">
        <v>408</v>
      </c>
      <c r="S116" s="4"/>
      <c r="T116" s="4" t="s">
        <v>409</v>
      </c>
      <c r="U116" s="4" t="s">
        <v>410</v>
      </c>
      <c r="V116" s="4" t="s">
        <v>411</v>
      </c>
      <c r="W116" s="4" t="s">
        <v>413</v>
      </c>
      <c r="X116" s="4" t="s">
        <v>414</v>
      </c>
      <c r="Y116" s="4" t="s">
        <v>415</v>
      </c>
      <c r="Z116" s="4">
        <v>318</v>
      </c>
      <c r="AA116" s="4"/>
      <c r="AB116" s="4" t="s">
        <v>384</v>
      </c>
      <c r="AC116" s="4"/>
      <c r="AD116" s="4" t="s">
        <v>416</v>
      </c>
      <c r="AE116" s="4" t="s">
        <v>417</v>
      </c>
      <c r="AF116" s="4"/>
      <c r="AG116" s="4"/>
      <c r="AH116" s="4"/>
      <c r="AU116" s="22" t="e">
        <f t="shared" si="7"/>
        <v>#DIV/0!</v>
      </c>
      <c r="AV116" s="11" t="s">
        <v>166</v>
      </c>
      <c r="AW116" s="31">
        <v>87.576348090871804</v>
      </c>
      <c r="AX116" s="31">
        <v>5.1444648733528604</v>
      </c>
      <c r="AY116" s="11"/>
      <c r="AZ116" s="11"/>
      <c r="BA116" s="11"/>
      <c r="BB116" s="11">
        <v>75</v>
      </c>
      <c r="BK116" s="23" t="s">
        <v>163</v>
      </c>
      <c r="BL116" s="11" t="s">
        <v>422</v>
      </c>
    </row>
    <row r="117" spans="2:64" ht="15.6" x14ac:dyDescent="0.3">
      <c r="B117" s="11" t="s">
        <v>168</v>
      </c>
      <c r="C117" s="4" t="s">
        <v>169</v>
      </c>
      <c r="D117" s="4" t="s">
        <v>265</v>
      </c>
      <c r="E117" s="4"/>
      <c r="F117" s="55" t="s">
        <v>262</v>
      </c>
      <c r="G117" s="4">
        <v>1023.654</v>
      </c>
      <c r="H117" s="48">
        <f t="shared" si="8"/>
        <v>167.14632092484374</v>
      </c>
      <c r="I117" s="4" t="s">
        <v>267</v>
      </c>
      <c r="J117" s="4">
        <v>171.1</v>
      </c>
      <c r="K117" s="4">
        <v>2.4500000000000002</v>
      </c>
      <c r="L117" s="4">
        <f t="shared" si="6"/>
        <v>69.836734693877546</v>
      </c>
      <c r="M117" s="4" t="s">
        <v>261</v>
      </c>
      <c r="N117" s="4"/>
      <c r="O117" s="4" t="s">
        <v>266</v>
      </c>
      <c r="P117" s="4"/>
      <c r="Q117" s="4" t="s">
        <v>407</v>
      </c>
      <c r="R117" s="4" t="s">
        <v>408</v>
      </c>
      <c r="S117" s="4"/>
      <c r="T117" s="4" t="s">
        <v>409</v>
      </c>
      <c r="U117" s="4" t="s">
        <v>410</v>
      </c>
      <c r="V117" s="4" t="s">
        <v>411</v>
      </c>
      <c r="W117" s="4" t="s">
        <v>413</v>
      </c>
      <c r="X117" s="4" t="s">
        <v>414</v>
      </c>
      <c r="Y117" s="4" t="s">
        <v>415</v>
      </c>
      <c r="Z117" s="4">
        <v>318</v>
      </c>
      <c r="AA117" s="4"/>
      <c r="AB117" s="4" t="s">
        <v>384</v>
      </c>
      <c r="AC117" s="4"/>
      <c r="AD117" s="4" t="s">
        <v>416</v>
      </c>
      <c r="AE117" s="4" t="s">
        <v>417</v>
      </c>
      <c r="AF117" s="4"/>
      <c r="AG117" s="4"/>
      <c r="AH117" s="4"/>
      <c r="AU117" s="22" t="e">
        <f t="shared" si="7"/>
        <v>#DIV/0!</v>
      </c>
      <c r="AV117" s="11" t="s">
        <v>166</v>
      </c>
      <c r="AW117" s="31">
        <v>94.473203465281102</v>
      </c>
      <c r="AX117" s="31">
        <v>4.5148068495845104</v>
      </c>
      <c r="AY117" s="11"/>
      <c r="AZ117" s="11"/>
      <c r="BA117" s="11"/>
      <c r="BB117" s="11">
        <v>75</v>
      </c>
      <c r="BK117" s="23" t="s">
        <v>163</v>
      </c>
      <c r="BL117" s="11" t="s">
        <v>422</v>
      </c>
    </row>
    <row r="118" spans="2:64" ht="15.6" x14ac:dyDescent="0.3">
      <c r="B118" s="11" t="s">
        <v>168</v>
      </c>
      <c r="C118" s="4" t="s">
        <v>169</v>
      </c>
      <c r="D118" s="4" t="s">
        <v>265</v>
      </c>
      <c r="E118" s="4"/>
      <c r="F118" s="55" t="s">
        <v>262</v>
      </c>
      <c r="G118" s="4">
        <v>1023.654</v>
      </c>
      <c r="H118" s="48">
        <f t="shared" si="8"/>
        <v>167.14632092484374</v>
      </c>
      <c r="I118" s="4" t="s">
        <v>267</v>
      </c>
      <c r="J118" s="4">
        <v>171.1</v>
      </c>
      <c r="K118" s="4">
        <v>2.4500000000000002</v>
      </c>
      <c r="L118" s="4">
        <f t="shared" si="6"/>
        <v>69.836734693877546</v>
      </c>
      <c r="M118" s="4" t="s">
        <v>261</v>
      </c>
      <c r="N118" s="4"/>
      <c r="O118" s="4" t="s">
        <v>266</v>
      </c>
      <c r="P118" s="4"/>
      <c r="Q118" s="4" t="s">
        <v>407</v>
      </c>
      <c r="R118" s="4" t="s">
        <v>408</v>
      </c>
      <c r="S118" s="4"/>
      <c r="T118" s="4" t="s">
        <v>409</v>
      </c>
      <c r="U118" s="4" t="s">
        <v>410</v>
      </c>
      <c r="V118" s="4" t="s">
        <v>411</v>
      </c>
      <c r="W118" s="4" t="s">
        <v>413</v>
      </c>
      <c r="X118" s="4" t="s">
        <v>414</v>
      </c>
      <c r="Y118" s="4" t="s">
        <v>415</v>
      </c>
      <c r="Z118" s="4">
        <v>318</v>
      </c>
      <c r="AA118" s="4"/>
      <c r="AB118" s="4" t="s">
        <v>384</v>
      </c>
      <c r="AC118" s="4"/>
      <c r="AD118" s="4" t="s">
        <v>416</v>
      </c>
      <c r="AE118" s="4" t="s">
        <v>417</v>
      </c>
      <c r="AF118" s="4"/>
      <c r="AG118" s="4"/>
      <c r="AH118" s="4"/>
      <c r="AU118" s="22" t="e">
        <f t="shared" si="7"/>
        <v>#DIV/0!</v>
      </c>
      <c r="AV118" s="11" t="s">
        <v>166</v>
      </c>
      <c r="AW118" s="31">
        <v>95.372654022160702</v>
      </c>
      <c r="AX118" s="31">
        <v>4.20447079564142</v>
      </c>
      <c r="AY118" s="11"/>
      <c r="AZ118" s="11"/>
      <c r="BA118" s="11"/>
      <c r="BB118" s="11">
        <v>75</v>
      </c>
      <c r="BK118" s="23" t="s">
        <v>163</v>
      </c>
      <c r="BL118" s="11" t="s">
        <v>422</v>
      </c>
    </row>
    <row r="119" spans="2:64" ht="15.6" x14ac:dyDescent="0.3">
      <c r="B119" s="11" t="s">
        <v>168</v>
      </c>
      <c r="C119" s="4" t="s">
        <v>169</v>
      </c>
      <c r="D119" s="4" t="s">
        <v>265</v>
      </c>
      <c r="E119" s="4"/>
      <c r="F119" s="55" t="s">
        <v>262</v>
      </c>
      <c r="G119" s="4">
        <v>1023.654</v>
      </c>
      <c r="H119" s="48">
        <f t="shared" si="8"/>
        <v>167.14632092484374</v>
      </c>
      <c r="I119" s="4" t="s">
        <v>267</v>
      </c>
      <c r="J119" s="4">
        <v>171.1</v>
      </c>
      <c r="K119" s="4">
        <v>2.4500000000000002</v>
      </c>
      <c r="L119" s="4">
        <f t="shared" si="6"/>
        <v>69.836734693877546</v>
      </c>
      <c r="M119" s="4" t="s">
        <v>261</v>
      </c>
      <c r="N119" s="4"/>
      <c r="O119" s="4" t="s">
        <v>266</v>
      </c>
      <c r="P119" s="4"/>
      <c r="Q119" s="4" t="s">
        <v>407</v>
      </c>
      <c r="R119" s="4" t="s">
        <v>408</v>
      </c>
      <c r="S119" s="4"/>
      <c r="T119" s="4" t="s">
        <v>409</v>
      </c>
      <c r="U119" s="4" t="s">
        <v>410</v>
      </c>
      <c r="V119" s="4" t="s">
        <v>411</v>
      </c>
      <c r="W119" s="4" t="s">
        <v>413</v>
      </c>
      <c r="X119" s="4" t="s">
        <v>414</v>
      </c>
      <c r="Y119" s="4" t="s">
        <v>415</v>
      </c>
      <c r="Z119" s="4">
        <v>318</v>
      </c>
      <c r="AA119" s="4"/>
      <c r="AB119" s="4" t="s">
        <v>384</v>
      </c>
      <c r="AC119" s="4"/>
      <c r="AD119" s="4" t="s">
        <v>416</v>
      </c>
      <c r="AE119" s="4" t="s">
        <v>417</v>
      </c>
      <c r="AF119" s="4"/>
      <c r="AG119" s="4"/>
      <c r="AH119" s="4"/>
      <c r="AU119" s="22" t="e">
        <f t="shared" si="7"/>
        <v>#DIV/0!</v>
      </c>
      <c r="AV119" s="11" t="s">
        <v>166</v>
      </c>
      <c r="AW119" s="31">
        <v>97.197326848674606</v>
      </c>
      <c r="AX119" s="31">
        <v>3.7785014014045699</v>
      </c>
      <c r="AY119" s="11"/>
      <c r="AZ119" s="11"/>
      <c r="BA119" s="11"/>
      <c r="BB119" s="11">
        <v>75</v>
      </c>
      <c r="BK119" s="23" t="s">
        <v>163</v>
      </c>
      <c r="BL119" s="11" t="s">
        <v>422</v>
      </c>
    </row>
    <row r="120" spans="2:64" ht="15.6" x14ac:dyDescent="0.3">
      <c r="B120" s="11" t="s">
        <v>168</v>
      </c>
      <c r="C120" s="4" t="s">
        <v>169</v>
      </c>
      <c r="D120" s="4" t="s">
        <v>265</v>
      </c>
      <c r="E120" s="4"/>
      <c r="F120" s="55" t="s">
        <v>262</v>
      </c>
      <c r="G120" s="4">
        <v>1023.654</v>
      </c>
      <c r="H120" s="48">
        <f t="shared" si="8"/>
        <v>167.14632092484374</v>
      </c>
      <c r="I120" s="4" t="s">
        <v>267</v>
      </c>
      <c r="J120" s="4">
        <v>171.1</v>
      </c>
      <c r="K120" s="4">
        <v>2.4500000000000002</v>
      </c>
      <c r="L120" s="4">
        <f t="shared" si="6"/>
        <v>69.836734693877546</v>
      </c>
      <c r="M120" s="4" t="s">
        <v>261</v>
      </c>
      <c r="N120" s="4"/>
      <c r="O120" s="4" t="s">
        <v>266</v>
      </c>
      <c r="P120" s="4"/>
      <c r="Q120" s="4" t="s">
        <v>407</v>
      </c>
      <c r="R120" s="4" t="s">
        <v>408</v>
      </c>
      <c r="S120" s="4"/>
      <c r="T120" s="4" t="s">
        <v>409</v>
      </c>
      <c r="U120" s="4" t="s">
        <v>410</v>
      </c>
      <c r="V120" s="4" t="s">
        <v>411</v>
      </c>
      <c r="W120" s="4" t="s">
        <v>413</v>
      </c>
      <c r="X120" s="4" t="s">
        <v>414</v>
      </c>
      <c r="Y120" s="4" t="s">
        <v>415</v>
      </c>
      <c r="Z120" s="4">
        <v>318</v>
      </c>
      <c r="AA120" s="4"/>
      <c r="AB120" s="4" t="s">
        <v>384</v>
      </c>
      <c r="AC120" s="4"/>
      <c r="AD120" s="4" t="s">
        <v>416</v>
      </c>
      <c r="AE120" s="4" t="s">
        <v>417</v>
      </c>
      <c r="AF120" s="4"/>
      <c r="AG120" s="4"/>
      <c r="AH120" s="4"/>
      <c r="AU120" s="22" t="e">
        <f t="shared" si="7"/>
        <v>#DIV/0!</v>
      </c>
      <c r="AV120" s="11" t="s">
        <v>166</v>
      </c>
      <c r="AW120" s="31">
        <v>101.913203365494</v>
      </c>
      <c r="AX120" s="31">
        <v>3.3956884312805</v>
      </c>
      <c r="AY120" s="11"/>
      <c r="AZ120" s="11"/>
      <c r="BA120" s="11"/>
      <c r="BB120" s="11">
        <v>75</v>
      </c>
      <c r="BK120" s="23" t="s">
        <v>163</v>
      </c>
      <c r="BL120" s="11" t="s">
        <v>422</v>
      </c>
    </row>
    <row r="121" spans="2:64" ht="15.6" x14ac:dyDescent="0.3">
      <c r="B121" s="11" t="s">
        <v>168</v>
      </c>
      <c r="C121" s="4" t="s">
        <v>169</v>
      </c>
      <c r="D121" s="4" t="s">
        <v>265</v>
      </c>
      <c r="E121" s="4"/>
      <c r="F121" s="55" t="s">
        <v>262</v>
      </c>
      <c r="G121" s="4">
        <v>1023.654</v>
      </c>
      <c r="H121" s="48">
        <f t="shared" si="8"/>
        <v>167.14632092484374</v>
      </c>
      <c r="I121" s="4" t="s">
        <v>267</v>
      </c>
      <c r="J121" s="4">
        <v>171.1</v>
      </c>
      <c r="K121" s="4">
        <v>2.4500000000000002</v>
      </c>
      <c r="L121" s="4">
        <f t="shared" si="6"/>
        <v>69.836734693877546</v>
      </c>
      <c r="M121" s="4" t="s">
        <v>261</v>
      </c>
      <c r="N121" s="4"/>
      <c r="O121" s="4" t="s">
        <v>266</v>
      </c>
      <c r="P121" s="4"/>
      <c r="Q121" s="4" t="s">
        <v>407</v>
      </c>
      <c r="R121" s="4" t="s">
        <v>408</v>
      </c>
      <c r="S121" s="4"/>
      <c r="T121" s="4" t="s">
        <v>409</v>
      </c>
      <c r="U121" s="4" t="s">
        <v>410</v>
      </c>
      <c r="V121" s="4" t="s">
        <v>411</v>
      </c>
      <c r="W121" s="4" t="s">
        <v>413</v>
      </c>
      <c r="X121" s="4" t="s">
        <v>414</v>
      </c>
      <c r="Y121" s="4" t="s">
        <v>415</v>
      </c>
      <c r="Z121" s="4">
        <v>318</v>
      </c>
      <c r="AA121" s="4"/>
      <c r="AB121" s="4" t="s">
        <v>384</v>
      </c>
      <c r="AC121" s="4"/>
      <c r="AD121" s="4" t="s">
        <v>416</v>
      </c>
      <c r="AE121" s="4" t="s">
        <v>417</v>
      </c>
      <c r="AF121" s="4"/>
      <c r="AG121" s="4"/>
      <c r="AH121" s="4"/>
      <c r="AU121" s="22" t="e">
        <f t="shared" si="7"/>
        <v>#DIV/0!</v>
      </c>
      <c r="AV121" s="11" t="s">
        <v>166</v>
      </c>
      <c r="AW121" s="31">
        <v>103.863010202167</v>
      </c>
      <c r="AX121" s="31">
        <v>3.0880954938160001</v>
      </c>
      <c r="AY121" s="11"/>
      <c r="AZ121" s="11"/>
      <c r="BA121" s="11"/>
      <c r="BB121" s="11">
        <v>75</v>
      </c>
      <c r="BK121" s="23" t="s">
        <v>163</v>
      </c>
      <c r="BL121" s="11" t="s">
        <v>422</v>
      </c>
    </row>
    <row r="122" spans="2:64" ht="15.6" x14ac:dyDescent="0.3">
      <c r="B122" s="11" t="s">
        <v>168</v>
      </c>
      <c r="C122" s="4" t="s">
        <v>169</v>
      </c>
      <c r="D122" s="4" t="s">
        <v>265</v>
      </c>
      <c r="E122" s="4"/>
      <c r="F122" s="55" t="s">
        <v>262</v>
      </c>
      <c r="G122" s="4">
        <v>1023.654</v>
      </c>
      <c r="H122" s="48">
        <f t="shared" si="8"/>
        <v>167.14632092484374</v>
      </c>
      <c r="I122" s="4" t="s">
        <v>267</v>
      </c>
      <c r="J122" s="4">
        <v>171.1</v>
      </c>
      <c r="K122" s="4">
        <v>2.4500000000000002</v>
      </c>
      <c r="L122" s="4">
        <f t="shared" si="6"/>
        <v>69.836734693877546</v>
      </c>
      <c r="M122" s="4" t="s">
        <v>261</v>
      </c>
      <c r="N122" s="4"/>
      <c r="O122" s="4" t="s">
        <v>266</v>
      </c>
      <c r="P122" s="4"/>
      <c r="Q122" s="4" t="s">
        <v>407</v>
      </c>
      <c r="R122" s="4" t="s">
        <v>408</v>
      </c>
      <c r="S122" s="4"/>
      <c r="T122" s="4" t="s">
        <v>409</v>
      </c>
      <c r="U122" s="4" t="s">
        <v>410</v>
      </c>
      <c r="V122" s="4" t="s">
        <v>411</v>
      </c>
      <c r="W122" s="4" t="s">
        <v>413</v>
      </c>
      <c r="X122" s="4" t="s">
        <v>414</v>
      </c>
      <c r="Y122" s="4" t="s">
        <v>415</v>
      </c>
      <c r="Z122" s="4">
        <v>318</v>
      </c>
      <c r="AA122" s="4"/>
      <c r="AB122" s="4" t="s">
        <v>384</v>
      </c>
      <c r="AC122" s="4"/>
      <c r="AD122" s="4" t="s">
        <v>416</v>
      </c>
      <c r="AE122" s="4" t="s">
        <v>417</v>
      </c>
      <c r="AF122" s="4"/>
      <c r="AG122" s="4"/>
      <c r="AH122" s="4"/>
      <c r="AU122" s="22" t="e">
        <f t="shared" si="7"/>
        <v>#DIV/0!</v>
      </c>
      <c r="AV122" s="11" t="s">
        <v>166</v>
      </c>
      <c r="AW122" s="31">
        <v>107.875248882555</v>
      </c>
      <c r="AX122" s="31">
        <v>2.8083653644661801</v>
      </c>
      <c r="AY122" s="11"/>
      <c r="AZ122" s="11"/>
      <c r="BA122" s="11"/>
      <c r="BB122" s="11">
        <v>75</v>
      </c>
      <c r="BK122" s="23" t="s">
        <v>163</v>
      </c>
      <c r="BL122" s="11" t="s">
        <v>422</v>
      </c>
    </row>
    <row r="123" spans="2:64" ht="15.6" x14ac:dyDescent="0.3">
      <c r="B123" s="11" t="s">
        <v>168</v>
      </c>
      <c r="C123" s="4" t="s">
        <v>169</v>
      </c>
      <c r="D123" s="4" t="s">
        <v>265</v>
      </c>
      <c r="E123" s="4"/>
      <c r="F123" s="55" t="s">
        <v>262</v>
      </c>
      <c r="G123" s="4">
        <v>1023.654</v>
      </c>
      <c r="H123" s="48">
        <f t="shared" si="8"/>
        <v>167.14632092484374</v>
      </c>
      <c r="I123" s="4" t="s">
        <v>267</v>
      </c>
      <c r="J123" s="4">
        <v>171.1</v>
      </c>
      <c r="K123" s="4">
        <v>2.4500000000000002</v>
      </c>
      <c r="L123" s="4">
        <f t="shared" si="6"/>
        <v>69.836734693877546</v>
      </c>
      <c r="M123" s="4" t="s">
        <v>261</v>
      </c>
      <c r="N123" s="4"/>
      <c r="O123" s="4" t="s">
        <v>266</v>
      </c>
      <c r="P123" s="4"/>
      <c r="Q123" s="4" t="s">
        <v>407</v>
      </c>
      <c r="R123" s="4" t="s">
        <v>408</v>
      </c>
      <c r="S123" s="4"/>
      <c r="T123" s="4" t="s">
        <v>409</v>
      </c>
      <c r="U123" s="4" t="s">
        <v>410</v>
      </c>
      <c r="V123" s="4" t="s">
        <v>411</v>
      </c>
      <c r="W123" s="4" t="s">
        <v>413</v>
      </c>
      <c r="X123" s="4" t="s">
        <v>414</v>
      </c>
      <c r="Y123" s="4" t="s">
        <v>415</v>
      </c>
      <c r="Z123" s="4">
        <v>318</v>
      </c>
      <c r="AA123" s="4"/>
      <c r="AB123" s="4" t="s">
        <v>384</v>
      </c>
      <c r="AC123" s="4"/>
      <c r="AD123" s="4" t="s">
        <v>416</v>
      </c>
      <c r="AE123" s="4" t="s">
        <v>417</v>
      </c>
      <c r="AF123" s="4"/>
      <c r="AG123" s="4"/>
      <c r="AH123" s="4"/>
      <c r="AU123" s="22" t="e">
        <f t="shared" si="7"/>
        <v>#DIV/0!</v>
      </c>
      <c r="AV123" s="11" t="s">
        <v>166</v>
      </c>
      <c r="AW123" s="31">
        <v>113.109203039992</v>
      </c>
      <c r="AX123" s="31">
        <v>2.5238402122549899</v>
      </c>
      <c r="AY123" s="11"/>
      <c r="AZ123" s="11"/>
      <c r="BA123" s="11"/>
      <c r="BB123" s="11">
        <v>75</v>
      </c>
      <c r="BK123" s="23" t="s">
        <v>163</v>
      </c>
      <c r="BL123" s="11" t="s">
        <v>422</v>
      </c>
    </row>
    <row r="124" spans="2:64" ht="15.6" x14ac:dyDescent="0.3">
      <c r="B124" s="11" t="s">
        <v>168</v>
      </c>
      <c r="C124" s="4" t="s">
        <v>169</v>
      </c>
      <c r="D124" s="4" t="s">
        <v>265</v>
      </c>
      <c r="E124" s="4"/>
      <c r="F124" s="55" t="s">
        <v>262</v>
      </c>
      <c r="G124" s="4">
        <v>1023.654</v>
      </c>
      <c r="H124" s="48">
        <f t="shared" si="8"/>
        <v>167.14632092484374</v>
      </c>
      <c r="I124" s="4" t="s">
        <v>267</v>
      </c>
      <c r="J124" s="4">
        <v>171.1</v>
      </c>
      <c r="K124" s="4">
        <v>2.4500000000000002</v>
      </c>
      <c r="L124" s="4">
        <f t="shared" si="6"/>
        <v>69.836734693877546</v>
      </c>
      <c r="M124" s="4" t="s">
        <v>261</v>
      </c>
      <c r="N124" s="4"/>
      <c r="O124" s="4" t="s">
        <v>266</v>
      </c>
      <c r="P124" s="4"/>
      <c r="Q124" s="4" t="s">
        <v>407</v>
      </c>
      <c r="R124" s="4" t="s">
        <v>408</v>
      </c>
      <c r="S124" s="4"/>
      <c r="T124" s="4" t="s">
        <v>409</v>
      </c>
      <c r="U124" s="4" t="s">
        <v>410</v>
      </c>
      <c r="V124" s="4" t="s">
        <v>411</v>
      </c>
      <c r="W124" s="4" t="s">
        <v>413</v>
      </c>
      <c r="X124" s="4" t="s">
        <v>414</v>
      </c>
      <c r="Y124" s="4" t="s">
        <v>415</v>
      </c>
      <c r="Z124" s="4">
        <v>318</v>
      </c>
      <c r="AA124" s="4"/>
      <c r="AB124" s="4" t="s">
        <v>384</v>
      </c>
      <c r="AC124" s="4"/>
      <c r="AD124" s="4" t="s">
        <v>416</v>
      </c>
      <c r="AE124" s="4" t="s">
        <v>417</v>
      </c>
      <c r="AF124" s="4"/>
      <c r="AG124" s="4"/>
      <c r="AH124" s="4"/>
      <c r="AU124" s="22" t="e">
        <f t="shared" si="7"/>
        <v>#DIV/0!</v>
      </c>
      <c r="AV124" s="11" t="s">
        <v>166</v>
      </c>
      <c r="AW124" s="31">
        <v>117.47862309301701</v>
      </c>
      <c r="AX124" s="31">
        <v>2.2149341783957501</v>
      </c>
      <c r="AY124" s="11"/>
      <c r="AZ124" s="11"/>
      <c r="BA124" s="11"/>
      <c r="BB124" s="11">
        <v>75</v>
      </c>
      <c r="BK124" s="23" t="s">
        <v>163</v>
      </c>
      <c r="BL124" s="11" t="s">
        <v>422</v>
      </c>
    </row>
    <row r="125" spans="2:64" ht="15.6" x14ac:dyDescent="0.3">
      <c r="B125" s="11" t="s">
        <v>168</v>
      </c>
      <c r="C125" s="4" t="s">
        <v>169</v>
      </c>
      <c r="D125" s="4" t="s">
        <v>265</v>
      </c>
      <c r="E125" s="4"/>
      <c r="F125" s="55" t="s">
        <v>262</v>
      </c>
      <c r="G125" s="4">
        <v>1023.654</v>
      </c>
      <c r="H125" s="48">
        <f t="shared" si="8"/>
        <v>167.14632092484374</v>
      </c>
      <c r="I125" s="4" t="s">
        <v>267</v>
      </c>
      <c r="J125" s="4">
        <v>171.1</v>
      </c>
      <c r="K125" s="4">
        <v>2.4500000000000002</v>
      </c>
      <c r="L125" s="4">
        <f t="shared" si="6"/>
        <v>69.836734693877546</v>
      </c>
      <c r="M125" s="4" t="s">
        <v>261</v>
      </c>
      <c r="N125" s="4"/>
      <c r="O125" s="4" t="s">
        <v>266</v>
      </c>
      <c r="P125" s="4"/>
      <c r="Q125" s="4" t="s">
        <v>407</v>
      </c>
      <c r="R125" s="4" t="s">
        <v>408</v>
      </c>
      <c r="S125" s="4"/>
      <c r="T125" s="4" t="s">
        <v>409</v>
      </c>
      <c r="U125" s="4" t="s">
        <v>410</v>
      </c>
      <c r="V125" s="4" t="s">
        <v>411</v>
      </c>
      <c r="W125" s="4" t="s">
        <v>413</v>
      </c>
      <c r="X125" s="4" t="s">
        <v>414</v>
      </c>
      <c r="Y125" s="4" t="s">
        <v>415</v>
      </c>
      <c r="Z125" s="4">
        <v>318</v>
      </c>
      <c r="AA125" s="4"/>
      <c r="AB125" s="4" t="s">
        <v>384</v>
      </c>
      <c r="AC125" s="4"/>
      <c r="AD125" s="4" t="s">
        <v>416</v>
      </c>
      <c r="AE125" s="4" t="s">
        <v>417</v>
      </c>
      <c r="AF125" s="4"/>
      <c r="AG125" s="4"/>
      <c r="AH125" s="4"/>
      <c r="AU125" s="22" t="e">
        <f t="shared" si="7"/>
        <v>#DIV/0!</v>
      </c>
      <c r="AV125" s="11" t="s">
        <v>166</v>
      </c>
      <c r="AW125" s="31">
        <v>120.86610496595</v>
      </c>
      <c r="AX125" s="31">
        <v>2.0142979527787999</v>
      </c>
      <c r="AY125" s="11"/>
      <c r="AZ125" s="11"/>
      <c r="BA125" s="11"/>
      <c r="BB125" s="11">
        <v>75</v>
      </c>
      <c r="BK125" s="23" t="s">
        <v>163</v>
      </c>
      <c r="BL125" s="11" t="s">
        <v>422</v>
      </c>
    </row>
    <row r="126" spans="2:64" ht="15.6" x14ac:dyDescent="0.3">
      <c r="B126" s="11" t="s">
        <v>168</v>
      </c>
      <c r="C126" s="4" t="s">
        <v>169</v>
      </c>
      <c r="D126" s="4" t="s">
        <v>265</v>
      </c>
      <c r="E126" s="4"/>
      <c r="F126" s="55" t="s">
        <v>262</v>
      </c>
      <c r="G126" s="4">
        <v>1023.654</v>
      </c>
      <c r="H126" s="48">
        <f t="shared" si="8"/>
        <v>167.14632092484374</v>
      </c>
      <c r="I126" s="4" t="s">
        <v>267</v>
      </c>
      <c r="J126" s="4">
        <v>171.1</v>
      </c>
      <c r="K126" s="4">
        <v>2.4500000000000002</v>
      </c>
      <c r="L126" s="4">
        <f t="shared" si="6"/>
        <v>69.836734693877546</v>
      </c>
      <c r="M126" s="4" t="s">
        <v>261</v>
      </c>
      <c r="N126" s="4"/>
      <c r="O126" s="4" t="s">
        <v>266</v>
      </c>
      <c r="P126" s="4"/>
      <c r="Q126" s="4" t="s">
        <v>407</v>
      </c>
      <c r="R126" s="4" t="s">
        <v>408</v>
      </c>
      <c r="S126" s="4"/>
      <c r="T126" s="4" t="s">
        <v>409</v>
      </c>
      <c r="U126" s="4" t="s">
        <v>410</v>
      </c>
      <c r="V126" s="4" t="s">
        <v>411</v>
      </c>
      <c r="W126" s="4" t="s">
        <v>413</v>
      </c>
      <c r="X126" s="4" t="s">
        <v>414</v>
      </c>
      <c r="Y126" s="4" t="s">
        <v>415</v>
      </c>
      <c r="Z126" s="4">
        <v>318</v>
      </c>
      <c r="AA126" s="4"/>
      <c r="AB126" s="4" t="s">
        <v>384</v>
      </c>
      <c r="AC126" s="4"/>
      <c r="AD126" s="4" t="s">
        <v>416</v>
      </c>
      <c r="AE126" s="4" t="s">
        <v>417</v>
      </c>
      <c r="AF126" s="4"/>
      <c r="AG126" s="4"/>
      <c r="AH126" s="4"/>
      <c r="AU126" s="22" t="e">
        <f t="shared" si="7"/>
        <v>#DIV/0!</v>
      </c>
      <c r="AV126" s="11" t="s">
        <v>166</v>
      </c>
      <c r="AW126" s="31">
        <v>124.351264468544</v>
      </c>
      <c r="AX126" s="31">
        <v>1.7677574671401599</v>
      </c>
      <c r="AY126" s="11"/>
      <c r="AZ126" s="11"/>
      <c r="BA126" s="11"/>
      <c r="BB126" s="11">
        <v>75</v>
      </c>
      <c r="BK126" s="23" t="s">
        <v>163</v>
      </c>
      <c r="BL126" s="11" t="s">
        <v>422</v>
      </c>
    </row>
    <row r="127" spans="2:64" ht="15.6" x14ac:dyDescent="0.3">
      <c r="B127" s="11" t="s">
        <v>168</v>
      </c>
      <c r="C127" s="4" t="s">
        <v>169</v>
      </c>
      <c r="D127" s="4" t="s">
        <v>265</v>
      </c>
      <c r="E127" s="4"/>
      <c r="F127" s="55" t="s">
        <v>262</v>
      </c>
      <c r="G127" s="4">
        <v>1023.654</v>
      </c>
      <c r="H127" s="48">
        <f t="shared" si="8"/>
        <v>167.14632092484374</v>
      </c>
      <c r="I127" s="4" t="s">
        <v>267</v>
      </c>
      <c r="J127" s="4">
        <v>171.1</v>
      </c>
      <c r="K127" s="4">
        <v>2.4500000000000002</v>
      </c>
      <c r="L127" s="4">
        <f t="shared" si="6"/>
        <v>69.836734693877546</v>
      </c>
      <c r="M127" s="4" t="s">
        <v>261</v>
      </c>
      <c r="N127" s="4"/>
      <c r="O127" s="4" t="s">
        <v>266</v>
      </c>
      <c r="P127" s="4"/>
      <c r="Q127" s="4" t="s">
        <v>407</v>
      </c>
      <c r="R127" s="4" t="s">
        <v>408</v>
      </c>
      <c r="S127" s="4"/>
      <c r="T127" s="4" t="s">
        <v>409</v>
      </c>
      <c r="U127" s="4" t="s">
        <v>410</v>
      </c>
      <c r="V127" s="4" t="s">
        <v>411</v>
      </c>
      <c r="W127" s="4" t="s">
        <v>413</v>
      </c>
      <c r="X127" s="4" t="s">
        <v>414</v>
      </c>
      <c r="Y127" s="4" t="s">
        <v>415</v>
      </c>
      <c r="Z127" s="4">
        <v>318</v>
      </c>
      <c r="AA127" s="4"/>
      <c r="AB127" s="4" t="s">
        <v>384</v>
      </c>
      <c r="AC127" s="4"/>
      <c r="AD127" s="4" t="s">
        <v>416</v>
      </c>
      <c r="AE127" s="4" t="s">
        <v>417</v>
      </c>
      <c r="AF127" s="4"/>
      <c r="AG127" s="4"/>
      <c r="AH127" s="4"/>
      <c r="AU127" s="22" t="e">
        <f t="shared" si="7"/>
        <v>#DIV/0!</v>
      </c>
      <c r="AV127" s="11" t="s">
        <v>166</v>
      </c>
      <c r="AW127" s="31">
        <v>127.936918123422</v>
      </c>
      <c r="AX127" s="31">
        <v>1.5886598793495701</v>
      </c>
      <c r="AY127" s="11"/>
      <c r="AZ127" s="11"/>
      <c r="BA127" s="11"/>
      <c r="BB127" s="11">
        <v>75</v>
      </c>
      <c r="BK127" s="23" t="s">
        <v>163</v>
      </c>
      <c r="BL127" s="11" t="s">
        <v>422</v>
      </c>
    </row>
    <row r="128" spans="2:64" ht="15.6" x14ac:dyDescent="0.3">
      <c r="B128" s="11" t="s">
        <v>168</v>
      </c>
      <c r="C128" s="4" t="s">
        <v>169</v>
      </c>
      <c r="D128" s="4" t="s">
        <v>265</v>
      </c>
      <c r="E128" s="4"/>
      <c r="F128" s="55" t="s">
        <v>262</v>
      </c>
      <c r="G128" s="4">
        <v>1023.654</v>
      </c>
      <c r="H128" s="48">
        <f t="shared" si="8"/>
        <v>167.14632092484374</v>
      </c>
      <c r="I128" s="4" t="s">
        <v>267</v>
      </c>
      <c r="J128" s="4">
        <v>171.1</v>
      </c>
      <c r="K128" s="4">
        <v>2.4500000000000002</v>
      </c>
      <c r="L128" s="4">
        <f t="shared" si="6"/>
        <v>69.836734693877546</v>
      </c>
      <c r="M128" s="4" t="s">
        <v>261</v>
      </c>
      <c r="N128" s="4"/>
      <c r="O128" s="4" t="s">
        <v>266</v>
      </c>
      <c r="P128" s="4"/>
      <c r="Q128" s="4" t="s">
        <v>407</v>
      </c>
      <c r="R128" s="4" t="s">
        <v>408</v>
      </c>
      <c r="S128" s="4"/>
      <c r="T128" s="4" t="s">
        <v>409</v>
      </c>
      <c r="U128" s="4" t="s">
        <v>410</v>
      </c>
      <c r="V128" s="4" t="s">
        <v>411</v>
      </c>
      <c r="W128" s="4" t="s">
        <v>413</v>
      </c>
      <c r="X128" s="4" t="s">
        <v>414</v>
      </c>
      <c r="Y128" s="4" t="s">
        <v>415</v>
      </c>
      <c r="Z128" s="4">
        <v>318</v>
      </c>
      <c r="AA128" s="4"/>
      <c r="AB128" s="4" t="s">
        <v>384</v>
      </c>
      <c r="AC128" s="4"/>
      <c r="AD128" s="4" t="s">
        <v>416</v>
      </c>
      <c r="AE128" s="4" t="s">
        <v>417</v>
      </c>
      <c r="AF128" s="4"/>
      <c r="AG128" s="4"/>
      <c r="AH128" s="4"/>
      <c r="AU128" s="22" t="e">
        <f t="shared" si="7"/>
        <v>#DIV/0!</v>
      </c>
      <c r="AV128" s="11" t="s">
        <v>166</v>
      </c>
      <c r="AW128" s="31">
        <v>130.38461154666999</v>
      </c>
      <c r="AX128" s="31">
        <v>1.44475369690371</v>
      </c>
      <c r="AY128" s="11"/>
      <c r="AZ128" s="11"/>
      <c r="BA128" s="11"/>
      <c r="BB128" s="11">
        <v>75</v>
      </c>
      <c r="BK128" s="23" t="s">
        <v>163</v>
      </c>
      <c r="BL128" s="11" t="s">
        <v>422</v>
      </c>
    </row>
    <row r="129" spans="2:64" ht="15.6" x14ac:dyDescent="0.3">
      <c r="B129" s="11" t="s">
        <v>168</v>
      </c>
      <c r="C129" s="4" t="s">
        <v>169</v>
      </c>
      <c r="D129" s="4" t="s">
        <v>265</v>
      </c>
      <c r="E129" s="4"/>
      <c r="F129" s="55" t="s">
        <v>262</v>
      </c>
      <c r="G129" s="4">
        <v>1023.654</v>
      </c>
      <c r="H129" s="48">
        <f t="shared" si="8"/>
        <v>167.14632092484374</v>
      </c>
      <c r="I129" s="4" t="s">
        <v>267</v>
      </c>
      <c r="J129" s="4">
        <v>171.1</v>
      </c>
      <c r="K129" s="4">
        <v>2.4500000000000002</v>
      </c>
      <c r="L129" s="4">
        <f t="shared" si="6"/>
        <v>69.836734693877546</v>
      </c>
      <c r="M129" s="4" t="s">
        <v>261</v>
      </c>
      <c r="N129" s="4"/>
      <c r="O129" s="4" t="s">
        <v>266</v>
      </c>
      <c r="P129" s="4"/>
      <c r="Q129" s="4" t="s">
        <v>407</v>
      </c>
      <c r="R129" s="4" t="s">
        <v>408</v>
      </c>
      <c r="S129" s="4"/>
      <c r="T129" s="4" t="s">
        <v>409</v>
      </c>
      <c r="U129" s="4" t="s">
        <v>410</v>
      </c>
      <c r="V129" s="4" t="s">
        <v>411</v>
      </c>
      <c r="W129" s="4" t="s">
        <v>413</v>
      </c>
      <c r="X129" s="4" t="s">
        <v>414</v>
      </c>
      <c r="Y129" s="4" t="s">
        <v>415</v>
      </c>
      <c r="Z129" s="4">
        <v>318</v>
      </c>
      <c r="AA129" s="4"/>
      <c r="AB129" s="4" t="s">
        <v>384</v>
      </c>
      <c r="AC129" s="4"/>
      <c r="AD129" s="4" t="s">
        <v>416</v>
      </c>
      <c r="AE129" s="4" t="s">
        <v>417</v>
      </c>
      <c r="AF129" s="4"/>
      <c r="AG129" s="4"/>
      <c r="AH129" s="4"/>
      <c r="AU129" s="22" t="e">
        <f t="shared" si="7"/>
        <v>#DIV/0!</v>
      </c>
      <c r="AV129" s="11" t="s">
        <v>166</v>
      </c>
      <c r="AW129" s="31">
        <v>135.42138239277401</v>
      </c>
      <c r="AX129" s="31">
        <v>1.3138830229485801</v>
      </c>
      <c r="AY129" s="11"/>
      <c r="AZ129" s="11"/>
      <c r="BA129" s="11"/>
      <c r="BB129" s="11">
        <v>75</v>
      </c>
      <c r="BK129" s="23" t="s">
        <v>163</v>
      </c>
      <c r="BL129" s="11" t="s">
        <v>422</v>
      </c>
    </row>
    <row r="130" spans="2:64" ht="15.6" x14ac:dyDescent="0.3">
      <c r="B130" s="11" t="s">
        <v>168</v>
      </c>
      <c r="C130" s="4" t="s">
        <v>169</v>
      </c>
      <c r="D130" s="4" t="s">
        <v>265</v>
      </c>
      <c r="E130" s="4"/>
      <c r="F130" s="55" t="s">
        <v>262</v>
      </c>
      <c r="G130" s="4">
        <v>1023.654</v>
      </c>
      <c r="H130" s="48">
        <f t="shared" si="8"/>
        <v>167.14632092484374</v>
      </c>
      <c r="I130" s="4" t="s">
        <v>267</v>
      </c>
      <c r="J130" s="4">
        <v>171.1</v>
      </c>
      <c r="K130" s="4">
        <v>2.4500000000000002</v>
      </c>
      <c r="L130" s="4">
        <f t="shared" si="6"/>
        <v>69.836734693877546</v>
      </c>
      <c r="M130" s="4" t="s">
        <v>261</v>
      </c>
      <c r="N130" s="4"/>
      <c r="O130" s="4" t="s">
        <v>266</v>
      </c>
      <c r="P130" s="4"/>
      <c r="Q130" s="4" t="s">
        <v>407</v>
      </c>
      <c r="R130" s="4" t="s">
        <v>408</v>
      </c>
      <c r="S130" s="4"/>
      <c r="T130" s="4" t="s">
        <v>409</v>
      </c>
      <c r="U130" s="4" t="s">
        <v>410</v>
      </c>
      <c r="V130" s="4" t="s">
        <v>411</v>
      </c>
      <c r="W130" s="4" t="s">
        <v>413</v>
      </c>
      <c r="X130" s="4" t="s">
        <v>414</v>
      </c>
      <c r="Y130" s="4" t="s">
        <v>415</v>
      </c>
      <c r="Z130" s="4">
        <v>318</v>
      </c>
      <c r="AA130" s="4"/>
      <c r="AB130" s="4" t="s">
        <v>384</v>
      </c>
      <c r="AC130" s="4"/>
      <c r="AD130" s="4" t="s">
        <v>416</v>
      </c>
      <c r="AE130" s="4" t="s">
        <v>417</v>
      </c>
      <c r="AF130" s="4"/>
      <c r="AG130" s="4"/>
      <c r="AH130" s="4"/>
      <c r="AU130" s="22" t="e">
        <f t="shared" si="7"/>
        <v>#DIV/0!</v>
      </c>
      <c r="AV130" s="11" t="s">
        <v>166</v>
      </c>
      <c r="AW130" s="31">
        <v>140.65272421052299</v>
      </c>
      <c r="AX130" s="31">
        <v>1.16683731510549</v>
      </c>
      <c r="AY130" s="11"/>
      <c r="AZ130" s="11"/>
      <c r="BA130" s="11"/>
      <c r="BB130" s="11">
        <v>75</v>
      </c>
      <c r="BK130" s="23" t="s">
        <v>163</v>
      </c>
      <c r="BL130" s="11" t="s">
        <v>422</v>
      </c>
    </row>
    <row r="131" spans="2:64" ht="15.6" x14ac:dyDescent="0.3">
      <c r="B131" s="11" t="s">
        <v>168</v>
      </c>
      <c r="C131" s="4" t="s">
        <v>169</v>
      </c>
      <c r="D131" s="4" t="s">
        <v>265</v>
      </c>
      <c r="E131" s="4"/>
      <c r="F131" s="55" t="s">
        <v>262</v>
      </c>
      <c r="G131" s="4">
        <v>1023.654</v>
      </c>
      <c r="H131" s="48">
        <f t="shared" si="8"/>
        <v>167.14632092484374</v>
      </c>
      <c r="I131" s="4" t="s">
        <v>267</v>
      </c>
      <c r="J131" s="4">
        <v>171.1</v>
      </c>
      <c r="K131" s="4">
        <v>2.4500000000000002</v>
      </c>
      <c r="L131" s="4">
        <f t="shared" si="6"/>
        <v>69.836734693877546</v>
      </c>
      <c r="M131" s="4" t="s">
        <v>261</v>
      </c>
      <c r="N131" s="4"/>
      <c r="O131" s="4" t="s">
        <v>266</v>
      </c>
      <c r="P131" s="4"/>
      <c r="Q131" s="4" t="s">
        <v>407</v>
      </c>
      <c r="R131" s="4" t="s">
        <v>408</v>
      </c>
      <c r="S131" s="4"/>
      <c r="T131" s="4" t="s">
        <v>409</v>
      </c>
      <c r="U131" s="4" t="s">
        <v>410</v>
      </c>
      <c r="V131" s="4" t="s">
        <v>411</v>
      </c>
      <c r="W131" s="4" t="s">
        <v>413</v>
      </c>
      <c r="X131" s="4" t="s">
        <v>414</v>
      </c>
      <c r="Y131" s="4" t="s">
        <v>415</v>
      </c>
      <c r="Z131" s="4">
        <v>318</v>
      </c>
      <c r="AA131" s="4"/>
      <c r="AB131" s="4" t="s">
        <v>384</v>
      </c>
      <c r="AC131" s="4"/>
      <c r="AD131" s="4" t="s">
        <v>416</v>
      </c>
      <c r="AE131" s="4" t="s">
        <v>417</v>
      </c>
      <c r="AF131" s="4"/>
      <c r="AG131" s="4"/>
      <c r="AH131" s="4"/>
      <c r="AU131" s="22" t="e">
        <f t="shared" si="7"/>
        <v>#DIV/0!</v>
      </c>
      <c r="AV131" s="11" t="s">
        <v>166</v>
      </c>
      <c r="AW131" s="31">
        <v>144.70842848333001</v>
      </c>
      <c r="AX131" s="31">
        <v>1.0611412465291501</v>
      </c>
      <c r="AY131" s="11"/>
      <c r="AZ131" s="11"/>
      <c r="BA131" s="11"/>
      <c r="BB131" s="11">
        <v>75</v>
      </c>
      <c r="BK131" s="23" t="s">
        <v>163</v>
      </c>
      <c r="BL131" s="11" t="s">
        <v>422</v>
      </c>
    </row>
    <row r="132" spans="2:64" ht="15.6" x14ac:dyDescent="0.3">
      <c r="B132" s="11" t="s">
        <v>168</v>
      </c>
      <c r="C132" s="4" t="s">
        <v>169</v>
      </c>
      <c r="D132" s="4" t="s">
        <v>265</v>
      </c>
      <c r="E132" s="4"/>
      <c r="F132" s="55" t="s">
        <v>262</v>
      </c>
      <c r="G132" s="4">
        <v>1023.654</v>
      </c>
      <c r="H132" s="48">
        <f t="shared" si="8"/>
        <v>167.14632092484374</v>
      </c>
      <c r="I132" s="4" t="s">
        <v>267</v>
      </c>
      <c r="J132" s="4">
        <v>171.1</v>
      </c>
      <c r="K132" s="4">
        <v>2.4500000000000002</v>
      </c>
      <c r="L132" s="4">
        <f t="shared" si="6"/>
        <v>69.836734693877546</v>
      </c>
      <c r="M132" s="4" t="s">
        <v>261</v>
      </c>
      <c r="N132" s="4"/>
      <c r="O132" s="4" t="s">
        <v>266</v>
      </c>
      <c r="P132" s="4"/>
      <c r="Q132" s="4" t="s">
        <v>407</v>
      </c>
      <c r="R132" s="4" t="s">
        <v>408</v>
      </c>
      <c r="S132" s="4"/>
      <c r="T132" s="4" t="s">
        <v>409</v>
      </c>
      <c r="U132" s="4" t="s">
        <v>410</v>
      </c>
      <c r="V132" s="4" t="s">
        <v>411</v>
      </c>
      <c r="W132" s="4" t="s">
        <v>413</v>
      </c>
      <c r="X132" s="4" t="s">
        <v>414</v>
      </c>
      <c r="Y132" s="4" t="s">
        <v>415</v>
      </c>
      <c r="Z132" s="4">
        <v>318</v>
      </c>
      <c r="AA132" s="4"/>
      <c r="AB132" s="4" t="s">
        <v>384</v>
      </c>
      <c r="AC132" s="4"/>
      <c r="AD132" s="4" t="s">
        <v>416</v>
      </c>
      <c r="AE132" s="4" t="s">
        <v>417</v>
      </c>
      <c r="AF132" s="4"/>
      <c r="AG132" s="4"/>
      <c r="AH132" s="4"/>
      <c r="AU132" s="22" t="e">
        <f t="shared" si="7"/>
        <v>#DIV/0!</v>
      </c>
      <c r="AV132" s="11" t="s">
        <v>166</v>
      </c>
      <c r="AW132" s="31">
        <v>148.88107849779101</v>
      </c>
      <c r="AX132" s="31">
        <v>0.96501948515732205</v>
      </c>
      <c r="AY132" s="11"/>
      <c r="AZ132" s="11"/>
      <c r="BA132" s="11"/>
      <c r="BB132" s="11">
        <v>75</v>
      </c>
      <c r="BK132" s="23" t="s">
        <v>163</v>
      </c>
      <c r="BL132" s="11" t="s">
        <v>422</v>
      </c>
    </row>
    <row r="133" spans="2:64" ht="15.6" x14ac:dyDescent="0.3">
      <c r="B133" s="11" t="s">
        <v>168</v>
      </c>
      <c r="C133" s="4" t="s">
        <v>169</v>
      </c>
      <c r="D133" s="4" t="s">
        <v>265</v>
      </c>
      <c r="E133" s="4"/>
      <c r="F133" s="55" t="s">
        <v>262</v>
      </c>
      <c r="G133" s="4">
        <v>1023.654</v>
      </c>
      <c r="H133" s="48">
        <f t="shared" si="8"/>
        <v>167.14632092484374</v>
      </c>
      <c r="I133" s="4" t="s">
        <v>267</v>
      </c>
      <c r="J133" s="4">
        <v>171.1</v>
      </c>
      <c r="K133" s="4">
        <v>2.4500000000000002</v>
      </c>
      <c r="L133" s="4">
        <f t="shared" ref="L133:L196" si="9">J133/K133</f>
        <v>69.836734693877546</v>
      </c>
      <c r="M133" s="4" t="s">
        <v>261</v>
      </c>
      <c r="N133" s="4"/>
      <c r="O133" s="4" t="s">
        <v>266</v>
      </c>
      <c r="P133" s="4"/>
      <c r="Q133" s="4" t="s">
        <v>407</v>
      </c>
      <c r="R133" s="4" t="s">
        <v>408</v>
      </c>
      <c r="S133" s="4"/>
      <c r="T133" s="4" t="s">
        <v>409</v>
      </c>
      <c r="U133" s="4" t="s">
        <v>410</v>
      </c>
      <c r="V133" s="4" t="s">
        <v>411</v>
      </c>
      <c r="W133" s="4" t="s">
        <v>413</v>
      </c>
      <c r="X133" s="4" t="s">
        <v>414</v>
      </c>
      <c r="Y133" s="4" t="s">
        <v>415</v>
      </c>
      <c r="Z133" s="4">
        <v>318</v>
      </c>
      <c r="AA133" s="4"/>
      <c r="AB133" s="4" t="s">
        <v>384</v>
      </c>
      <c r="AC133" s="4"/>
      <c r="AD133" s="4" t="s">
        <v>416</v>
      </c>
      <c r="AE133" s="4" t="s">
        <v>417</v>
      </c>
      <c r="AF133" s="4"/>
      <c r="AG133" s="4"/>
      <c r="AH133" s="4"/>
      <c r="AU133" s="22" t="e">
        <f t="shared" si="7"/>
        <v>#DIV/0!</v>
      </c>
      <c r="AV133" s="11" t="s">
        <v>166</v>
      </c>
      <c r="AW133" s="31">
        <v>150.298529839037</v>
      </c>
      <c r="AX133" s="31">
        <v>0.86725004269969597</v>
      </c>
      <c r="AY133" s="11"/>
      <c r="AZ133" s="11"/>
      <c r="BA133" s="11"/>
      <c r="BB133" s="11">
        <v>75</v>
      </c>
      <c r="BK133" s="23" t="s">
        <v>163</v>
      </c>
      <c r="BL133" s="11" t="s">
        <v>422</v>
      </c>
    </row>
    <row r="134" spans="2:64" ht="15.6" x14ac:dyDescent="0.3">
      <c r="B134" s="11" t="s">
        <v>168</v>
      </c>
      <c r="C134" s="4" t="s">
        <v>169</v>
      </c>
      <c r="D134" s="4" t="s">
        <v>265</v>
      </c>
      <c r="E134" s="4"/>
      <c r="F134" s="55" t="s">
        <v>262</v>
      </c>
      <c r="G134" s="4">
        <v>1023.654</v>
      </c>
      <c r="H134" s="48">
        <f t="shared" si="8"/>
        <v>167.14632092484374</v>
      </c>
      <c r="I134" s="4" t="s">
        <v>267</v>
      </c>
      <c r="J134" s="4">
        <v>171.1</v>
      </c>
      <c r="K134" s="4">
        <v>2.4500000000000002</v>
      </c>
      <c r="L134" s="4">
        <f t="shared" si="9"/>
        <v>69.836734693877546</v>
      </c>
      <c r="M134" s="4" t="s">
        <v>261</v>
      </c>
      <c r="N134" s="4"/>
      <c r="O134" s="4" t="s">
        <v>266</v>
      </c>
      <c r="P134" s="4"/>
      <c r="Q134" s="4" t="s">
        <v>407</v>
      </c>
      <c r="R134" s="4" t="s">
        <v>408</v>
      </c>
      <c r="S134" s="4"/>
      <c r="T134" s="4" t="s">
        <v>409</v>
      </c>
      <c r="U134" s="4" t="s">
        <v>410</v>
      </c>
      <c r="V134" s="4" t="s">
        <v>411</v>
      </c>
      <c r="W134" s="4" t="s">
        <v>413</v>
      </c>
      <c r="X134" s="4" t="s">
        <v>414</v>
      </c>
      <c r="Y134" s="4" t="s">
        <v>415</v>
      </c>
      <c r="Z134" s="4">
        <v>318</v>
      </c>
      <c r="AA134" s="4"/>
      <c r="AB134" s="4" t="s">
        <v>384</v>
      </c>
      <c r="AC134" s="4"/>
      <c r="AD134" s="4" t="s">
        <v>416</v>
      </c>
      <c r="AE134" s="4" t="s">
        <v>417</v>
      </c>
      <c r="AF134" s="4"/>
      <c r="AG134" s="4"/>
      <c r="AH134" s="4"/>
      <c r="AU134" s="22" t="e">
        <f t="shared" si="7"/>
        <v>#DIV/0!</v>
      </c>
      <c r="AV134" s="11" t="s">
        <v>166</v>
      </c>
      <c r="AW134" s="31">
        <v>153.17404637020701</v>
      </c>
      <c r="AX134" s="31">
        <v>0.77938595865762506</v>
      </c>
      <c r="AY134" s="11"/>
      <c r="AZ134" s="11"/>
      <c r="BA134" s="11"/>
      <c r="BB134" s="11">
        <v>75</v>
      </c>
      <c r="BK134" s="23" t="s">
        <v>163</v>
      </c>
      <c r="BL134" s="11" t="s">
        <v>422</v>
      </c>
    </row>
    <row r="135" spans="2:64" ht="15.6" x14ac:dyDescent="0.3">
      <c r="B135" s="11" t="s">
        <v>168</v>
      </c>
      <c r="C135" s="4" t="s">
        <v>169</v>
      </c>
      <c r="D135" s="4" t="s">
        <v>265</v>
      </c>
      <c r="E135" s="4"/>
      <c r="F135" s="55" t="s">
        <v>262</v>
      </c>
      <c r="G135" s="4">
        <v>1023.654</v>
      </c>
      <c r="H135" s="48">
        <f t="shared" si="8"/>
        <v>167.14632092484374</v>
      </c>
      <c r="I135" s="4" t="s">
        <v>267</v>
      </c>
      <c r="J135" s="4">
        <v>171.1</v>
      </c>
      <c r="K135" s="4">
        <v>2.4500000000000002</v>
      </c>
      <c r="L135" s="4">
        <f t="shared" si="9"/>
        <v>69.836734693877546</v>
      </c>
      <c r="M135" s="4" t="s">
        <v>261</v>
      </c>
      <c r="N135" s="4"/>
      <c r="O135" s="4" t="s">
        <v>266</v>
      </c>
      <c r="P135" s="4"/>
      <c r="Q135" s="4" t="s">
        <v>407</v>
      </c>
      <c r="R135" s="4" t="s">
        <v>408</v>
      </c>
      <c r="S135" s="4"/>
      <c r="T135" s="4" t="s">
        <v>409</v>
      </c>
      <c r="U135" s="4" t="s">
        <v>410</v>
      </c>
      <c r="V135" s="4" t="s">
        <v>411</v>
      </c>
      <c r="W135" s="4" t="s">
        <v>413</v>
      </c>
      <c r="X135" s="4" t="s">
        <v>414</v>
      </c>
      <c r="Y135" s="4" t="s">
        <v>415</v>
      </c>
      <c r="Z135" s="4">
        <v>318</v>
      </c>
      <c r="AA135" s="4"/>
      <c r="AB135" s="4" t="s">
        <v>384</v>
      </c>
      <c r="AC135" s="4"/>
      <c r="AD135" s="4" t="s">
        <v>416</v>
      </c>
      <c r="AE135" s="4" t="s">
        <v>417</v>
      </c>
      <c r="AF135" s="4"/>
      <c r="AG135" s="4"/>
      <c r="AH135" s="4"/>
      <c r="AU135" s="22" t="e">
        <f t="shared" si="7"/>
        <v>#DIV/0!</v>
      </c>
      <c r="AV135" s="11" t="s">
        <v>166</v>
      </c>
      <c r="AW135" s="31">
        <v>157.590801451445</v>
      </c>
      <c r="AX135" s="31">
        <v>0.70042368710842995</v>
      </c>
      <c r="AY135" s="11"/>
      <c r="AZ135" s="11"/>
      <c r="BA135" s="11"/>
      <c r="BB135" s="11">
        <v>75</v>
      </c>
      <c r="BK135" s="23" t="s">
        <v>163</v>
      </c>
      <c r="BL135" s="11" t="s">
        <v>422</v>
      </c>
    </row>
    <row r="136" spans="2:64" ht="15.6" x14ac:dyDescent="0.3">
      <c r="B136" s="11" t="s">
        <v>168</v>
      </c>
      <c r="C136" s="4" t="s">
        <v>169</v>
      </c>
      <c r="D136" s="4" t="s">
        <v>265</v>
      </c>
      <c r="E136" s="4"/>
      <c r="F136" s="55" t="s">
        <v>262</v>
      </c>
      <c r="G136" s="4">
        <v>1023.654</v>
      </c>
      <c r="H136" s="48">
        <f t="shared" si="8"/>
        <v>167.14632092484374</v>
      </c>
      <c r="I136" s="4" t="s">
        <v>267</v>
      </c>
      <c r="J136" s="4">
        <v>171.1</v>
      </c>
      <c r="K136" s="4">
        <v>2.4500000000000002</v>
      </c>
      <c r="L136" s="4">
        <f t="shared" si="9"/>
        <v>69.836734693877546</v>
      </c>
      <c r="M136" s="4" t="s">
        <v>261</v>
      </c>
      <c r="N136" s="4"/>
      <c r="O136" s="4" t="s">
        <v>266</v>
      </c>
      <c r="P136" s="4"/>
      <c r="Q136" s="4" t="s">
        <v>407</v>
      </c>
      <c r="R136" s="4" t="s">
        <v>408</v>
      </c>
      <c r="S136" s="4"/>
      <c r="T136" s="4" t="s">
        <v>409</v>
      </c>
      <c r="U136" s="4" t="s">
        <v>410</v>
      </c>
      <c r="V136" s="4" t="s">
        <v>411</v>
      </c>
      <c r="W136" s="4" t="s">
        <v>413</v>
      </c>
      <c r="X136" s="4" t="s">
        <v>414</v>
      </c>
      <c r="Y136" s="4" t="s">
        <v>415</v>
      </c>
      <c r="Z136" s="4">
        <v>318</v>
      </c>
      <c r="AA136" s="4"/>
      <c r="AB136" s="4" t="s">
        <v>384</v>
      </c>
      <c r="AC136" s="4"/>
      <c r="AD136" s="4" t="s">
        <v>416</v>
      </c>
      <c r="AE136" s="4" t="s">
        <v>417</v>
      </c>
      <c r="AF136" s="4"/>
      <c r="AG136" s="4"/>
      <c r="AH136" s="4"/>
      <c r="AU136" s="22" t="e">
        <f t="shared" si="7"/>
        <v>#DIV/0!</v>
      </c>
      <c r="AV136" s="11" t="s">
        <v>166</v>
      </c>
      <c r="AW136" s="31">
        <v>162.134913130683</v>
      </c>
      <c r="AX136" s="31">
        <v>0.63697694169953101</v>
      </c>
      <c r="AY136" s="11"/>
      <c r="AZ136" s="11"/>
      <c r="BA136" s="11"/>
      <c r="BB136" s="11">
        <v>75</v>
      </c>
      <c r="BK136" s="23" t="s">
        <v>163</v>
      </c>
      <c r="BL136" s="11" t="s">
        <v>422</v>
      </c>
    </row>
    <row r="137" spans="2:64" ht="15.6" x14ac:dyDescent="0.3">
      <c r="B137" s="11" t="s">
        <v>168</v>
      </c>
      <c r="C137" s="4" t="s">
        <v>169</v>
      </c>
      <c r="D137" s="4" t="s">
        <v>265</v>
      </c>
      <c r="E137" s="4"/>
      <c r="F137" s="55" t="s">
        <v>262</v>
      </c>
      <c r="G137" s="4">
        <v>1023.654</v>
      </c>
      <c r="H137" s="48">
        <f t="shared" si="8"/>
        <v>167.14632092484374</v>
      </c>
      <c r="I137" s="4" t="s">
        <v>267</v>
      </c>
      <c r="J137" s="4">
        <v>171.1</v>
      </c>
      <c r="K137" s="4">
        <v>2.4500000000000002</v>
      </c>
      <c r="L137" s="4">
        <f t="shared" si="9"/>
        <v>69.836734693877546</v>
      </c>
      <c r="M137" s="4" t="s">
        <v>261</v>
      </c>
      <c r="N137" s="4"/>
      <c r="O137" s="4" t="s">
        <v>266</v>
      </c>
      <c r="P137" s="4"/>
      <c r="Q137" s="4" t="s">
        <v>407</v>
      </c>
      <c r="R137" s="4" t="s">
        <v>408</v>
      </c>
      <c r="S137" s="4"/>
      <c r="T137" s="4" t="s">
        <v>409</v>
      </c>
      <c r="U137" s="4" t="s">
        <v>410</v>
      </c>
      <c r="V137" s="4" t="s">
        <v>411</v>
      </c>
      <c r="W137" s="4" t="s">
        <v>413</v>
      </c>
      <c r="X137" s="4" t="s">
        <v>414</v>
      </c>
      <c r="Y137" s="4" t="s">
        <v>415</v>
      </c>
      <c r="Z137" s="4">
        <v>318</v>
      </c>
      <c r="AA137" s="4"/>
      <c r="AB137" s="4" t="s">
        <v>384</v>
      </c>
      <c r="AC137" s="4"/>
      <c r="AD137" s="4" t="s">
        <v>416</v>
      </c>
      <c r="AE137" s="4" t="s">
        <v>417</v>
      </c>
      <c r="AF137" s="4"/>
      <c r="AG137" s="4"/>
      <c r="AH137" s="4"/>
      <c r="AU137" s="22" t="e">
        <f t="shared" si="7"/>
        <v>#DIV/0!</v>
      </c>
      <c r="AV137" s="11" t="s">
        <v>166</v>
      </c>
      <c r="AW137" s="31">
        <v>166.81005372000499</v>
      </c>
      <c r="AX137" s="31">
        <v>0.58619382212546101</v>
      </c>
      <c r="AY137" s="11"/>
      <c r="AZ137" s="11"/>
      <c r="BA137" s="11"/>
      <c r="BB137" s="11">
        <v>75</v>
      </c>
      <c r="BK137" s="23" t="s">
        <v>163</v>
      </c>
      <c r="BL137" s="11" t="s">
        <v>422</v>
      </c>
    </row>
    <row r="138" spans="2:64" ht="15.6" x14ac:dyDescent="0.3">
      <c r="B138" s="11" t="s">
        <v>168</v>
      </c>
      <c r="C138" s="4" t="s">
        <v>169</v>
      </c>
      <c r="D138" s="4" t="s">
        <v>265</v>
      </c>
      <c r="E138" s="4"/>
      <c r="F138" s="55" t="s">
        <v>262</v>
      </c>
      <c r="G138" s="4">
        <v>1023.654</v>
      </c>
      <c r="H138" s="48">
        <f t="shared" si="8"/>
        <v>167.14632092484374</v>
      </c>
      <c r="I138" s="4" t="s">
        <v>267</v>
      </c>
      <c r="J138" s="4">
        <v>171.1</v>
      </c>
      <c r="K138" s="4">
        <v>2.4500000000000002</v>
      </c>
      <c r="L138" s="4">
        <f t="shared" si="9"/>
        <v>69.836734693877546</v>
      </c>
      <c r="M138" s="4" t="s">
        <v>261</v>
      </c>
      <c r="N138" s="4"/>
      <c r="O138" s="4" t="s">
        <v>266</v>
      </c>
      <c r="P138" s="4"/>
      <c r="Q138" s="4" t="s">
        <v>407</v>
      </c>
      <c r="R138" s="4" t="s">
        <v>408</v>
      </c>
      <c r="S138" s="4"/>
      <c r="T138" s="4" t="s">
        <v>409</v>
      </c>
      <c r="U138" s="4" t="s">
        <v>410</v>
      </c>
      <c r="V138" s="4" t="s">
        <v>411</v>
      </c>
      <c r="W138" s="4" t="s">
        <v>413</v>
      </c>
      <c r="X138" s="4" t="s">
        <v>414</v>
      </c>
      <c r="Y138" s="4" t="s">
        <v>415</v>
      </c>
      <c r="Z138" s="4">
        <v>318</v>
      </c>
      <c r="AA138" s="4"/>
      <c r="AB138" s="4" t="s">
        <v>384</v>
      </c>
      <c r="AC138" s="4"/>
      <c r="AD138" s="4" t="s">
        <v>416</v>
      </c>
      <c r="AE138" s="4" t="s">
        <v>417</v>
      </c>
      <c r="AF138" s="4"/>
      <c r="AG138" s="4"/>
      <c r="AH138" s="4"/>
      <c r="AU138" s="22" t="e">
        <f t="shared" si="7"/>
        <v>#DIV/0!</v>
      </c>
      <c r="AV138" s="11" t="s">
        <v>166</v>
      </c>
      <c r="AW138" s="31">
        <v>168.39820136619699</v>
      </c>
      <c r="AX138" s="31">
        <v>0.52680451025890696</v>
      </c>
      <c r="AY138" s="11"/>
      <c r="AZ138" s="11"/>
      <c r="BA138" s="11"/>
      <c r="BB138" s="11">
        <v>75</v>
      </c>
      <c r="BK138" s="23" t="s">
        <v>163</v>
      </c>
      <c r="BL138" s="11" t="s">
        <v>422</v>
      </c>
    </row>
    <row r="139" spans="2:64" ht="15.6" x14ac:dyDescent="0.3">
      <c r="B139" s="11" t="s">
        <v>168</v>
      </c>
      <c r="C139" s="4" t="s">
        <v>169</v>
      </c>
      <c r="D139" s="4" t="s">
        <v>265</v>
      </c>
      <c r="E139" s="4"/>
      <c r="F139" s="55" t="s">
        <v>262</v>
      </c>
      <c r="G139" s="4">
        <v>1023.654</v>
      </c>
      <c r="H139" s="48">
        <f t="shared" si="8"/>
        <v>167.14632092484374</v>
      </c>
      <c r="I139" s="4" t="s">
        <v>267</v>
      </c>
      <c r="J139" s="4">
        <v>171.1</v>
      </c>
      <c r="K139" s="4">
        <v>2.4500000000000002</v>
      </c>
      <c r="L139" s="4">
        <f t="shared" si="9"/>
        <v>69.836734693877546</v>
      </c>
      <c r="M139" s="4" t="s">
        <v>261</v>
      </c>
      <c r="N139" s="4"/>
      <c r="O139" s="4" t="s">
        <v>266</v>
      </c>
      <c r="P139" s="4"/>
      <c r="Q139" s="4" t="s">
        <v>407</v>
      </c>
      <c r="R139" s="4" t="s">
        <v>408</v>
      </c>
      <c r="S139" s="4"/>
      <c r="T139" s="4" t="s">
        <v>409</v>
      </c>
      <c r="U139" s="4" t="s">
        <v>410</v>
      </c>
      <c r="V139" s="4" t="s">
        <v>411</v>
      </c>
      <c r="W139" s="4" t="s">
        <v>413</v>
      </c>
      <c r="X139" s="4" t="s">
        <v>414</v>
      </c>
      <c r="Y139" s="4" t="s">
        <v>415</v>
      </c>
      <c r="Z139" s="4">
        <v>318</v>
      </c>
      <c r="AA139" s="4"/>
      <c r="AB139" s="4" t="s">
        <v>384</v>
      </c>
      <c r="AC139" s="4"/>
      <c r="AD139" s="4" t="s">
        <v>416</v>
      </c>
      <c r="AE139" s="4" t="s">
        <v>417</v>
      </c>
      <c r="AF139" s="4"/>
      <c r="AG139" s="4"/>
      <c r="AH139" s="4"/>
      <c r="AU139" s="22" t="e">
        <f t="shared" si="7"/>
        <v>#DIV/0!</v>
      </c>
      <c r="AV139" s="11" t="s">
        <v>166</v>
      </c>
      <c r="AW139" s="31">
        <v>174.90344106524</v>
      </c>
      <c r="AX139" s="31">
        <v>0.47908477682064798</v>
      </c>
      <c r="AY139" s="11"/>
      <c r="AZ139" s="11"/>
      <c r="BA139" s="11"/>
      <c r="BB139" s="11">
        <v>75</v>
      </c>
      <c r="BK139" s="23" t="s">
        <v>163</v>
      </c>
      <c r="BL139" s="11" t="s">
        <v>422</v>
      </c>
    </row>
    <row r="140" spans="2:64" ht="15.6" x14ac:dyDescent="0.3">
      <c r="B140" s="11" t="s">
        <v>168</v>
      </c>
      <c r="C140" s="4" t="s">
        <v>169</v>
      </c>
      <c r="D140" s="4" t="s">
        <v>265</v>
      </c>
      <c r="E140" s="4"/>
      <c r="F140" s="55" t="s">
        <v>262</v>
      </c>
      <c r="G140" s="4">
        <v>1023.654</v>
      </c>
      <c r="H140" s="48">
        <f t="shared" si="8"/>
        <v>167.14632092484374</v>
      </c>
      <c r="I140" s="4" t="s">
        <v>267</v>
      </c>
      <c r="J140" s="4">
        <v>171.1</v>
      </c>
      <c r="K140" s="4">
        <v>2.4500000000000002</v>
      </c>
      <c r="L140" s="4">
        <f t="shared" si="9"/>
        <v>69.836734693877546</v>
      </c>
      <c r="M140" s="4" t="s">
        <v>261</v>
      </c>
      <c r="N140" s="4"/>
      <c r="O140" s="4" t="s">
        <v>266</v>
      </c>
      <c r="P140" s="4"/>
      <c r="Q140" s="4" t="s">
        <v>407</v>
      </c>
      <c r="R140" s="4" t="s">
        <v>408</v>
      </c>
      <c r="S140" s="4"/>
      <c r="T140" s="4" t="s">
        <v>409</v>
      </c>
      <c r="U140" s="4" t="s">
        <v>410</v>
      </c>
      <c r="V140" s="4" t="s">
        <v>411</v>
      </c>
      <c r="W140" s="4" t="s">
        <v>413</v>
      </c>
      <c r="X140" s="4" t="s">
        <v>414</v>
      </c>
      <c r="Y140" s="4" t="s">
        <v>415</v>
      </c>
      <c r="Z140" s="4">
        <v>318</v>
      </c>
      <c r="AA140" s="4"/>
      <c r="AB140" s="4" t="s">
        <v>384</v>
      </c>
      <c r="AC140" s="4"/>
      <c r="AD140" s="4" t="s">
        <v>416</v>
      </c>
      <c r="AE140" s="4" t="s">
        <v>417</v>
      </c>
      <c r="AF140" s="4"/>
      <c r="AG140" s="4"/>
      <c r="AH140" s="4"/>
      <c r="AU140" s="22" t="e">
        <f t="shared" si="7"/>
        <v>#DIV/0!</v>
      </c>
      <c r="AV140" s="11" t="s">
        <v>166</v>
      </c>
      <c r="AW140" s="31">
        <v>178.24969958606701</v>
      </c>
      <c r="AX140" s="31">
        <v>0.42546709633159802</v>
      </c>
      <c r="AY140" s="11"/>
      <c r="AZ140" s="11"/>
      <c r="BA140" s="11"/>
      <c r="BB140" s="11">
        <v>75</v>
      </c>
      <c r="BK140" s="23" t="s">
        <v>163</v>
      </c>
      <c r="BL140" s="11" t="s">
        <v>422</v>
      </c>
    </row>
    <row r="141" spans="2:64" ht="15.6" x14ac:dyDescent="0.3">
      <c r="B141" s="11" t="s">
        <v>168</v>
      </c>
      <c r="C141" s="4" t="s">
        <v>169</v>
      </c>
      <c r="D141" s="4" t="s">
        <v>265</v>
      </c>
      <c r="E141" s="4"/>
      <c r="F141" s="55" t="s">
        <v>262</v>
      </c>
      <c r="G141" s="4">
        <v>1023.654</v>
      </c>
      <c r="H141" s="48">
        <f t="shared" si="8"/>
        <v>167.14632092484374</v>
      </c>
      <c r="I141" s="4" t="s">
        <v>267</v>
      </c>
      <c r="J141" s="4">
        <v>171.1</v>
      </c>
      <c r="K141" s="4">
        <v>2.4500000000000002</v>
      </c>
      <c r="L141" s="4">
        <f t="shared" si="9"/>
        <v>69.836734693877546</v>
      </c>
      <c r="M141" s="4" t="s">
        <v>261</v>
      </c>
      <c r="N141" s="4"/>
      <c r="O141" s="4" t="s">
        <v>266</v>
      </c>
      <c r="P141" s="4"/>
      <c r="Q141" s="4" t="s">
        <v>407</v>
      </c>
      <c r="R141" s="4" t="s">
        <v>408</v>
      </c>
      <c r="S141" s="4"/>
      <c r="T141" s="4" t="s">
        <v>409</v>
      </c>
      <c r="U141" s="4" t="s">
        <v>410</v>
      </c>
      <c r="V141" s="4" t="s">
        <v>411</v>
      </c>
      <c r="W141" s="4" t="s">
        <v>413</v>
      </c>
      <c r="X141" s="4" t="s">
        <v>414</v>
      </c>
      <c r="Y141" s="4" t="s">
        <v>415</v>
      </c>
      <c r="Z141" s="4">
        <v>318</v>
      </c>
      <c r="AA141" s="4"/>
      <c r="AB141" s="4" t="s">
        <v>384</v>
      </c>
      <c r="AC141" s="4"/>
      <c r="AD141" s="4" t="s">
        <v>416</v>
      </c>
      <c r="AE141" s="4" t="s">
        <v>417</v>
      </c>
      <c r="AF141" s="4"/>
      <c r="AG141" s="4"/>
      <c r="AH141" s="4"/>
      <c r="AU141" s="22" t="e">
        <f t="shared" ref="AU141:AU204" si="10">(AS141*AT141)/(AG141)</f>
        <v>#DIV/0!</v>
      </c>
      <c r="AV141" s="11" t="s">
        <v>166</v>
      </c>
      <c r="AW141" s="31">
        <v>186.898122332475</v>
      </c>
      <c r="AX141" s="31">
        <v>0.39154664330830502</v>
      </c>
      <c r="AY141" s="11"/>
      <c r="AZ141" s="11"/>
      <c r="BA141" s="11"/>
      <c r="BB141" s="11">
        <v>75</v>
      </c>
      <c r="BK141" s="23" t="s">
        <v>163</v>
      </c>
      <c r="BL141" s="11" t="s">
        <v>422</v>
      </c>
    </row>
    <row r="142" spans="2:64" ht="15.6" x14ac:dyDescent="0.3">
      <c r="B142" s="11" t="s">
        <v>168</v>
      </c>
      <c r="C142" s="4" t="s">
        <v>169</v>
      </c>
      <c r="D142" s="4" t="s">
        <v>265</v>
      </c>
      <c r="E142" s="4"/>
      <c r="F142" s="55" t="s">
        <v>262</v>
      </c>
      <c r="G142" s="4">
        <v>1023.654</v>
      </c>
      <c r="H142" s="48">
        <f t="shared" si="8"/>
        <v>167.14632092484374</v>
      </c>
      <c r="I142" s="4" t="s">
        <v>267</v>
      </c>
      <c r="J142" s="4">
        <v>171.1</v>
      </c>
      <c r="K142" s="4">
        <v>2.4500000000000002</v>
      </c>
      <c r="L142" s="4">
        <f t="shared" si="9"/>
        <v>69.836734693877546</v>
      </c>
      <c r="M142" s="4" t="s">
        <v>261</v>
      </c>
      <c r="N142" s="4"/>
      <c r="O142" s="4" t="s">
        <v>266</v>
      </c>
      <c r="P142" s="4"/>
      <c r="Q142" s="4" t="s">
        <v>407</v>
      </c>
      <c r="R142" s="4" t="s">
        <v>408</v>
      </c>
      <c r="S142" s="4"/>
      <c r="T142" s="4" t="s">
        <v>409</v>
      </c>
      <c r="U142" s="4" t="s">
        <v>410</v>
      </c>
      <c r="V142" s="4" t="s">
        <v>411</v>
      </c>
      <c r="W142" s="4" t="s">
        <v>413</v>
      </c>
      <c r="X142" s="4" t="s">
        <v>414</v>
      </c>
      <c r="Y142" s="4" t="s">
        <v>415</v>
      </c>
      <c r="Z142" s="4">
        <v>318</v>
      </c>
      <c r="AA142" s="4"/>
      <c r="AB142" s="4" t="s">
        <v>384</v>
      </c>
      <c r="AC142" s="4"/>
      <c r="AD142" s="4" t="s">
        <v>416</v>
      </c>
      <c r="AE142" s="4" t="s">
        <v>417</v>
      </c>
      <c r="AF142" s="4"/>
      <c r="AG142" s="4"/>
      <c r="AH142" s="4"/>
      <c r="AU142" s="22" t="e">
        <f t="shared" si="10"/>
        <v>#DIV/0!</v>
      </c>
      <c r="AV142" s="11" t="s">
        <v>166</v>
      </c>
      <c r="AW142" s="31">
        <v>188.67752235328101</v>
      </c>
      <c r="AX142" s="31">
        <v>0.35607902470698599</v>
      </c>
      <c r="AY142" s="11"/>
      <c r="AZ142" s="11"/>
      <c r="BA142" s="11"/>
      <c r="BB142" s="11">
        <v>75</v>
      </c>
      <c r="BK142" s="23" t="s">
        <v>163</v>
      </c>
      <c r="BL142" s="11" t="s">
        <v>422</v>
      </c>
    </row>
    <row r="143" spans="2:64" ht="15.6" x14ac:dyDescent="0.3">
      <c r="B143" s="11" t="s">
        <v>168</v>
      </c>
      <c r="C143" s="4" t="s">
        <v>169</v>
      </c>
      <c r="D143" s="4" t="s">
        <v>265</v>
      </c>
      <c r="E143" s="4"/>
      <c r="F143" s="55" t="s">
        <v>262</v>
      </c>
      <c r="G143" s="4">
        <v>1023.654</v>
      </c>
      <c r="H143" s="48">
        <f t="shared" si="8"/>
        <v>167.14632092484374</v>
      </c>
      <c r="I143" s="4" t="s">
        <v>267</v>
      </c>
      <c r="J143" s="4">
        <v>171.1</v>
      </c>
      <c r="K143" s="4">
        <v>2.4500000000000002</v>
      </c>
      <c r="L143" s="4">
        <f t="shared" si="9"/>
        <v>69.836734693877546</v>
      </c>
      <c r="M143" s="4" t="s">
        <v>261</v>
      </c>
      <c r="N143" s="4"/>
      <c r="O143" s="4" t="s">
        <v>266</v>
      </c>
      <c r="P143" s="4"/>
      <c r="Q143" s="4" t="s">
        <v>407</v>
      </c>
      <c r="R143" s="4" t="s">
        <v>408</v>
      </c>
      <c r="S143" s="4"/>
      <c r="T143" s="4" t="s">
        <v>409</v>
      </c>
      <c r="U143" s="4" t="s">
        <v>410</v>
      </c>
      <c r="V143" s="4" t="s">
        <v>411</v>
      </c>
      <c r="W143" s="4" t="s">
        <v>413</v>
      </c>
      <c r="X143" s="4" t="s">
        <v>414</v>
      </c>
      <c r="Y143" s="4" t="s">
        <v>415</v>
      </c>
      <c r="Z143" s="4">
        <v>318</v>
      </c>
      <c r="AA143" s="4"/>
      <c r="AB143" s="4" t="s">
        <v>384</v>
      </c>
      <c r="AC143" s="4"/>
      <c r="AD143" s="4" t="s">
        <v>416</v>
      </c>
      <c r="AE143" s="4" t="s">
        <v>417</v>
      </c>
      <c r="AF143" s="4"/>
      <c r="AG143" s="4"/>
      <c r="AH143" s="4"/>
      <c r="AU143" s="22" t="e">
        <f t="shared" si="10"/>
        <v>#DIV/0!</v>
      </c>
      <c r="AV143" s="11" t="s">
        <v>166</v>
      </c>
      <c r="AW143" s="31">
        <v>192.287307060877</v>
      </c>
      <c r="AX143" s="31">
        <v>0.32382418289930798</v>
      </c>
      <c r="AY143" s="11"/>
      <c r="AZ143" s="11"/>
      <c r="BA143" s="11"/>
      <c r="BB143" s="11">
        <v>75</v>
      </c>
      <c r="BK143" s="23" t="s">
        <v>163</v>
      </c>
      <c r="BL143" s="11" t="s">
        <v>422</v>
      </c>
    </row>
    <row r="144" spans="2:64" ht="15.6" x14ac:dyDescent="0.3">
      <c r="B144" s="11" t="s">
        <v>168</v>
      </c>
      <c r="C144" s="4" t="s">
        <v>169</v>
      </c>
      <c r="D144" s="4" t="s">
        <v>265</v>
      </c>
      <c r="E144" s="4"/>
      <c r="F144" s="55" t="s">
        <v>262</v>
      </c>
      <c r="G144" s="4">
        <v>1023.654</v>
      </c>
      <c r="H144" s="48">
        <f t="shared" si="8"/>
        <v>167.14632092484374</v>
      </c>
      <c r="I144" s="4" t="s">
        <v>267</v>
      </c>
      <c r="J144" s="4">
        <v>171.1</v>
      </c>
      <c r="K144" s="4">
        <v>2.4500000000000002</v>
      </c>
      <c r="L144" s="4">
        <f t="shared" si="9"/>
        <v>69.836734693877546</v>
      </c>
      <c r="M144" s="4" t="s">
        <v>261</v>
      </c>
      <c r="N144" s="4"/>
      <c r="O144" s="4" t="s">
        <v>266</v>
      </c>
      <c r="P144" s="4"/>
      <c r="Q144" s="4" t="s">
        <v>407</v>
      </c>
      <c r="R144" s="4" t="s">
        <v>408</v>
      </c>
      <c r="S144" s="4"/>
      <c r="T144" s="4" t="s">
        <v>409</v>
      </c>
      <c r="U144" s="4" t="s">
        <v>410</v>
      </c>
      <c r="V144" s="4" t="s">
        <v>411</v>
      </c>
      <c r="W144" s="4" t="s">
        <v>413</v>
      </c>
      <c r="X144" s="4" t="s">
        <v>414</v>
      </c>
      <c r="Y144" s="4" t="s">
        <v>415</v>
      </c>
      <c r="Z144" s="4">
        <v>318</v>
      </c>
      <c r="AA144" s="4"/>
      <c r="AB144" s="4" t="s">
        <v>384</v>
      </c>
      <c r="AC144" s="4"/>
      <c r="AD144" s="4" t="s">
        <v>416</v>
      </c>
      <c r="AE144" s="4" t="s">
        <v>417</v>
      </c>
      <c r="AF144" s="4"/>
      <c r="AG144" s="4"/>
      <c r="AH144" s="4"/>
      <c r="AU144" s="22" t="e">
        <f t="shared" si="10"/>
        <v>#DIV/0!</v>
      </c>
      <c r="AV144" s="11" t="s">
        <v>166</v>
      </c>
      <c r="AW144" s="31">
        <v>194.118015865838</v>
      </c>
      <c r="AX144" s="31">
        <v>0.29101644139427502</v>
      </c>
      <c r="AY144" s="11"/>
      <c r="AZ144" s="11"/>
      <c r="BA144" s="11"/>
      <c r="BB144" s="11">
        <v>75</v>
      </c>
      <c r="BK144" s="23" t="s">
        <v>163</v>
      </c>
      <c r="BL144" s="11" t="s">
        <v>422</v>
      </c>
    </row>
    <row r="145" spans="2:64" ht="15.6" x14ac:dyDescent="0.3">
      <c r="B145" s="11" t="s">
        <v>168</v>
      </c>
      <c r="C145" s="4" t="s">
        <v>169</v>
      </c>
      <c r="D145" s="4" t="s">
        <v>265</v>
      </c>
      <c r="E145" s="4"/>
      <c r="F145" s="55" t="s">
        <v>262</v>
      </c>
      <c r="G145" s="4">
        <v>1023.654</v>
      </c>
      <c r="H145" s="48">
        <f t="shared" si="8"/>
        <v>167.14632092484374</v>
      </c>
      <c r="I145" s="4" t="s">
        <v>267</v>
      </c>
      <c r="J145" s="4">
        <v>171.1</v>
      </c>
      <c r="K145" s="4">
        <v>2.4500000000000002</v>
      </c>
      <c r="L145" s="4">
        <f t="shared" si="9"/>
        <v>69.836734693877546</v>
      </c>
      <c r="M145" s="4" t="s">
        <v>261</v>
      </c>
      <c r="N145" s="4"/>
      <c r="O145" s="4" t="s">
        <v>266</v>
      </c>
      <c r="P145" s="4"/>
      <c r="Q145" s="4" t="s">
        <v>407</v>
      </c>
      <c r="R145" s="4" t="s">
        <v>408</v>
      </c>
      <c r="S145" s="4"/>
      <c r="T145" s="4" t="s">
        <v>409</v>
      </c>
      <c r="U145" s="4" t="s">
        <v>410</v>
      </c>
      <c r="V145" s="4" t="s">
        <v>411</v>
      </c>
      <c r="W145" s="4" t="s">
        <v>413</v>
      </c>
      <c r="X145" s="4" t="s">
        <v>414</v>
      </c>
      <c r="Y145" s="4" t="s">
        <v>415</v>
      </c>
      <c r="Z145" s="4">
        <v>318</v>
      </c>
      <c r="AA145" s="4"/>
      <c r="AB145" s="4" t="s">
        <v>384</v>
      </c>
      <c r="AC145" s="4"/>
      <c r="AD145" s="4" t="s">
        <v>416</v>
      </c>
      <c r="AE145" s="4" t="s">
        <v>417</v>
      </c>
      <c r="AF145" s="4"/>
      <c r="AG145" s="4"/>
      <c r="AH145" s="4"/>
      <c r="AU145" s="22" t="e">
        <f t="shared" si="10"/>
        <v>#DIV/0!</v>
      </c>
      <c r="AV145" s="11" t="s">
        <v>166</v>
      </c>
      <c r="AW145" s="31">
        <v>201.616814622981</v>
      </c>
      <c r="AX145" s="31">
        <v>0.26153256499722799</v>
      </c>
      <c r="AY145" s="11"/>
      <c r="AZ145" s="11"/>
      <c r="BA145" s="11"/>
      <c r="BB145" s="11">
        <v>75</v>
      </c>
      <c r="BK145" s="23" t="s">
        <v>163</v>
      </c>
      <c r="BL145" s="11" t="s">
        <v>422</v>
      </c>
    </row>
    <row r="146" spans="2:64" ht="15.6" x14ac:dyDescent="0.3">
      <c r="B146" s="11" t="s">
        <v>168</v>
      </c>
      <c r="C146" s="4" t="s">
        <v>169</v>
      </c>
      <c r="D146" s="4" t="s">
        <v>265</v>
      </c>
      <c r="E146" s="4"/>
      <c r="F146" s="55" t="s">
        <v>262</v>
      </c>
      <c r="G146" s="4">
        <v>1023.654</v>
      </c>
      <c r="H146" s="48">
        <f t="shared" si="8"/>
        <v>167.14632092484374</v>
      </c>
      <c r="I146" s="4" t="s">
        <v>267</v>
      </c>
      <c r="J146" s="4">
        <v>171.1</v>
      </c>
      <c r="K146" s="4">
        <v>2.4500000000000002</v>
      </c>
      <c r="L146" s="4">
        <f t="shared" si="9"/>
        <v>69.836734693877546</v>
      </c>
      <c r="M146" s="4" t="s">
        <v>261</v>
      </c>
      <c r="N146" s="4"/>
      <c r="O146" s="4" t="s">
        <v>266</v>
      </c>
      <c r="P146" s="4"/>
      <c r="Q146" s="4" t="s">
        <v>407</v>
      </c>
      <c r="R146" s="4" t="s">
        <v>408</v>
      </c>
      <c r="S146" s="4"/>
      <c r="T146" s="4" t="s">
        <v>409</v>
      </c>
      <c r="U146" s="4" t="s">
        <v>410</v>
      </c>
      <c r="V146" s="4" t="s">
        <v>411</v>
      </c>
      <c r="W146" s="4" t="s">
        <v>413</v>
      </c>
      <c r="X146" s="4" t="s">
        <v>414</v>
      </c>
      <c r="Y146" s="4" t="s">
        <v>415</v>
      </c>
      <c r="Z146" s="4">
        <v>318</v>
      </c>
      <c r="AA146" s="4"/>
      <c r="AB146" s="4" t="s">
        <v>384</v>
      </c>
      <c r="AC146" s="4"/>
      <c r="AD146" s="4" t="s">
        <v>416</v>
      </c>
      <c r="AE146" s="4" t="s">
        <v>417</v>
      </c>
      <c r="AF146" s="4"/>
      <c r="AG146" s="4"/>
      <c r="AH146" s="4"/>
      <c r="AU146" s="22" t="e">
        <f t="shared" si="10"/>
        <v>#DIV/0!</v>
      </c>
      <c r="AV146" s="11" t="s">
        <v>166</v>
      </c>
      <c r="AW146" s="31">
        <v>205.47415430575199</v>
      </c>
      <c r="AX146" s="31">
        <v>0.243555498224965</v>
      </c>
      <c r="AY146" s="11"/>
      <c r="AZ146" s="11"/>
      <c r="BA146" s="11"/>
      <c r="BB146" s="11">
        <v>75</v>
      </c>
      <c r="BK146" s="23" t="s">
        <v>163</v>
      </c>
      <c r="BL146" s="11" t="s">
        <v>422</v>
      </c>
    </row>
    <row r="147" spans="2:64" ht="15.6" x14ac:dyDescent="0.3">
      <c r="B147" s="11" t="s">
        <v>168</v>
      </c>
      <c r="C147" s="4" t="s">
        <v>169</v>
      </c>
      <c r="D147" s="4" t="s">
        <v>265</v>
      </c>
      <c r="E147" s="4"/>
      <c r="F147" s="55" t="s">
        <v>262</v>
      </c>
      <c r="G147" s="4">
        <v>1023.654</v>
      </c>
      <c r="H147" s="48">
        <f t="shared" si="8"/>
        <v>167.14632092484374</v>
      </c>
      <c r="I147" s="4" t="s">
        <v>267</v>
      </c>
      <c r="J147" s="4">
        <v>171.1</v>
      </c>
      <c r="K147" s="4">
        <v>2.4500000000000002</v>
      </c>
      <c r="L147" s="4">
        <f t="shared" si="9"/>
        <v>69.836734693877546</v>
      </c>
      <c r="M147" s="4" t="s">
        <v>261</v>
      </c>
      <c r="N147" s="4"/>
      <c r="O147" s="4" t="s">
        <v>266</v>
      </c>
      <c r="P147" s="4"/>
      <c r="Q147" s="4" t="s">
        <v>407</v>
      </c>
      <c r="R147" s="4" t="s">
        <v>408</v>
      </c>
      <c r="S147" s="4"/>
      <c r="T147" s="4" t="s">
        <v>409</v>
      </c>
      <c r="U147" s="4" t="s">
        <v>410</v>
      </c>
      <c r="V147" s="4" t="s">
        <v>411</v>
      </c>
      <c r="W147" s="4" t="s">
        <v>413</v>
      </c>
      <c r="X147" s="4" t="s">
        <v>414</v>
      </c>
      <c r="Y147" s="4" t="s">
        <v>415</v>
      </c>
      <c r="Z147" s="4">
        <v>318</v>
      </c>
      <c r="AA147" s="4"/>
      <c r="AB147" s="4" t="s">
        <v>384</v>
      </c>
      <c r="AC147" s="4"/>
      <c r="AD147" s="4" t="s">
        <v>416</v>
      </c>
      <c r="AE147" s="4" t="s">
        <v>417</v>
      </c>
      <c r="AF147" s="4"/>
      <c r="AG147" s="4"/>
      <c r="AH147" s="4"/>
      <c r="AU147" s="22" t="e">
        <f t="shared" si="10"/>
        <v>#DIV/0!</v>
      </c>
      <c r="AV147" s="11" t="s">
        <v>166</v>
      </c>
      <c r="AW147" s="31">
        <v>211.398976666973</v>
      </c>
      <c r="AX147" s="31">
        <v>0.22149341783957499</v>
      </c>
      <c r="AY147" s="11"/>
      <c r="AZ147" s="11"/>
      <c r="BA147" s="11"/>
      <c r="BB147" s="11">
        <v>75</v>
      </c>
      <c r="BK147" s="23" t="s">
        <v>163</v>
      </c>
      <c r="BL147" s="11" t="s">
        <v>422</v>
      </c>
    </row>
    <row r="148" spans="2:64" ht="15.6" x14ac:dyDescent="0.3">
      <c r="B148" s="11" t="s">
        <v>168</v>
      </c>
      <c r="C148" s="4" t="s">
        <v>169</v>
      </c>
      <c r="D148" s="4" t="s">
        <v>265</v>
      </c>
      <c r="E148" s="4"/>
      <c r="F148" s="55" t="s">
        <v>262</v>
      </c>
      <c r="G148" s="4">
        <v>1023.654</v>
      </c>
      <c r="H148" s="48">
        <f t="shared" si="8"/>
        <v>167.14632092484374</v>
      </c>
      <c r="I148" s="4" t="s">
        <v>267</v>
      </c>
      <c r="J148" s="4">
        <v>171.1</v>
      </c>
      <c r="K148" s="4">
        <v>2.4500000000000002</v>
      </c>
      <c r="L148" s="4">
        <f t="shared" si="9"/>
        <v>69.836734693877546</v>
      </c>
      <c r="M148" s="4" t="s">
        <v>261</v>
      </c>
      <c r="N148" s="4"/>
      <c r="O148" s="4" t="s">
        <v>266</v>
      </c>
      <c r="P148" s="4"/>
      <c r="Q148" s="4" t="s">
        <v>407</v>
      </c>
      <c r="R148" s="4" t="s">
        <v>408</v>
      </c>
      <c r="S148" s="4"/>
      <c r="T148" s="4" t="s">
        <v>409</v>
      </c>
      <c r="U148" s="4" t="s">
        <v>410</v>
      </c>
      <c r="V148" s="4" t="s">
        <v>411</v>
      </c>
      <c r="W148" s="4" t="s">
        <v>413</v>
      </c>
      <c r="X148" s="4" t="s">
        <v>414</v>
      </c>
      <c r="Y148" s="4" t="s">
        <v>415</v>
      </c>
      <c r="Z148" s="4">
        <v>318</v>
      </c>
      <c r="AA148" s="4"/>
      <c r="AB148" s="4" t="s">
        <v>384</v>
      </c>
      <c r="AC148" s="4"/>
      <c r="AD148" s="4" t="s">
        <v>416</v>
      </c>
      <c r="AE148" s="4" t="s">
        <v>417</v>
      </c>
      <c r="AF148" s="4"/>
      <c r="AG148" s="4"/>
      <c r="AH148" s="4"/>
      <c r="AU148" s="22" t="e">
        <f t="shared" si="10"/>
        <v>#DIV/0!</v>
      </c>
      <c r="AV148" s="11" t="s">
        <v>166</v>
      </c>
      <c r="AW148" s="31">
        <v>213.41164184940001</v>
      </c>
      <c r="AX148" s="31">
        <v>0.19905315802795201</v>
      </c>
      <c r="AY148" s="11"/>
      <c r="AZ148" s="11"/>
      <c r="BA148" s="11"/>
      <c r="BB148" s="11">
        <v>75</v>
      </c>
      <c r="BK148" s="23" t="s">
        <v>163</v>
      </c>
      <c r="BL148" s="11" t="s">
        <v>422</v>
      </c>
    </row>
    <row r="149" spans="2:64" ht="15.6" x14ac:dyDescent="0.3">
      <c r="B149" s="11" t="s">
        <v>168</v>
      </c>
      <c r="C149" s="4" t="s">
        <v>169</v>
      </c>
      <c r="D149" s="4" t="s">
        <v>265</v>
      </c>
      <c r="E149" s="4"/>
      <c r="F149" s="55" t="s">
        <v>262</v>
      </c>
      <c r="G149" s="4">
        <v>1023.654</v>
      </c>
      <c r="H149" s="48">
        <f t="shared" si="8"/>
        <v>167.14632092484374</v>
      </c>
      <c r="I149" s="4" t="s">
        <v>267</v>
      </c>
      <c r="J149" s="4">
        <v>171.1</v>
      </c>
      <c r="K149" s="4">
        <v>2.4500000000000002</v>
      </c>
      <c r="L149" s="4">
        <f t="shared" si="9"/>
        <v>69.836734693877546</v>
      </c>
      <c r="M149" s="4" t="s">
        <v>261</v>
      </c>
      <c r="N149" s="4"/>
      <c r="O149" s="4" t="s">
        <v>266</v>
      </c>
      <c r="P149" s="4"/>
      <c r="Q149" s="4" t="s">
        <v>407</v>
      </c>
      <c r="R149" s="4" t="s">
        <v>408</v>
      </c>
      <c r="S149" s="4"/>
      <c r="T149" s="4" t="s">
        <v>409</v>
      </c>
      <c r="U149" s="4" t="s">
        <v>410</v>
      </c>
      <c r="V149" s="4" t="s">
        <v>411</v>
      </c>
      <c r="W149" s="4" t="s">
        <v>413</v>
      </c>
      <c r="X149" s="4" t="s">
        <v>414</v>
      </c>
      <c r="Y149" s="4" t="s">
        <v>415</v>
      </c>
      <c r="Z149" s="4">
        <v>318</v>
      </c>
      <c r="AA149" s="4"/>
      <c r="AB149" s="4" t="s">
        <v>384</v>
      </c>
      <c r="AC149" s="4"/>
      <c r="AD149" s="4" t="s">
        <v>416</v>
      </c>
      <c r="AE149" s="4" t="s">
        <v>417</v>
      </c>
      <c r="AF149" s="4"/>
      <c r="AG149" s="4"/>
      <c r="AH149" s="4"/>
      <c r="AU149" s="22" t="e">
        <f t="shared" si="10"/>
        <v>#DIV/0!</v>
      </c>
      <c r="AV149" s="11" t="s">
        <v>166</v>
      </c>
      <c r="AW149" s="31">
        <v>221.65575534665601</v>
      </c>
      <c r="AX149" s="31">
        <v>0.18102225006084099</v>
      </c>
      <c r="AY149" s="11"/>
      <c r="AZ149" s="11"/>
      <c r="BA149" s="11"/>
      <c r="BB149" s="11">
        <v>75</v>
      </c>
      <c r="BK149" s="23" t="s">
        <v>163</v>
      </c>
      <c r="BL149" s="11" t="s">
        <v>422</v>
      </c>
    </row>
    <row r="150" spans="2:64" ht="15.6" x14ac:dyDescent="0.3">
      <c r="B150" s="11" t="s">
        <v>168</v>
      </c>
      <c r="C150" s="4" t="s">
        <v>169</v>
      </c>
      <c r="D150" s="4" t="s">
        <v>265</v>
      </c>
      <c r="E150" s="4"/>
      <c r="F150" s="55" t="s">
        <v>262</v>
      </c>
      <c r="G150" s="4">
        <v>1023.654</v>
      </c>
      <c r="H150" s="48">
        <f t="shared" si="8"/>
        <v>167.14632092484374</v>
      </c>
      <c r="I150" s="4" t="s">
        <v>267</v>
      </c>
      <c r="J150" s="4">
        <v>171.1</v>
      </c>
      <c r="K150" s="4">
        <v>2.4500000000000002</v>
      </c>
      <c r="L150" s="4">
        <f t="shared" si="9"/>
        <v>69.836734693877546</v>
      </c>
      <c r="M150" s="4" t="s">
        <v>261</v>
      </c>
      <c r="N150" s="4"/>
      <c r="O150" s="4" t="s">
        <v>266</v>
      </c>
      <c r="P150" s="4"/>
      <c r="Q150" s="4" t="s">
        <v>407</v>
      </c>
      <c r="R150" s="4" t="s">
        <v>408</v>
      </c>
      <c r="S150" s="4"/>
      <c r="T150" s="4" t="s">
        <v>409</v>
      </c>
      <c r="U150" s="4" t="s">
        <v>410</v>
      </c>
      <c r="V150" s="4" t="s">
        <v>411</v>
      </c>
      <c r="W150" s="4" t="s">
        <v>413</v>
      </c>
      <c r="X150" s="4" t="s">
        <v>414</v>
      </c>
      <c r="Y150" s="4" t="s">
        <v>415</v>
      </c>
      <c r="Z150" s="4">
        <v>318</v>
      </c>
      <c r="AA150" s="4"/>
      <c r="AB150" s="4" t="s">
        <v>384</v>
      </c>
      <c r="AC150" s="4"/>
      <c r="AD150" s="4" t="s">
        <v>416</v>
      </c>
      <c r="AE150" s="4" t="s">
        <v>417</v>
      </c>
      <c r="AF150" s="4"/>
      <c r="AG150" s="4"/>
      <c r="AH150" s="4"/>
      <c r="AU150" s="22" t="e">
        <f t="shared" si="10"/>
        <v>#DIV/0!</v>
      </c>
      <c r="AV150" s="11" t="s">
        <v>166</v>
      </c>
      <c r="AW150" s="31">
        <v>225.89648071776099</v>
      </c>
      <c r="AX150" s="31">
        <v>0.166590213406768</v>
      </c>
      <c r="AY150" s="11"/>
      <c r="AZ150" s="11"/>
      <c r="BA150" s="11"/>
      <c r="BB150" s="11">
        <v>75</v>
      </c>
      <c r="BK150" s="23" t="s">
        <v>163</v>
      </c>
      <c r="BL150" s="11" t="s">
        <v>422</v>
      </c>
    </row>
    <row r="151" spans="2:64" ht="15.6" x14ac:dyDescent="0.3">
      <c r="B151" s="11" t="s">
        <v>168</v>
      </c>
      <c r="C151" s="4" t="s">
        <v>169</v>
      </c>
      <c r="D151" s="4" t="s">
        <v>265</v>
      </c>
      <c r="E151" s="4"/>
      <c r="F151" s="55" t="s">
        <v>262</v>
      </c>
      <c r="G151" s="4">
        <v>1023.654</v>
      </c>
      <c r="H151" s="48">
        <f t="shared" si="8"/>
        <v>167.14632092484374</v>
      </c>
      <c r="I151" s="4" t="s">
        <v>267</v>
      </c>
      <c r="J151" s="4">
        <v>171.1</v>
      </c>
      <c r="K151" s="4">
        <v>2.4500000000000002</v>
      </c>
      <c r="L151" s="4">
        <f t="shared" si="9"/>
        <v>69.836734693877546</v>
      </c>
      <c r="M151" s="4" t="s">
        <v>261</v>
      </c>
      <c r="N151" s="4"/>
      <c r="O151" s="4" t="s">
        <v>266</v>
      </c>
      <c r="P151" s="4"/>
      <c r="Q151" s="4" t="s">
        <v>407</v>
      </c>
      <c r="R151" s="4" t="s">
        <v>408</v>
      </c>
      <c r="S151" s="4"/>
      <c r="T151" s="4" t="s">
        <v>409</v>
      </c>
      <c r="U151" s="4" t="s">
        <v>410</v>
      </c>
      <c r="V151" s="4" t="s">
        <v>411</v>
      </c>
      <c r="W151" s="4" t="s">
        <v>413</v>
      </c>
      <c r="X151" s="4" t="s">
        <v>414</v>
      </c>
      <c r="Y151" s="4" t="s">
        <v>415</v>
      </c>
      <c r="Z151" s="4">
        <v>318</v>
      </c>
      <c r="AA151" s="4"/>
      <c r="AB151" s="4" t="s">
        <v>384</v>
      </c>
      <c r="AC151" s="4"/>
      <c r="AD151" s="4" t="s">
        <v>416</v>
      </c>
      <c r="AE151" s="4" t="s">
        <v>417</v>
      </c>
      <c r="AF151" s="4"/>
      <c r="AG151" s="4"/>
      <c r="AH151" s="4"/>
      <c r="AU151" s="22" t="e">
        <f t="shared" si="10"/>
        <v>#DIV/0!</v>
      </c>
      <c r="AV151" s="11" t="s">
        <v>166</v>
      </c>
      <c r="AW151" s="31">
        <v>228.047172214673</v>
      </c>
      <c r="AX151" s="31">
        <v>0.15149990870666899</v>
      </c>
      <c r="AY151" s="11"/>
      <c r="AZ151" s="11"/>
      <c r="BA151" s="11"/>
      <c r="BB151" s="11">
        <v>75</v>
      </c>
      <c r="BK151" s="23" t="s">
        <v>163</v>
      </c>
      <c r="BL151" s="11" t="s">
        <v>422</v>
      </c>
    </row>
    <row r="152" spans="2:64" ht="15.6" x14ac:dyDescent="0.3">
      <c r="B152" s="11" t="s">
        <v>168</v>
      </c>
      <c r="C152" s="4" t="s">
        <v>169</v>
      </c>
      <c r="D152" s="4" t="s">
        <v>265</v>
      </c>
      <c r="E152" s="4"/>
      <c r="F152" s="55" t="s">
        <v>262</v>
      </c>
      <c r="G152" s="4">
        <v>1023.654</v>
      </c>
      <c r="H152" s="48">
        <f t="shared" si="8"/>
        <v>167.14632092484374</v>
      </c>
      <c r="I152" s="4" t="s">
        <v>267</v>
      </c>
      <c r="J152" s="4">
        <v>171.1</v>
      </c>
      <c r="K152" s="4">
        <v>2.4500000000000002</v>
      </c>
      <c r="L152" s="4">
        <f t="shared" si="9"/>
        <v>69.836734693877546</v>
      </c>
      <c r="M152" s="4" t="s">
        <v>261</v>
      </c>
      <c r="N152" s="4"/>
      <c r="O152" s="4" t="s">
        <v>266</v>
      </c>
      <c r="P152" s="4"/>
      <c r="Q152" s="4" t="s">
        <v>407</v>
      </c>
      <c r="R152" s="4" t="s">
        <v>408</v>
      </c>
      <c r="S152" s="4"/>
      <c r="T152" s="4" t="s">
        <v>409</v>
      </c>
      <c r="U152" s="4" t="s">
        <v>410</v>
      </c>
      <c r="V152" s="4" t="s">
        <v>411</v>
      </c>
      <c r="W152" s="4" t="s">
        <v>413</v>
      </c>
      <c r="X152" s="4" t="s">
        <v>414</v>
      </c>
      <c r="Y152" s="4" t="s">
        <v>415</v>
      </c>
      <c r="Z152" s="4">
        <v>318</v>
      </c>
      <c r="AA152" s="4"/>
      <c r="AB152" s="4" t="s">
        <v>384</v>
      </c>
      <c r="AC152" s="4"/>
      <c r="AD152" s="4" t="s">
        <v>416</v>
      </c>
      <c r="AE152" s="4" t="s">
        <v>417</v>
      </c>
      <c r="AF152" s="4"/>
      <c r="AG152" s="4"/>
      <c r="AH152" s="4"/>
      <c r="AU152" s="22" t="e">
        <f t="shared" si="10"/>
        <v>#DIV/0!</v>
      </c>
      <c r="AV152" s="11" t="s">
        <v>166</v>
      </c>
      <c r="AW152" s="31">
        <v>239.11169774271301</v>
      </c>
      <c r="AX152" s="31">
        <v>0.13777653482012001</v>
      </c>
      <c r="AY152" s="11"/>
      <c r="AZ152" s="11"/>
      <c r="BA152" s="11"/>
      <c r="BB152" s="11">
        <v>75</v>
      </c>
      <c r="BK152" s="23" t="s">
        <v>163</v>
      </c>
      <c r="BL152" s="11" t="s">
        <v>422</v>
      </c>
    </row>
    <row r="153" spans="2:64" ht="15.6" x14ac:dyDescent="0.3">
      <c r="B153" s="11" t="s">
        <v>168</v>
      </c>
      <c r="C153" s="4" t="s">
        <v>169</v>
      </c>
      <c r="D153" s="4" t="s">
        <v>265</v>
      </c>
      <c r="E153" s="4"/>
      <c r="F153" s="55" t="s">
        <v>262</v>
      </c>
      <c r="G153" s="4">
        <v>1023.654</v>
      </c>
      <c r="H153" s="48">
        <f t="shared" si="8"/>
        <v>167.14632092484374</v>
      </c>
      <c r="I153" s="4" t="s">
        <v>267</v>
      </c>
      <c r="J153" s="4">
        <v>171.1</v>
      </c>
      <c r="K153" s="4">
        <v>2.4500000000000002</v>
      </c>
      <c r="L153" s="4">
        <f t="shared" si="9"/>
        <v>69.836734693877546</v>
      </c>
      <c r="M153" s="4" t="s">
        <v>261</v>
      </c>
      <c r="N153" s="4"/>
      <c r="O153" s="4" t="s">
        <v>266</v>
      </c>
      <c r="P153" s="4"/>
      <c r="Q153" s="4" t="s">
        <v>407</v>
      </c>
      <c r="R153" s="4" t="s">
        <v>408</v>
      </c>
      <c r="S153" s="4"/>
      <c r="T153" s="4" t="s">
        <v>409</v>
      </c>
      <c r="U153" s="4" t="s">
        <v>410</v>
      </c>
      <c r="V153" s="4" t="s">
        <v>411</v>
      </c>
      <c r="W153" s="4" t="s">
        <v>413</v>
      </c>
      <c r="X153" s="4" t="s">
        <v>414</v>
      </c>
      <c r="Y153" s="4" t="s">
        <v>415</v>
      </c>
      <c r="Z153" s="4">
        <v>318</v>
      </c>
      <c r="AA153" s="4"/>
      <c r="AB153" s="4" t="s">
        <v>384</v>
      </c>
      <c r="AC153" s="4"/>
      <c r="AD153" s="4" t="s">
        <v>416</v>
      </c>
      <c r="AE153" s="4" t="s">
        <v>417</v>
      </c>
      <c r="AF153" s="4"/>
      <c r="AG153" s="4"/>
      <c r="AH153" s="4"/>
      <c r="AU153" s="22" t="e">
        <f t="shared" si="10"/>
        <v>#DIV/0!</v>
      </c>
      <c r="AV153" s="11" t="s">
        <v>166</v>
      </c>
      <c r="AW153" s="31">
        <v>241.38820729041899</v>
      </c>
      <c r="AX153" s="31">
        <v>0.125296270533029</v>
      </c>
      <c r="AY153" s="11"/>
      <c r="AZ153" s="11"/>
      <c r="BA153" s="11"/>
      <c r="BB153" s="11">
        <v>75</v>
      </c>
      <c r="BK153" s="23" t="s">
        <v>163</v>
      </c>
      <c r="BL153" s="11" t="s">
        <v>422</v>
      </c>
    </row>
    <row r="154" spans="2:64" ht="15.6" x14ac:dyDescent="0.3">
      <c r="B154" s="11" t="s">
        <v>168</v>
      </c>
      <c r="C154" s="4" t="s">
        <v>169</v>
      </c>
      <c r="D154" s="4" t="s">
        <v>265</v>
      </c>
      <c r="E154" s="4"/>
      <c r="F154" s="55" t="s">
        <v>262</v>
      </c>
      <c r="G154" s="4">
        <v>1023.654</v>
      </c>
      <c r="H154" s="48">
        <f t="shared" si="8"/>
        <v>167.14632092484374</v>
      </c>
      <c r="I154" s="4" t="s">
        <v>267</v>
      </c>
      <c r="J154" s="4">
        <v>171.1</v>
      </c>
      <c r="K154" s="4">
        <v>2.4500000000000002</v>
      </c>
      <c r="L154" s="4">
        <f t="shared" si="9"/>
        <v>69.836734693877546</v>
      </c>
      <c r="M154" s="4" t="s">
        <v>261</v>
      </c>
      <c r="N154" s="4"/>
      <c r="O154" s="4" t="s">
        <v>266</v>
      </c>
      <c r="P154" s="4"/>
      <c r="Q154" s="4" t="s">
        <v>407</v>
      </c>
      <c r="R154" s="4" t="s">
        <v>408</v>
      </c>
      <c r="S154" s="4"/>
      <c r="T154" s="4" t="s">
        <v>409</v>
      </c>
      <c r="U154" s="4" t="s">
        <v>410</v>
      </c>
      <c r="V154" s="4" t="s">
        <v>411</v>
      </c>
      <c r="W154" s="4" t="s">
        <v>413</v>
      </c>
      <c r="X154" s="4" t="s">
        <v>414</v>
      </c>
      <c r="Y154" s="4" t="s">
        <v>415</v>
      </c>
      <c r="Z154" s="4">
        <v>318</v>
      </c>
      <c r="AA154" s="4"/>
      <c r="AB154" s="4" t="s">
        <v>384</v>
      </c>
      <c r="AC154" s="4"/>
      <c r="AD154" s="4" t="s">
        <v>416</v>
      </c>
      <c r="AE154" s="4" t="s">
        <v>417</v>
      </c>
      <c r="AF154" s="4"/>
      <c r="AG154" s="4"/>
      <c r="AH154" s="4"/>
      <c r="AU154" s="22" t="e">
        <f t="shared" si="10"/>
        <v>#DIV/0!</v>
      </c>
      <c r="AV154" s="11" t="s">
        <v>166</v>
      </c>
      <c r="AW154" s="31">
        <v>241.38820729041899</v>
      </c>
      <c r="AX154" s="31">
        <v>0.11394651077545601</v>
      </c>
      <c r="AY154" s="11"/>
      <c r="AZ154" s="11"/>
      <c r="BA154" s="11"/>
      <c r="BB154" s="11">
        <v>75</v>
      </c>
      <c r="BK154" s="23" t="s">
        <v>163</v>
      </c>
      <c r="BL154" s="11" t="s">
        <v>422</v>
      </c>
    </row>
    <row r="155" spans="2:64" ht="15.6" x14ac:dyDescent="0.3">
      <c r="B155" s="11" t="s">
        <v>168</v>
      </c>
      <c r="C155" s="4" t="s">
        <v>169</v>
      </c>
      <c r="D155" s="4" t="s">
        <v>265</v>
      </c>
      <c r="E155" s="4"/>
      <c r="F155" s="55" t="s">
        <v>262</v>
      </c>
      <c r="G155" s="4">
        <v>1023.654</v>
      </c>
      <c r="H155" s="48">
        <f t="shared" si="8"/>
        <v>167.14632092484374</v>
      </c>
      <c r="I155" s="4" t="s">
        <v>267</v>
      </c>
      <c r="J155" s="4">
        <v>171.1</v>
      </c>
      <c r="K155" s="4">
        <v>2.4500000000000002</v>
      </c>
      <c r="L155" s="4">
        <f t="shared" si="9"/>
        <v>69.836734693877546</v>
      </c>
      <c r="M155" s="4" t="s">
        <v>261</v>
      </c>
      <c r="N155" s="4"/>
      <c r="O155" s="4" t="s">
        <v>266</v>
      </c>
      <c r="P155" s="4"/>
      <c r="Q155" s="4" t="s">
        <v>407</v>
      </c>
      <c r="R155" s="4" t="s">
        <v>408</v>
      </c>
      <c r="S155" s="4"/>
      <c r="T155" s="4" t="s">
        <v>409</v>
      </c>
      <c r="U155" s="4" t="s">
        <v>410</v>
      </c>
      <c r="V155" s="4" t="s">
        <v>411</v>
      </c>
      <c r="W155" s="4" t="s">
        <v>413</v>
      </c>
      <c r="X155" s="4" t="s">
        <v>414</v>
      </c>
      <c r="Y155" s="4" t="s">
        <v>415</v>
      </c>
      <c r="Z155" s="4">
        <v>318</v>
      </c>
      <c r="AA155" s="4"/>
      <c r="AB155" s="4" t="s">
        <v>384</v>
      </c>
      <c r="AC155" s="4"/>
      <c r="AD155" s="4" t="s">
        <v>416</v>
      </c>
      <c r="AE155" s="4" t="s">
        <v>417</v>
      </c>
      <c r="AF155" s="4"/>
      <c r="AG155" s="4"/>
      <c r="AH155" s="4"/>
      <c r="AU155" s="22" t="e">
        <f t="shared" si="10"/>
        <v>#DIV/0!</v>
      </c>
      <c r="AV155" s="11" t="s">
        <v>166</v>
      </c>
      <c r="AW155" s="31">
        <v>250.71305836487801</v>
      </c>
      <c r="AX155" s="31">
        <v>0.102402197940476</v>
      </c>
      <c r="AY155" s="11"/>
      <c r="AZ155" s="11"/>
      <c r="BA155" s="11"/>
      <c r="BB155" s="11">
        <v>75</v>
      </c>
      <c r="BK155" s="23" t="s">
        <v>163</v>
      </c>
      <c r="BL155" s="11" t="s">
        <v>422</v>
      </c>
    </row>
    <row r="156" spans="2:64" ht="15.6" x14ac:dyDescent="0.3">
      <c r="B156" s="11" t="s">
        <v>168</v>
      </c>
      <c r="C156" s="4" t="s">
        <v>169</v>
      </c>
      <c r="D156" s="4" t="s">
        <v>265</v>
      </c>
      <c r="E156" s="4"/>
      <c r="F156" s="55" t="s">
        <v>262</v>
      </c>
      <c r="G156" s="4">
        <v>1023.654</v>
      </c>
      <c r="H156" s="48">
        <f t="shared" si="8"/>
        <v>167.14632092484374</v>
      </c>
      <c r="I156" s="4" t="s">
        <v>267</v>
      </c>
      <c r="J156" s="4">
        <v>171.1</v>
      </c>
      <c r="K156" s="4">
        <v>2.4500000000000002</v>
      </c>
      <c r="L156" s="4">
        <f t="shared" si="9"/>
        <v>69.836734693877546</v>
      </c>
      <c r="M156" s="4" t="s">
        <v>261</v>
      </c>
      <c r="N156" s="4"/>
      <c r="O156" s="4" t="s">
        <v>266</v>
      </c>
      <c r="P156" s="4"/>
      <c r="Q156" s="4" t="s">
        <v>407</v>
      </c>
      <c r="R156" s="4" t="s">
        <v>408</v>
      </c>
      <c r="S156" s="4"/>
      <c r="T156" s="4" t="s">
        <v>409</v>
      </c>
      <c r="U156" s="4" t="s">
        <v>410</v>
      </c>
      <c r="V156" s="4" t="s">
        <v>411</v>
      </c>
      <c r="W156" s="4" t="s">
        <v>413</v>
      </c>
      <c r="X156" s="4" t="s">
        <v>414</v>
      </c>
      <c r="Y156" s="4" t="s">
        <v>415</v>
      </c>
      <c r="Z156" s="4">
        <v>318</v>
      </c>
      <c r="AA156" s="4"/>
      <c r="AB156" s="4" t="s">
        <v>384</v>
      </c>
      <c r="AC156" s="4"/>
      <c r="AD156" s="4" t="s">
        <v>416</v>
      </c>
      <c r="AE156" s="4" t="s">
        <v>417</v>
      </c>
      <c r="AF156" s="4"/>
      <c r="AG156" s="4"/>
      <c r="AH156" s="4"/>
      <c r="AU156" s="22" t="e">
        <f t="shared" si="10"/>
        <v>#DIV/0!</v>
      </c>
      <c r="AV156" s="11" t="s">
        <v>166</v>
      </c>
      <c r="AW156" s="31">
        <v>255.50970903525001</v>
      </c>
      <c r="AX156" s="31">
        <v>9.3126260673329797E-2</v>
      </c>
      <c r="AY156" s="11"/>
      <c r="AZ156" s="11"/>
      <c r="BA156" s="11"/>
      <c r="BB156" s="11">
        <v>75</v>
      </c>
      <c r="BK156" s="23" t="s">
        <v>163</v>
      </c>
      <c r="BL156" s="11" t="s">
        <v>422</v>
      </c>
    </row>
    <row r="157" spans="2:64" ht="15.6" x14ac:dyDescent="0.3">
      <c r="B157" s="11" t="s">
        <v>168</v>
      </c>
      <c r="C157" s="4" t="s">
        <v>169</v>
      </c>
      <c r="D157" s="4" t="s">
        <v>265</v>
      </c>
      <c r="E157" s="4"/>
      <c r="F157" s="55" t="s">
        <v>262</v>
      </c>
      <c r="G157" s="4">
        <v>1023.654</v>
      </c>
      <c r="H157" s="48">
        <f t="shared" si="8"/>
        <v>167.14632092484374</v>
      </c>
      <c r="I157" s="4" t="s">
        <v>267</v>
      </c>
      <c r="J157" s="4">
        <v>171.1</v>
      </c>
      <c r="K157" s="4">
        <v>2.4500000000000002</v>
      </c>
      <c r="L157" s="4">
        <f t="shared" si="9"/>
        <v>69.836734693877546</v>
      </c>
      <c r="M157" s="4" t="s">
        <v>261</v>
      </c>
      <c r="N157" s="4"/>
      <c r="O157" s="4" t="s">
        <v>266</v>
      </c>
      <c r="P157" s="4"/>
      <c r="Q157" s="4" t="s">
        <v>407</v>
      </c>
      <c r="R157" s="4" t="s">
        <v>408</v>
      </c>
      <c r="S157" s="4"/>
      <c r="T157" s="4" t="s">
        <v>409</v>
      </c>
      <c r="U157" s="4" t="s">
        <v>410</v>
      </c>
      <c r="V157" s="4" t="s">
        <v>411</v>
      </c>
      <c r="W157" s="4" t="s">
        <v>413</v>
      </c>
      <c r="X157" s="4" t="s">
        <v>414</v>
      </c>
      <c r="Y157" s="4" t="s">
        <v>415</v>
      </c>
      <c r="Z157" s="4">
        <v>318</v>
      </c>
      <c r="AA157" s="4"/>
      <c r="AB157" s="4" t="s">
        <v>384</v>
      </c>
      <c r="AC157" s="4"/>
      <c r="AD157" s="4" t="s">
        <v>416</v>
      </c>
      <c r="AE157" s="4" t="s">
        <v>417</v>
      </c>
      <c r="AF157" s="4"/>
      <c r="AG157" s="4"/>
      <c r="AH157" s="4"/>
      <c r="AU157" s="22" t="e">
        <f t="shared" si="10"/>
        <v>#DIV/0!</v>
      </c>
      <c r="AV157" s="11" t="s">
        <v>166</v>
      </c>
      <c r="AW157" s="31">
        <v>262.877300558944</v>
      </c>
      <c r="AX157" s="31">
        <v>8.6725004269969597E-2</v>
      </c>
      <c r="AY157" s="11"/>
      <c r="AZ157" s="11"/>
      <c r="BA157" s="11"/>
      <c r="BB157" s="11">
        <v>75</v>
      </c>
      <c r="BK157" s="23" t="s">
        <v>163</v>
      </c>
      <c r="BL157" s="11" t="s">
        <v>422</v>
      </c>
    </row>
    <row r="158" spans="2:64" ht="15.6" x14ac:dyDescent="0.3">
      <c r="B158" s="11" t="s">
        <v>168</v>
      </c>
      <c r="C158" s="4" t="s">
        <v>169</v>
      </c>
      <c r="D158" s="4" t="s">
        <v>265</v>
      </c>
      <c r="E158" s="4"/>
      <c r="F158" s="55" t="s">
        <v>262</v>
      </c>
      <c r="G158" s="4">
        <v>1023.654</v>
      </c>
      <c r="H158" s="48">
        <f t="shared" si="8"/>
        <v>167.14632092484374</v>
      </c>
      <c r="I158" s="4" t="s">
        <v>267</v>
      </c>
      <c r="J158" s="4">
        <v>171.1</v>
      </c>
      <c r="K158" s="4">
        <v>2.4500000000000002</v>
      </c>
      <c r="L158" s="4">
        <f t="shared" si="9"/>
        <v>69.836734693877546</v>
      </c>
      <c r="M158" s="4" t="s">
        <v>261</v>
      </c>
      <c r="N158" s="4"/>
      <c r="O158" s="4" t="s">
        <v>266</v>
      </c>
      <c r="P158" s="4"/>
      <c r="Q158" s="4" t="s">
        <v>407</v>
      </c>
      <c r="R158" s="4" t="s">
        <v>408</v>
      </c>
      <c r="S158" s="4"/>
      <c r="T158" s="4" t="s">
        <v>409</v>
      </c>
      <c r="U158" s="4" t="s">
        <v>410</v>
      </c>
      <c r="V158" s="4" t="s">
        <v>411</v>
      </c>
      <c r="W158" s="4" t="s">
        <v>413</v>
      </c>
      <c r="X158" s="4" t="s">
        <v>414</v>
      </c>
      <c r="Y158" s="4" t="s">
        <v>415</v>
      </c>
      <c r="Z158" s="4">
        <v>318</v>
      </c>
      <c r="AA158" s="4"/>
      <c r="AB158" s="4" t="s">
        <v>384</v>
      </c>
      <c r="AC158" s="4"/>
      <c r="AD158" s="4" t="s">
        <v>416</v>
      </c>
      <c r="AE158" s="4" t="s">
        <v>417</v>
      </c>
      <c r="AF158" s="4"/>
      <c r="AG158" s="4"/>
      <c r="AH158" s="4"/>
      <c r="AU158" s="22" t="e">
        <f t="shared" si="10"/>
        <v>#DIV/0!</v>
      </c>
      <c r="AV158" s="11" t="s">
        <v>166</v>
      </c>
      <c r="AW158" s="31">
        <v>265.38007516280999</v>
      </c>
      <c r="AX158" s="31">
        <v>7.8869160203333094E-2</v>
      </c>
      <c r="AY158" s="11"/>
      <c r="AZ158" s="11"/>
      <c r="BA158" s="11"/>
      <c r="BB158" s="11">
        <v>75</v>
      </c>
      <c r="BK158" s="23" t="s">
        <v>163</v>
      </c>
      <c r="BL158" s="11" t="s">
        <v>422</v>
      </c>
    </row>
    <row r="159" spans="2:64" ht="15.6" x14ac:dyDescent="0.3">
      <c r="B159" s="11" t="s">
        <v>168</v>
      </c>
      <c r="C159" s="4" t="s">
        <v>169</v>
      </c>
      <c r="D159" s="4" t="s">
        <v>265</v>
      </c>
      <c r="E159" s="4"/>
      <c r="F159" s="55" t="s">
        <v>262</v>
      </c>
      <c r="G159" s="4">
        <v>1023.654</v>
      </c>
      <c r="H159" s="48">
        <f t="shared" ref="H159:H222" si="11">((J159)*1000)/G159</f>
        <v>167.14632092484374</v>
      </c>
      <c r="I159" s="4" t="s">
        <v>267</v>
      </c>
      <c r="J159" s="4">
        <v>171.1</v>
      </c>
      <c r="K159" s="4">
        <v>2.4500000000000002</v>
      </c>
      <c r="L159" s="4">
        <f t="shared" si="9"/>
        <v>69.836734693877546</v>
      </c>
      <c r="M159" s="4" t="s">
        <v>261</v>
      </c>
      <c r="N159" s="4"/>
      <c r="O159" s="4" t="s">
        <v>266</v>
      </c>
      <c r="P159" s="4"/>
      <c r="Q159" s="4" t="s">
        <v>407</v>
      </c>
      <c r="R159" s="4" t="s">
        <v>408</v>
      </c>
      <c r="S159" s="4"/>
      <c r="T159" s="4" t="s">
        <v>409</v>
      </c>
      <c r="U159" s="4" t="s">
        <v>410</v>
      </c>
      <c r="V159" s="4" t="s">
        <v>411</v>
      </c>
      <c r="W159" s="4" t="s">
        <v>413</v>
      </c>
      <c r="X159" s="4" t="s">
        <v>414</v>
      </c>
      <c r="Y159" s="4" t="s">
        <v>415</v>
      </c>
      <c r="Z159" s="4">
        <v>318</v>
      </c>
      <c r="AA159" s="4"/>
      <c r="AB159" s="4" t="s">
        <v>384</v>
      </c>
      <c r="AC159" s="4"/>
      <c r="AD159" s="4" t="s">
        <v>416</v>
      </c>
      <c r="AE159" s="4" t="s">
        <v>417</v>
      </c>
      <c r="AF159" s="4"/>
      <c r="AG159" s="4"/>
      <c r="AH159" s="4"/>
      <c r="AU159" s="22" t="e">
        <f t="shared" si="10"/>
        <v>#DIV/0!</v>
      </c>
      <c r="AV159" s="11" t="s">
        <v>166</v>
      </c>
      <c r="AW159" s="31">
        <v>273.03227749871797</v>
      </c>
      <c r="AX159" s="31">
        <v>7.2581299951083006E-2</v>
      </c>
      <c r="AY159" s="11"/>
      <c r="AZ159" s="11"/>
      <c r="BA159" s="11"/>
      <c r="BB159" s="11">
        <v>75</v>
      </c>
      <c r="BK159" s="23" t="s">
        <v>163</v>
      </c>
      <c r="BL159" s="11" t="s">
        <v>422</v>
      </c>
    </row>
    <row r="160" spans="2:64" ht="15.6" x14ac:dyDescent="0.3">
      <c r="B160" s="11" t="s">
        <v>168</v>
      </c>
      <c r="C160" s="4" t="s">
        <v>169</v>
      </c>
      <c r="D160" s="4" t="s">
        <v>265</v>
      </c>
      <c r="E160" s="4"/>
      <c r="F160" s="55" t="s">
        <v>262</v>
      </c>
      <c r="G160" s="4">
        <v>1023.654</v>
      </c>
      <c r="H160" s="48">
        <f t="shared" si="11"/>
        <v>167.14632092484374</v>
      </c>
      <c r="I160" s="4" t="s">
        <v>267</v>
      </c>
      <c r="J160" s="4">
        <v>171.1</v>
      </c>
      <c r="K160" s="4">
        <v>2.4500000000000002</v>
      </c>
      <c r="L160" s="4">
        <f t="shared" si="9"/>
        <v>69.836734693877546</v>
      </c>
      <c r="M160" s="4" t="s">
        <v>261</v>
      </c>
      <c r="N160" s="4"/>
      <c r="O160" s="4" t="s">
        <v>266</v>
      </c>
      <c r="P160" s="4"/>
      <c r="Q160" s="4" t="s">
        <v>407</v>
      </c>
      <c r="R160" s="4" t="s">
        <v>408</v>
      </c>
      <c r="S160" s="4"/>
      <c r="T160" s="4" t="s">
        <v>409</v>
      </c>
      <c r="U160" s="4" t="s">
        <v>410</v>
      </c>
      <c r="V160" s="4" t="s">
        <v>411</v>
      </c>
      <c r="W160" s="4" t="s">
        <v>413</v>
      </c>
      <c r="X160" s="4" t="s">
        <v>414</v>
      </c>
      <c r="Y160" s="4" t="s">
        <v>415</v>
      </c>
      <c r="Z160" s="4">
        <v>318</v>
      </c>
      <c r="AA160" s="4"/>
      <c r="AB160" s="4" t="s">
        <v>384</v>
      </c>
      <c r="AC160" s="4"/>
      <c r="AD160" s="4" t="s">
        <v>416</v>
      </c>
      <c r="AE160" s="4" t="s">
        <v>417</v>
      </c>
      <c r="AF160" s="4"/>
      <c r="AG160" s="4"/>
      <c r="AH160" s="4"/>
      <c r="AU160" s="22" t="e">
        <f t="shared" si="10"/>
        <v>#DIV/0!</v>
      </c>
      <c r="AV160" s="11" t="s">
        <v>166</v>
      </c>
      <c r="AW160" s="31">
        <v>278.25594022071198</v>
      </c>
      <c r="AX160" s="31">
        <v>6.6006640435419803E-2</v>
      </c>
      <c r="AY160" s="11"/>
      <c r="AZ160" s="11"/>
      <c r="BA160" s="11"/>
      <c r="BB160" s="11">
        <v>75</v>
      </c>
      <c r="BK160" s="23" t="s">
        <v>163</v>
      </c>
      <c r="BL160" s="11" t="s">
        <v>422</v>
      </c>
    </row>
    <row r="161" spans="2:64" ht="15.6" x14ac:dyDescent="0.3">
      <c r="B161" s="11" t="s">
        <v>168</v>
      </c>
      <c r="C161" s="4" t="s">
        <v>169</v>
      </c>
      <c r="D161" s="4" t="s">
        <v>265</v>
      </c>
      <c r="E161" s="4"/>
      <c r="F161" s="55" t="s">
        <v>262</v>
      </c>
      <c r="G161" s="4">
        <v>1023.654</v>
      </c>
      <c r="H161" s="48">
        <f t="shared" si="11"/>
        <v>167.14632092484374</v>
      </c>
      <c r="I161" s="4" t="s">
        <v>267</v>
      </c>
      <c r="J161" s="4">
        <v>171.1</v>
      </c>
      <c r="K161" s="4">
        <v>2.4500000000000002</v>
      </c>
      <c r="L161" s="4">
        <f t="shared" si="9"/>
        <v>69.836734693877546</v>
      </c>
      <c r="M161" s="4" t="s">
        <v>261</v>
      </c>
      <c r="N161" s="4"/>
      <c r="O161" s="4" t="s">
        <v>266</v>
      </c>
      <c r="P161" s="4"/>
      <c r="Q161" s="4" t="s">
        <v>407</v>
      </c>
      <c r="R161" s="4" t="s">
        <v>408</v>
      </c>
      <c r="S161" s="4"/>
      <c r="T161" s="4" t="s">
        <v>409</v>
      </c>
      <c r="U161" s="4" t="s">
        <v>410</v>
      </c>
      <c r="V161" s="4" t="s">
        <v>411</v>
      </c>
      <c r="W161" s="4" t="s">
        <v>413</v>
      </c>
      <c r="X161" s="4" t="s">
        <v>414</v>
      </c>
      <c r="Y161" s="4" t="s">
        <v>415</v>
      </c>
      <c r="Z161" s="4">
        <v>318</v>
      </c>
      <c r="AA161" s="4"/>
      <c r="AB161" s="4" t="s">
        <v>384</v>
      </c>
      <c r="AC161" s="4"/>
      <c r="AD161" s="4" t="s">
        <v>416</v>
      </c>
      <c r="AE161" s="4" t="s">
        <v>417</v>
      </c>
      <c r="AF161" s="4"/>
      <c r="AG161" s="4"/>
      <c r="AH161" s="4"/>
      <c r="AU161" s="22" t="e">
        <f t="shared" si="10"/>
        <v>#DIV/0!</v>
      </c>
      <c r="AV161" s="11" t="s">
        <v>166</v>
      </c>
      <c r="AW161" s="31">
        <v>286.27941656659402</v>
      </c>
      <c r="AX161" s="31">
        <v>6.1469516033596502E-2</v>
      </c>
      <c r="AY161" s="11"/>
      <c r="AZ161" s="11"/>
      <c r="BA161" s="11"/>
      <c r="BB161" s="11">
        <v>75</v>
      </c>
      <c r="BK161" s="23" t="s">
        <v>163</v>
      </c>
      <c r="BL161" s="11" t="s">
        <v>422</v>
      </c>
    </row>
    <row r="162" spans="2:64" ht="15.6" x14ac:dyDescent="0.3">
      <c r="B162" s="11" t="s">
        <v>168</v>
      </c>
      <c r="C162" s="4" t="s">
        <v>169</v>
      </c>
      <c r="D162" s="4" t="s">
        <v>265</v>
      </c>
      <c r="E162" s="4"/>
      <c r="F162" s="55" t="s">
        <v>262</v>
      </c>
      <c r="G162" s="4">
        <v>1023.654</v>
      </c>
      <c r="H162" s="48">
        <f t="shared" si="11"/>
        <v>167.14632092484374</v>
      </c>
      <c r="I162" s="4" t="s">
        <v>267</v>
      </c>
      <c r="J162" s="4">
        <v>171.1</v>
      </c>
      <c r="K162" s="4">
        <v>2.4500000000000002</v>
      </c>
      <c r="L162" s="4">
        <f t="shared" si="9"/>
        <v>69.836734693877546</v>
      </c>
      <c r="M162" s="4" t="s">
        <v>261</v>
      </c>
      <c r="N162" s="4"/>
      <c r="O162" s="4" t="s">
        <v>266</v>
      </c>
      <c r="P162" s="4"/>
      <c r="Q162" s="4" t="s">
        <v>407</v>
      </c>
      <c r="R162" s="4" t="s">
        <v>408</v>
      </c>
      <c r="S162" s="4"/>
      <c r="T162" s="4" t="s">
        <v>409</v>
      </c>
      <c r="U162" s="4" t="s">
        <v>410</v>
      </c>
      <c r="V162" s="4" t="s">
        <v>411</v>
      </c>
      <c r="W162" s="4" t="s">
        <v>413</v>
      </c>
      <c r="X162" s="4" t="s">
        <v>414</v>
      </c>
      <c r="Y162" s="4" t="s">
        <v>415</v>
      </c>
      <c r="Z162" s="4">
        <v>318</v>
      </c>
      <c r="AA162" s="4"/>
      <c r="AB162" s="4" t="s">
        <v>384</v>
      </c>
      <c r="AC162" s="4"/>
      <c r="AD162" s="4" t="s">
        <v>416</v>
      </c>
      <c r="AE162" s="4" t="s">
        <v>417</v>
      </c>
      <c r="AF162" s="4"/>
      <c r="AG162" s="4"/>
      <c r="AH162" s="4"/>
      <c r="AU162" s="22" t="e">
        <f t="shared" si="10"/>
        <v>#DIV/0!</v>
      </c>
      <c r="AV162" s="11" t="s">
        <v>166</v>
      </c>
      <c r="AW162" s="31">
        <v>289.004995579575</v>
      </c>
      <c r="AX162" s="31">
        <v>5.6568846042991297E-2</v>
      </c>
      <c r="AY162" s="11"/>
      <c r="AZ162" s="11"/>
      <c r="BA162" s="11"/>
      <c r="BB162" s="11">
        <v>75</v>
      </c>
      <c r="BK162" s="23" t="s">
        <v>163</v>
      </c>
      <c r="BL162" s="11" t="s">
        <v>422</v>
      </c>
    </row>
    <row r="163" spans="2:64" ht="15.6" x14ac:dyDescent="0.3">
      <c r="B163" s="11" t="s">
        <v>168</v>
      </c>
      <c r="C163" s="4" t="s">
        <v>169</v>
      </c>
      <c r="D163" s="4" t="s">
        <v>265</v>
      </c>
      <c r="E163" s="4"/>
      <c r="F163" s="55" t="s">
        <v>262</v>
      </c>
      <c r="G163" s="4">
        <v>1023.654</v>
      </c>
      <c r="H163" s="48">
        <f t="shared" si="11"/>
        <v>167.14632092484374</v>
      </c>
      <c r="I163" s="4" t="s">
        <v>267</v>
      </c>
      <c r="J163" s="4">
        <v>171.1</v>
      </c>
      <c r="K163" s="4">
        <v>2.4500000000000002</v>
      </c>
      <c r="L163" s="4">
        <f t="shared" si="9"/>
        <v>69.836734693877546</v>
      </c>
      <c r="M163" s="4" t="s">
        <v>261</v>
      </c>
      <c r="N163" s="4"/>
      <c r="O163" s="4" t="s">
        <v>266</v>
      </c>
      <c r="P163" s="4"/>
      <c r="Q163" s="4" t="s">
        <v>407</v>
      </c>
      <c r="R163" s="4" t="s">
        <v>408</v>
      </c>
      <c r="S163" s="4"/>
      <c r="T163" s="4" t="s">
        <v>409</v>
      </c>
      <c r="U163" s="4" t="s">
        <v>410</v>
      </c>
      <c r="V163" s="4" t="s">
        <v>411</v>
      </c>
      <c r="W163" s="4" t="s">
        <v>413</v>
      </c>
      <c r="X163" s="4" t="s">
        <v>414</v>
      </c>
      <c r="Y163" s="4" t="s">
        <v>415</v>
      </c>
      <c r="Z163" s="4">
        <v>318</v>
      </c>
      <c r="AA163" s="4"/>
      <c r="AB163" s="4" t="s">
        <v>384</v>
      </c>
      <c r="AC163" s="4"/>
      <c r="AD163" s="4" t="s">
        <v>416</v>
      </c>
      <c r="AE163" s="4" t="s">
        <v>417</v>
      </c>
      <c r="AF163" s="4"/>
      <c r="AG163" s="4"/>
      <c r="AH163" s="4"/>
      <c r="AU163" s="22" t="e">
        <f t="shared" si="10"/>
        <v>#DIV/0!</v>
      </c>
      <c r="AV163" s="11" t="s">
        <v>166</v>
      </c>
      <c r="AW163" s="31">
        <v>297.33841963526697</v>
      </c>
      <c r="AX163" s="31">
        <v>5.2680451025890598E-2</v>
      </c>
      <c r="AY163" s="11"/>
      <c r="AZ163" s="11"/>
      <c r="BA163" s="11"/>
      <c r="BB163" s="11">
        <v>75</v>
      </c>
      <c r="BK163" s="23" t="s">
        <v>163</v>
      </c>
      <c r="BL163" s="11" t="s">
        <v>422</v>
      </c>
    </row>
    <row r="164" spans="2:64" ht="15.6" x14ac:dyDescent="0.3">
      <c r="B164" s="11" t="s">
        <v>168</v>
      </c>
      <c r="C164" s="4" t="s">
        <v>169</v>
      </c>
      <c r="D164" s="4" t="s">
        <v>265</v>
      </c>
      <c r="E164" s="4"/>
      <c r="F164" s="55" t="s">
        <v>262</v>
      </c>
      <c r="G164" s="4">
        <v>1023.654</v>
      </c>
      <c r="H164" s="48">
        <f t="shared" si="11"/>
        <v>167.14632092484374</v>
      </c>
      <c r="I164" s="4" t="s">
        <v>267</v>
      </c>
      <c r="J164" s="4">
        <v>171.1</v>
      </c>
      <c r="K164" s="4">
        <v>2.4500000000000002</v>
      </c>
      <c r="L164" s="4">
        <f t="shared" si="9"/>
        <v>69.836734693877546</v>
      </c>
      <c r="M164" s="4" t="s">
        <v>261</v>
      </c>
      <c r="N164" s="4"/>
      <c r="O164" s="4" t="s">
        <v>266</v>
      </c>
      <c r="P164" s="4"/>
      <c r="Q164" s="4" t="s">
        <v>407</v>
      </c>
      <c r="R164" s="4" t="s">
        <v>408</v>
      </c>
      <c r="S164" s="4"/>
      <c r="T164" s="4" t="s">
        <v>409</v>
      </c>
      <c r="U164" s="4" t="s">
        <v>410</v>
      </c>
      <c r="V164" s="4" t="s">
        <v>411</v>
      </c>
      <c r="W164" s="4" t="s">
        <v>413</v>
      </c>
      <c r="X164" s="4" t="s">
        <v>414</v>
      </c>
      <c r="Y164" s="4" t="s">
        <v>415</v>
      </c>
      <c r="Z164" s="4">
        <v>318</v>
      </c>
      <c r="AA164" s="4"/>
      <c r="AB164" s="4" t="s">
        <v>384</v>
      </c>
      <c r="AC164" s="4"/>
      <c r="AD164" s="4" t="s">
        <v>416</v>
      </c>
      <c r="AE164" s="4" t="s">
        <v>417</v>
      </c>
      <c r="AF164" s="4"/>
      <c r="AG164" s="4"/>
      <c r="AH164" s="4"/>
      <c r="AU164" s="22" t="e">
        <f t="shared" si="10"/>
        <v>#DIV/0!</v>
      </c>
      <c r="AV164" s="11" t="s">
        <v>166</v>
      </c>
      <c r="AW164" s="31">
        <v>297.33841963526697</v>
      </c>
      <c r="AX164" s="31">
        <v>4.73432133799815E-2</v>
      </c>
      <c r="AY164" s="11"/>
      <c r="AZ164" s="11"/>
      <c r="BA164" s="11"/>
      <c r="BB164" s="11">
        <v>75</v>
      </c>
      <c r="BK164" s="23" t="s">
        <v>163</v>
      </c>
      <c r="BL164" s="11" t="s">
        <v>422</v>
      </c>
    </row>
    <row r="165" spans="2:64" ht="15.6" x14ac:dyDescent="0.3">
      <c r="B165" s="11" t="s">
        <v>168</v>
      </c>
      <c r="C165" s="4" t="s">
        <v>169</v>
      </c>
      <c r="D165" s="4" t="s">
        <v>265</v>
      </c>
      <c r="E165" s="4"/>
      <c r="F165" s="55" t="s">
        <v>262</v>
      </c>
      <c r="G165" s="4">
        <v>1023.654</v>
      </c>
      <c r="H165" s="48">
        <f t="shared" si="11"/>
        <v>167.14632092484374</v>
      </c>
      <c r="I165" s="4" t="s">
        <v>267</v>
      </c>
      <c r="J165" s="4">
        <v>171.1</v>
      </c>
      <c r="K165" s="4">
        <v>2.4500000000000002</v>
      </c>
      <c r="L165" s="4">
        <f t="shared" si="9"/>
        <v>69.836734693877546</v>
      </c>
      <c r="M165" s="4" t="s">
        <v>261</v>
      </c>
      <c r="N165" s="4"/>
      <c r="O165" s="4" t="s">
        <v>266</v>
      </c>
      <c r="P165" s="4"/>
      <c r="Q165" s="4" t="s">
        <v>407</v>
      </c>
      <c r="R165" s="4" t="s">
        <v>408</v>
      </c>
      <c r="S165" s="4"/>
      <c r="T165" s="4" t="s">
        <v>409</v>
      </c>
      <c r="U165" s="4" t="s">
        <v>410</v>
      </c>
      <c r="V165" s="4" t="s">
        <v>411</v>
      </c>
      <c r="W165" s="4" t="s">
        <v>413</v>
      </c>
      <c r="X165" s="4" t="s">
        <v>414</v>
      </c>
      <c r="Y165" s="4" t="s">
        <v>415</v>
      </c>
      <c r="Z165" s="4">
        <v>318</v>
      </c>
      <c r="AA165" s="4"/>
      <c r="AB165" s="4" t="s">
        <v>384</v>
      </c>
      <c r="AC165" s="4"/>
      <c r="AD165" s="4" t="s">
        <v>416</v>
      </c>
      <c r="AE165" s="4" t="s">
        <v>417</v>
      </c>
      <c r="AF165" s="4"/>
      <c r="AG165" s="4"/>
      <c r="AH165" s="4"/>
      <c r="AU165" s="22" t="e">
        <f t="shared" si="10"/>
        <v>#DIV/0!</v>
      </c>
      <c r="AV165" s="11" t="s">
        <v>166</v>
      </c>
      <c r="AW165" s="31">
        <v>303.02710828663902</v>
      </c>
      <c r="AX165" s="31">
        <v>4.4615373810823603E-2</v>
      </c>
      <c r="AY165" s="11"/>
      <c r="AZ165" s="11"/>
      <c r="BA165" s="11"/>
      <c r="BB165" s="11">
        <v>75</v>
      </c>
      <c r="BK165" s="23" t="s">
        <v>163</v>
      </c>
      <c r="BL165" s="11" t="s">
        <v>422</v>
      </c>
    </row>
    <row r="166" spans="2:64" ht="15.6" x14ac:dyDescent="0.3">
      <c r="B166" s="11" t="s">
        <v>168</v>
      </c>
      <c r="C166" s="4" t="s">
        <v>169</v>
      </c>
      <c r="D166" s="4" t="s">
        <v>265</v>
      </c>
      <c r="E166" s="4"/>
      <c r="F166" s="55" t="s">
        <v>262</v>
      </c>
      <c r="G166" s="4">
        <v>1023.654</v>
      </c>
      <c r="H166" s="48">
        <f t="shared" si="11"/>
        <v>167.14632092484374</v>
      </c>
      <c r="I166" s="4" t="s">
        <v>267</v>
      </c>
      <c r="J166" s="4">
        <v>171.1</v>
      </c>
      <c r="K166" s="4">
        <v>2.4500000000000002</v>
      </c>
      <c r="L166" s="4">
        <f t="shared" si="9"/>
        <v>69.836734693877546</v>
      </c>
      <c r="M166" s="4" t="s">
        <v>261</v>
      </c>
      <c r="N166" s="4"/>
      <c r="O166" s="4" t="s">
        <v>266</v>
      </c>
      <c r="P166" s="4"/>
      <c r="Q166" s="4" t="s">
        <v>407</v>
      </c>
      <c r="R166" s="4" t="s">
        <v>408</v>
      </c>
      <c r="S166" s="4"/>
      <c r="T166" s="4" t="s">
        <v>409</v>
      </c>
      <c r="U166" s="4" t="s">
        <v>410</v>
      </c>
      <c r="V166" s="4" t="s">
        <v>411</v>
      </c>
      <c r="W166" s="4" t="s">
        <v>413</v>
      </c>
      <c r="X166" s="4" t="s">
        <v>414</v>
      </c>
      <c r="Y166" s="4" t="s">
        <v>415</v>
      </c>
      <c r="Z166" s="4">
        <v>318</v>
      </c>
      <c r="AA166" s="4"/>
      <c r="AB166" s="4" t="s">
        <v>384</v>
      </c>
      <c r="AC166" s="4"/>
      <c r="AD166" s="4" t="s">
        <v>416</v>
      </c>
      <c r="AE166" s="4" t="s">
        <v>417</v>
      </c>
      <c r="AF166" s="4"/>
      <c r="AG166" s="4"/>
      <c r="AH166" s="4"/>
      <c r="AU166" s="22" t="e">
        <f t="shared" si="10"/>
        <v>#DIV/0!</v>
      </c>
      <c r="AV166" s="11" t="s">
        <v>166</v>
      </c>
      <c r="AW166" s="31">
        <v>308.82463312074202</v>
      </c>
      <c r="AX166" s="31">
        <v>4.1548629315448102E-2</v>
      </c>
      <c r="AY166" s="11"/>
      <c r="AZ166" s="11"/>
      <c r="BA166" s="11"/>
      <c r="BB166" s="11">
        <v>75</v>
      </c>
      <c r="BK166" s="23" t="s">
        <v>163</v>
      </c>
      <c r="BL166" s="11" t="s">
        <v>422</v>
      </c>
    </row>
    <row r="167" spans="2:64" ht="15.6" x14ac:dyDescent="0.3">
      <c r="B167" s="11" t="s">
        <v>168</v>
      </c>
      <c r="C167" s="4" t="s">
        <v>169</v>
      </c>
      <c r="D167" s="4" t="s">
        <v>265</v>
      </c>
      <c r="E167" s="4"/>
      <c r="F167" s="55" t="s">
        <v>262</v>
      </c>
      <c r="G167" s="4">
        <v>1023.654</v>
      </c>
      <c r="H167" s="48">
        <f t="shared" si="11"/>
        <v>167.14632092484374</v>
      </c>
      <c r="I167" s="4" t="s">
        <v>267</v>
      </c>
      <c r="J167" s="4">
        <v>171.1</v>
      </c>
      <c r="K167" s="4">
        <v>2.4500000000000002</v>
      </c>
      <c r="L167" s="4">
        <f t="shared" si="9"/>
        <v>69.836734693877546</v>
      </c>
      <c r="M167" s="4" t="s">
        <v>261</v>
      </c>
      <c r="N167" s="4"/>
      <c r="O167" s="4" t="s">
        <v>266</v>
      </c>
      <c r="P167" s="4"/>
      <c r="Q167" s="4" t="s">
        <v>407</v>
      </c>
      <c r="R167" s="4" t="s">
        <v>408</v>
      </c>
      <c r="S167" s="4"/>
      <c r="T167" s="4" t="s">
        <v>409</v>
      </c>
      <c r="U167" s="4" t="s">
        <v>410</v>
      </c>
      <c r="V167" s="4" t="s">
        <v>411</v>
      </c>
      <c r="W167" s="4" t="s">
        <v>413</v>
      </c>
      <c r="X167" s="4" t="s">
        <v>414</v>
      </c>
      <c r="Y167" s="4" t="s">
        <v>415</v>
      </c>
      <c r="Z167" s="4">
        <v>318</v>
      </c>
      <c r="AA167" s="4"/>
      <c r="AB167" s="4" t="s">
        <v>384</v>
      </c>
      <c r="AC167" s="4"/>
      <c r="AD167" s="4" t="s">
        <v>416</v>
      </c>
      <c r="AE167" s="4" t="s">
        <v>417</v>
      </c>
      <c r="AF167" s="4"/>
      <c r="AG167" s="4"/>
      <c r="AH167" s="4"/>
      <c r="AU167" s="22" t="e">
        <f t="shared" si="10"/>
        <v>#DIV/0!</v>
      </c>
      <c r="AV167" s="11" t="s">
        <v>166</v>
      </c>
      <c r="AW167" s="31">
        <v>314.73307639508499</v>
      </c>
      <c r="AX167" s="31">
        <v>3.8236156174685003E-2</v>
      </c>
      <c r="AY167" s="11"/>
      <c r="AZ167" s="11"/>
      <c r="BA167" s="11"/>
      <c r="BB167" s="11">
        <v>75</v>
      </c>
      <c r="BK167" s="23" t="s">
        <v>163</v>
      </c>
      <c r="BL167" s="11" t="s">
        <v>422</v>
      </c>
    </row>
    <row r="168" spans="2:64" ht="15.6" x14ac:dyDescent="0.3">
      <c r="B168" s="11" t="s">
        <v>168</v>
      </c>
      <c r="C168" s="4" t="s">
        <v>169</v>
      </c>
      <c r="D168" s="4" t="s">
        <v>265</v>
      </c>
      <c r="E168" s="4"/>
      <c r="F168" s="55" t="s">
        <v>262</v>
      </c>
      <c r="G168" s="4">
        <v>1023.654</v>
      </c>
      <c r="H168" s="48">
        <f t="shared" si="11"/>
        <v>167.14632092484374</v>
      </c>
      <c r="I168" s="4" t="s">
        <v>267</v>
      </c>
      <c r="J168" s="4">
        <v>171.1</v>
      </c>
      <c r="K168" s="4">
        <v>2.4500000000000002</v>
      </c>
      <c r="L168" s="4">
        <f t="shared" si="9"/>
        <v>69.836734693877546</v>
      </c>
      <c r="M168" s="4" t="s">
        <v>261</v>
      </c>
      <c r="N168" s="4"/>
      <c r="O168" s="4" t="s">
        <v>266</v>
      </c>
      <c r="P168" s="4"/>
      <c r="Q168" s="4" t="s">
        <v>407</v>
      </c>
      <c r="R168" s="4" t="s">
        <v>408</v>
      </c>
      <c r="S168" s="4"/>
      <c r="T168" s="4" t="s">
        <v>409</v>
      </c>
      <c r="U168" s="4" t="s">
        <v>410</v>
      </c>
      <c r="V168" s="4" t="s">
        <v>411</v>
      </c>
      <c r="W168" s="4" t="s">
        <v>413</v>
      </c>
      <c r="X168" s="4" t="s">
        <v>414</v>
      </c>
      <c r="Y168" s="4" t="s">
        <v>415</v>
      </c>
      <c r="Z168" s="4">
        <v>318</v>
      </c>
      <c r="AA168" s="4"/>
      <c r="AB168" s="4" t="s">
        <v>384</v>
      </c>
      <c r="AC168" s="4"/>
      <c r="AD168" s="4" t="s">
        <v>416</v>
      </c>
      <c r="AE168" s="4" t="s">
        <v>417</v>
      </c>
      <c r="AF168" s="4"/>
      <c r="AG168" s="4"/>
      <c r="AH168" s="4"/>
      <c r="AU168" s="22" t="e">
        <f t="shared" si="10"/>
        <v>#DIV/0!</v>
      </c>
      <c r="AV168" s="11" t="s">
        <v>166</v>
      </c>
      <c r="AW168" s="31">
        <v>320.75456020500201</v>
      </c>
      <c r="AX168" s="31">
        <v>3.60330505479362E-2</v>
      </c>
      <c r="AY168" s="11"/>
      <c r="AZ168" s="11"/>
      <c r="BA168" s="11"/>
      <c r="BB168" s="11">
        <v>75</v>
      </c>
      <c r="BK168" s="23" t="s">
        <v>163</v>
      </c>
      <c r="BL168" s="11" t="s">
        <v>422</v>
      </c>
    </row>
    <row r="169" spans="2:64" ht="15.6" x14ac:dyDescent="0.3">
      <c r="B169" s="11" t="s">
        <v>168</v>
      </c>
      <c r="C169" s="4" t="s">
        <v>169</v>
      </c>
      <c r="D169" s="4" t="s">
        <v>265</v>
      </c>
      <c r="E169" s="4"/>
      <c r="F169" s="55" t="s">
        <v>262</v>
      </c>
      <c r="G169" s="4">
        <v>1023.654</v>
      </c>
      <c r="H169" s="48">
        <f t="shared" si="11"/>
        <v>167.14632092484374</v>
      </c>
      <c r="I169" s="4" t="s">
        <v>267</v>
      </c>
      <c r="J169" s="4">
        <v>171.1</v>
      </c>
      <c r="K169" s="4">
        <v>2.4500000000000002</v>
      </c>
      <c r="L169" s="4">
        <f t="shared" si="9"/>
        <v>69.836734693877546</v>
      </c>
      <c r="M169" s="4" t="s">
        <v>261</v>
      </c>
      <c r="N169" s="4"/>
      <c r="O169" s="4" t="s">
        <v>266</v>
      </c>
      <c r="P169" s="4"/>
      <c r="Q169" s="4" t="s">
        <v>407</v>
      </c>
      <c r="R169" s="4" t="s">
        <v>408</v>
      </c>
      <c r="S169" s="4"/>
      <c r="T169" s="4" t="s">
        <v>409</v>
      </c>
      <c r="U169" s="4" t="s">
        <v>410</v>
      </c>
      <c r="V169" s="4" t="s">
        <v>411</v>
      </c>
      <c r="W169" s="4" t="s">
        <v>413</v>
      </c>
      <c r="X169" s="4" t="s">
        <v>414</v>
      </c>
      <c r="Y169" s="4" t="s">
        <v>415</v>
      </c>
      <c r="Z169" s="4">
        <v>318</v>
      </c>
      <c r="AA169" s="4"/>
      <c r="AB169" s="4" t="s">
        <v>384</v>
      </c>
      <c r="AC169" s="4"/>
      <c r="AD169" s="4" t="s">
        <v>416</v>
      </c>
      <c r="AE169" s="4" t="s">
        <v>417</v>
      </c>
      <c r="AF169" s="4"/>
      <c r="AG169" s="4"/>
      <c r="AH169" s="4"/>
      <c r="AU169" s="22" t="e">
        <f t="shared" si="10"/>
        <v>#DIV/0!</v>
      </c>
      <c r="AV169" s="11" t="s">
        <v>166</v>
      </c>
      <c r="AW169" s="31">
        <v>323.80836654601501</v>
      </c>
      <c r="AX169" s="31">
        <v>3.3556232581823699E-2</v>
      </c>
      <c r="AY169" s="11"/>
      <c r="AZ169" s="11"/>
      <c r="BA169" s="11"/>
      <c r="BB169" s="11">
        <v>75</v>
      </c>
      <c r="BK169" s="23" t="s">
        <v>163</v>
      </c>
      <c r="BL169" s="11" t="s">
        <v>422</v>
      </c>
    </row>
    <row r="170" spans="2:64" ht="15.6" x14ac:dyDescent="0.3">
      <c r="B170" s="11" t="s">
        <v>168</v>
      </c>
      <c r="C170" s="4" t="s">
        <v>169</v>
      </c>
      <c r="D170" s="4" t="s">
        <v>265</v>
      </c>
      <c r="E170" s="4"/>
      <c r="F170" s="55" t="s">
        <v>262</v>
      </c>
      <c r="G170" s="4">
        <v>1023.654</v>
      </c>
      <c r="H170" s="48">
        <f t="shared" si="11"/>
        <v>167.14632092484374</v>
      </c>
      <c r="I170" s="4" t="s">
        <v>267</v>
      </c>
      <c r="J170" s="4">
        <v>171.1</v>
      </c>
      <c r="K170" s="4">
        <v>2.4500000000000002</v>
      </c>
      <c r="L170" s="4">
        <f t="shared" si="9"/>
        <v>69.836734693877546</v>
      </c>
      <c r="M170" s="4" t="s">
        <v>261</v>
      </c>
      <c r="N170" s="4"/>
      <c r="O170" s="4" t="s">
        <v>266</v>
      </c>
      <c r="P170" s="4"/>
      <c r="Q170" s="4" t="s">
        <v>407</v>
      </c>
      <c r="R170" s="4" t="s">
        <v>408</v>
      </c>
      <c r="S170" s="4"/>
      <c r="T170" s="4" t="s">
        <v>409</v>
      </c>
      <c r="U170" s="4" t="s">
        <v>410</v>
      </c>
      <c r="V170" s="4" t="s">
        <v>411</v>
      </c>
      <c r="W170" s="4" t="s">
        <v>413</v>
      </c>
      <c r="X170" s="4" t="s">
        <v>414</v>
      </c>
      <c r="Y170" s="4" t="s">
        <v>415</v>
      </c>
      <c r="Z170" s="4">
        <v>318</v>
      </c>
      <c r="AA170" s="4"/>
      <c r="AB170" s="4" t="s">
        <v>384</v>
      </c>
      <c r="AC170" s="4"/>
      <c r="AD170" s="4" t="s">
        <v>416</v>
      </c>
      <c r="AE170" s="4" t="s">
        <v>417</v>
      </c>
      <c r="AF170" s="4"/>
      <c r="AG170" s="4"/>
      <c r="AH170" s="4"/>
      <c r="AU170" s="22" t="e">
        <f t="shared" si="10"/>
        <v>#DIV/0!</v>
      </c>
      <c r="AV170" s="11" t="s">
        <v>166</v>
      </c>
      <c r="AW170" s="31">
        <v>330.003479112528</v>
      </c>
      <c r="AX170" s="31">
        <v>3.088095493816E-2</v>
      </c>
      <c r="AY170" s="11"/>
      <c r="AZ170" s="11"/>
      <c r="BA170" s="11"/>
      <c r="BB170" s="11">
        <v>75</v>
      </c>
      <c r="BK170" s="23" t="s">
        <v>163</v>
      </c>
      <c r="BL170" s="11" t="s">
        <v>422</v>
      </c>
    </row>
    <row r="171" spans="2:64" ht="15.6" x14ac:dyDescent="0.3">
      <c r="B171" s="11" t="s">
        <v>168</v>
      </c>
      <c r="C171" s="4" t="s">
        <v>169</v>
      </c>
      <c r="D171" s="4" t="s">
        <v>265</v>
      </c>
      <c r="E171" s="4"/>
      <c r="F171" s="55" t="s">
        <v>262</v>
      </c>
      <c r="G171" s="4">
        <v>1023.654</v>
      </c>
      <c r="H171" s="48">
        <f t="shared" si="11"/>
        <v>167.14632092484374</v>
      </c>
      <c r="I171" s="4" t="s">
        <v>267</v>
      </c>
      <c r="J171" s="4">
        <v>171.1</v>
      </c>
      <c r="K171" s="4">
        <v>2.4500000000000002</v>
      </c>
      <c r="L171" s="4">
        <f t="shared" si="9"/>
        <v>69.836734693877546</v>
      </c>
      <c r="M171" s="4" t="s">
        <v>261</v>
      </c>
      <c r="N171" s="4"/>
      <c r="O171" s="4" t="s">
        <v>266</v>
      </c>
      <c r="P171" s="4"/>
      <c r="Q171" s="4" t="s">
        <v>407</v>
      </c>
      <c r="R171" s="4" t="s">
        <v>408</v>
      </c>
      <c r="S171" s="4"/>
      <c r="T171" s="4" t="s">
        <v>409</v>
      </c>
      <c r="U171" s="4" t="s">
        <v>410</v>
      </c>
      <c r="V171" s="4" t="s">
        <v>411</v>
      </c>
      <c r="W171" s="4" t="s">
        <v>413</v>
      </c>
      <c r="X171" s="4" t="s">
        <v>414</v>
      </c>
      <c r="Y171" s="4" t="s">
        <v>415</v>
      </c>
      <c r="Z171" s="4">
        <v>318</v>
      </c>
      <c r="AA171" s="4"/>
      <c r="AB171" s="4" t="s">
        <v>384</v>
      </c>
      <c r="AC171" s="4"/>
      <c r="AD171" s="4" t="s">
        <v>416</v>
      </c>
      <c r="AE171" s="4" t="s">
        <v>417</v>
      </c>
      <c r="AF171" s="4"/>
      <c r="AG171" s="4"/>
      <c r="AH171" s="4"/>
      <c r="AU171" s="22" t="e">
        <f t="shared" si="10"/>
        <v>#DIV/0!</v>
      </c>
      <c r="AV171" s="11" t="s">
        <v>166</v>
      </c>
      <c r="AW171" s="31">
        <v>333.14534158963801</v>
      </c>
      <c r="AX171" s="31">
        <v>2.80836536446618E-2</v>
      </c>
      <c r="AY171" s="11"/>
      <c r="AZ171" s="11"/>
      <c r="BA171" s="11"/>
      <c r="BB171" s="11">
        <v>75</v>
      </c>
      <c r="BK171" s="23" t="s">
        <v>163</v>
      </c>
      <c r="BL171" s="11" t="s">
        <v>422</v>
      </c>
    </row>
    <row r="172" spans="2:64" ht="15.6" x14ac:dyDescent="0.3">
      <c r="B172" s="11" t="s">
        <v>168</v>
      </c>
      <c r="C172" s="4" t="s">
        <v>169</v>
      </c>
      <c r="D172" s="4" t="s">
        <v>265</v>
      </c>
      <c r="E172" s="4"/>
      <c r="F172" s="55" t="s">
        <v>262</v>
      </c>
      <c r="G172" s="4">
        <v>1023.654</v>
      </c>
      <c r="H172" s="48">
        <f t="shared" si="11"/>
        <v>167.14632092484374</v>
      </c>
      <c r="I172" s="4" t="s">
        <v>267</v>
      </c>
      <c r="J172" s="4">
        <v>171.1</v>
      </c>
      <c r="K172" s="4">
        <v>2.4500000000000002</v>
      </c>
      <c r="L172" s="4">
        <f t="shared" si="9"/>
        <v>69.836734693877546</v>
      </c>
      <c r="M172" s="4" t="s">
        <v>261</v>
      </c>
      <c r="N172" s="4"/>
      <c r="O172" s="4" t="s">
        <v>266</v>
      </c>
      <c r="P172" s="4"/>
      <c r="Q172" s="4" t="s">
        <v>407</v>
      </c>
      <c r="R172" s="4" t="s">
        <v>408</v>
      </c>
      <c r="S172" s="4"/>
      <c r="T172" s="4" t="s">
        <v>409</v>
      </c>
      <c r="U172" s="4" t="s">
        <v>410</v>
      </c>
      <c r="V172" s="4" t="s">
        <v>411</v>
      </c>
      <c r="W172" s="4" t="s">
        <v>413</v>
      </c>
      <c r="X172" s="4" t="s">
        <v>414</v>
      </c>
      <c r="Y172" s="4" t="s">
        <v>415</v>
      </c>
      <c r="Z172" s="4">
        <v>318</v>
      </c>
      <c r="AA172" s="4"/>
      <c r="AB172" s="4" t="s">
        <v>384</v>
      </c>
      <c r="AC172" s="4"/>
      <c r="AD172" s="4" t="s">
        <v>416</v>
      </c>
      <c r="AE172" s="4" t="s">
        <v>417</v>
      </c>
      <c r="AF172" s="4"/>
      <c r="AG172" s="4"/>
      <c r="AH172" s="4"/>
      <c r="AU172" s="22" t="e">
        <f t="shared" si="10"/>
        <v>#DIV/0!</v>
      </c>
      <c r="AV172" s="11" t="s">
        <v>166</v>
      </c>
      <c r="AW172" s="31">
        <v>339.51908947692101</v>
      </c>
      <c r="AX172" s="31">
        <v>2.58446784985468E-2</v>
      </c>
      <c r="AY172" s="11"/>
      <c r="AZ172" s="11"/>
      <c r="BA172" s="11"/>
      <c r="BB172" s="11">
        <v>75</v>
      </c>
      <c r="BK172" s="23" t="s">
        <v>163</v>
      </c>
      <c r="BL172" s="11" t="s">
        <v>422</v>
      </c>
    </row>
    <row r="173" spans="2:64" ht="15.6" x14ac:dyDescent="0.3">
      <c r="B173" s="11" t="s">
        <v>168</v>
      </c>
      <c r="C173" s="4" t="s">
        <v>169</v>
      </c>
      <c r="D173" s="4" t="s">
        <v>265</v>
      </c>
      <c r="E173" s="4"/>
      <c r="F173" s="55" t="s">
        <v>262</v>
      </c>
      <c r="G173" s="4">
        <v>1023.654</v>
      </c>
      <c r="H173" s="48">
        <f t="shared" si="11"/>
        <v>167.14632092484374</v>
      </c>
      <c r="I173" s="4" t="s">
        <v>267</v>
      </c>
      <c r="J173" s="4">
        <v>171.1</v>
      </c>
      <c r="K173" s="4">
        <v>2.4500000000000002</v>
      </c>
      <c r="L173" s="4">
        <f t="shared" si="9"/>
        <v>69.836734693877546</v>
      </c>
      <c r="M173" s="4" t="s">
        <v>261</v>
      </c>
      <c r="N173" s="4"/>
      <c r="O173" s="4" t="s">
        <v>266</v>
      </c>
      <c r="P173" s="4"/>
      <c r="Q173" s="4" t="s">
        <v>407</v>
      </c>
      <c r="R173" s="4" t="s">
        <v>408</v>
      </c>
      <c r="S173" s="4"/>
      <c r="T173" s="4" t="s">
        <v>409</v>
      </c>
      <c r="U173" s="4" t="s">
        <v>410</v>
      </c>
      <c r="V173" s="4" t="s">
        <v>411</v>
      </c>
      <c r="W173" s="4" t="s">
        <v>413</v>
      </c>
      <c r="X173" s="4" t="s">
        <v>414</v>
      </c>
      <c r="Y173" s="4" t="s">
        <v>415</v>
      </c>
      <c r="Z173" s="4">
        <v>318</v>
      </c>
      <c r="AA173" s="4"/>
      <c r="AB173" s="4" t="s">
        <v>384</v>
      </c>
      <c r="AC173" s="4"/>
      <c r="AD173" s="4" t="s">
        <v>416</v>
      </c>
      <c r="AE173" s="4" t="s">
        <v>417</v>
      </c>
      <c r="AF173" s="4"/>
      <c r="AG173" s="4"/>
      <c r="AH173" s="4"/>
      <c r="AU173" s="22" t="e">
        <f t="shared" si="10"/>
        <v>#DIV/0!</v>
      </c>
      <c r="AV173" s="11" t="s">
        <v>166</v>
      </c>
      <c r="AW173" s="31">
        <v>349.30908131405101</v>
      </c>
      <c r="AX173" s="31">
        <v>2.4355549822496401E-2</v>
      </c>
      <c r="AY173" s="11"/>
      <c r="AZ173" s="11"/>
      <c r="BA173" s="11"/>
      <c r="BB173" s="11">
        <v>75</v>
      </c>
      <c r="BK173" s="23" t="s">
        <v>163</v>
      </c>
      <c r="BL173" s="11" t="s">
        <v>422</v>
      </c>
    </row>
    <row r="174" spans="2:64" ht="15.6" x14ac:dyDescent="0.3">
      <c r="B174" s="11" t="s">
        <v>168</v>
      </c>
      <c r="C174" s="4" t="s">
        <v>169</v>
      </c>
      <c r="D174" s="4" t="s">
        <v>265</v>
      </c>
      <c r="E174" s="4"/>
      <c r="F174" s="55" t="s">
        <v>262</v>
      </c>
      <c r="G174" s="4">
        <v>1023.654</v>
      </c>
      <c r="H174" s="48">
        <f t="shared" si="11"/>
        <v>167.14632092484374</v>
      </c>
      <c r="I174" s="4" t="s">
        <v>267</v>
      </c>
      <c r="J174" s="4">
        <v>171.1</v>
      </c>
      <c r="K174" s="4">
        <v>2.4500000000000002</v>
      </c>
      <c r="L174" s="4">
        <f t="shared" si="9"/>
        <v>69.836734693877546</v>
      </c>
      <c r="M174" s="4" t="s">
        <v>261</v>
      </c>
      <c r="N174" s="4"/>
      <c r="O174" s="4" t="s">
        <v>266</v>
      </c>
      <c r="P174" s="4"/>
      <c r="Q174" s="4" t="s">
        <v>407</v>
      </c>
      <c r="R174" s="4" t="s">
        <v>408</v>
      </c>
      <c r="S174" s="4"/>
      <c r="T174" s="4" t="s">
        <v>409</v>
      </c>
      <c r="U174" s="4" t="s">
        <v>410</v>
      </c>
      <c r="V174" s="4" t="s">
        <v>411</v>
      </c>
      <c r="W174" s="4" t="s">
        <v>413</v>
      </c>
      <c r="X174" s="4" t="s">
        <v>414</v>
      </c>
      <c r="Y174" s="4" t="s">
        <v>415</v>
      </c>
      <c r="Z174" s="4">
        <v>318</v>
      </c>
      <c r="AA174" s="4"/>
      <c r="AB174" s="4" t="s">
        <v>384</v>
      </c>
      <c r="AC174" s="4"/>
      <c r="AD174" s="4" t="s">
        <v>416</v>
      </c>
      <c r="AE174" s="4" t="s">
        <v>417</v>
      </c>
      <c r="AF174" s="4"/>
      <c r="AG174" s="4"/>
      <c r="AH174" s="4"/>
      <c r="AU174" s="22" t="e">
        <f t="shared" si="10"/>
        <v>#DIV/0!</v>
      </c>
      <c r="AV174" s="11" t="s">
        <v>166</v>
      </c>
      <c r="AW174" s="31">
        <v>355.99207441373198</v>
      </c>
      <c r="AX174" s="31">
        <v>2.26814128161207E-2</v>
      </c>
      <c r="AY174" s="11"/>
      <c r="AZ174" s="11"/>
      <c r="BA174" s="11"/>
      <c r="BB174" s="11">
        <v>75</v>
      </c>
      <c r="BK174" s="23" t="s">
        <v>163</v>
      </c>
      <c r="BL174" s="11" t="s">
        <v>422</v>
      </c>
    </row>
    <row r="175" spans="2:64" ht="15.6" x14ac:dyDescent="0.3">
      <c r="B175" s="11" t="s">
        <v>168</v>
      </c>
      <c r="C175" s="4" t="s">
        <v>169</v>
      </c>
      <c r="D175" s="4" t="s">
        <v>265</v>
      </c>
      <c r="E175" s="4"/>
      <c r="F175" s="55" t="s">
        <v>262</v>
      </c>
      <c r="G175" s="4">
        <v>1023.654</v>
      </c>
      <c r="H175" s="48">
        <f t="shared" si="11"/>
        <v>167.14632092484374</v>
      </c>
      <c r="I175" s="4" t="s">
        <v>267</v>
      </c>
      <c r="J175" s="4">
        <v>171.1</v>
      </c>
      <c r="K175" s="4">
        <v>2.4500000000000002</v>
      </c>
      <c r="L175" s="4">
        <f t="shared" si="9"/>
        <v>69.836734693877546</v>
      </c>
      <c r="M175" s="4" t="s">
        <v>261</v>
      </c>
      <c r="N175" s="4"/>
      <c r="O175" s="4" t="s">
        <v>266</v>
      </c>
      <c r="P175" s="4"/>
      <c r="Q175" s="4" t="s">
        <v>407</v>
      </c>
      <c r="R175" s="4" t="s">
        <v>408</v>
      </c>
      <c r="S175" s="4"/>
      <c r="T175" s="4" t="s">
        <v>409</v>
      </c>
      <c r="U175" s="4" t="s">
        <v>410</v>
      </c>
      <c r="V175" s="4" t="s">
        <v>411</v>
      </c>
      <c r="W175" s="4" t="s">
        <v>413</v>
      </c>
      <c r="X175" s="4" t="s">
        <v>414</v>
      </c>
      <c r="Y175" s="4" t="s">
        <v>415</v>
      </c>
      <c r="Z175" s="4">
        <v>318</v>
      </c>
      <c r="AA175" s="4"/>
      <c r="AB175" s="4" t="s">
        <v>384</v>
      </c>
      <c r="AC175" s="4"/>
      <c r="AD175" s="4" t="s">
        <v>416</v>
      </c>
      <c r="AE175" s="4" t="s">
        <v>417</v>
      </c>
      <c r="AF175" s="4"/>
      <c r="AG175" s="4"/>
      <c r="AH175" s="4"/>
      <c r="AU175" s="22" t="e">
        <f t="shared" si="10"/>
        <v>#DIV/0!</v>
      </c>
      <c r="AV175" s="11" t="s">
        <v>166</v>
      </c>
      <c r="AW175" s="31">
        <v>366.25706277701499</v>
      </c>
      <c r="AX175" s="31">
        <v>2.13745464049282E-2</v>
      </c>
      <c r="AY175" s="11"/>
      <c r="AZ175" s="11"/>
      <c r="BA175" s="11"/>
      <c r="BB175" s="11">
        <v>75</v>
      </c>
      <c r="BK175" s="23" t="s">
        <v>163</v>
      </c>
      <c r="BL175" s="11" t="s">
        <v>422</v>
      </c>
    </row>
    <row r="176" spans="2:64" ht="15.6" x14ac:dyDescent="0.3">
      <c r="B176" s="11" t="s">
        <v>168</v>
      </c>
      <c r="C176" s="4" t="s">
        <v>169</v>
      </c>
      <c r="D176" s="4" t="s">
        <v>265</v>
      </c>
      <c r="E176" s="4"/>
      <c r="F176" s="55" t="s">
        <v>262</v>
      </c>
      <c r="G176" s="4">
        <v>1023.654</v>
      </c>
      <c r="H176" s="48">
        <f t="shared" si="11"/>
        <v>167.14632092484374</v>
      </c>
      <c r="I176" s="4" t="s">
        <v>267</v>
      </c>
      <c r="J176" s="4">
        <v>171.1</v>
      </c>
      <c r="K176" s="4">
        <v>2.4500000000000002</v>
      </c>
      <c r="L176" s="4">
        <f t="shared" si="9"/>
        <v>69.836734693877546</v>
      </c>
      <c r="M176" s="4" t="s">
        <v>261</v>
      </c>
      <c r="N176" s="4"/>
      <c r="O176" s="4" t="s">
        <v>266</v>
      </c>
      <c r="P176" s="4"/>
      <c r="Q176" s="4" t="s">
        <v>407</v>
      </c>
      <c r="R176" s="4" t="s">
        <v>408</v>
      </c>
      <c r="S176" s="4"/>
      <c r="T176" s="4" t="s">
        <v>409</v>
      </c>
      <c r="U176" s="4" t="s">
        <v>410</v>
      </c>
      <c r="V176" s="4" t="s">
        <v>411</v>
      </c>
      <c r="W176" s="4" t="s">
        <v>413</v>
      </c>
      <c r="X176" s="4" t="s">
        <v>414</v>
      </c>
      <c r="Y176" s="4" t="s">
        <v>415</v>
      </c>
      <c r="Z176" s="4">
        <v>318</v>
      </c>
      <c r="AA176" s="4"/>
      <c r="AB176" s="4" t="s">
        <v>384</v>
      </c>
      <c r="AC176" s="4"/>
      <c r="AD176" s="4" t="s">
        <v>416</v>
      </c>
      <c r="AE176" s="4" t="s">
        <v>417</v>
      </c>
      <c r="AF176" s="4"/>
      <c r="AG176" s="4"/>
      <c r="AH176" s="4"/>
      <c r="AU176" s="22" t="e">
        <f t="shared" si="10"/>
        <v>#DIV/0!</v>
      </c>
      <c r="AV176" s="11" t="s">
        <v>166</v>
      </c>
      <c r="AW176" s="31">
        <v>366.25706277701499</v>
      </c>
      <c r="AX176" s="31">
        <v>1.9905315802795202E-2</v>
      </c>
      <c r="AY176" s="11"/>
      <c r="AZ176" s="11"/>
      <c r="BA176" s="11"/>
      <c r="BB176" s="11">
        <v>75</v>
      </c>
      <c r="BK176" s="23" t="s">
        <v>163</v>
      </c>
      <c r="BL176" s="11" t="s">
        <v>422</v>
      </c>
    </row>
    <row r="177" spans="2:64" ht="15.6" x14ac:dyDescent="0.3">
      <c r="B177" s="11" t="s">
        <v>168</v>
      </c>
      <c r="C177" s="4" t="s">
        <v>169</v>
      </c>
      <c r="D177" s="4" t="s">
        <v>265</v>
      </c>
      <c r="E177" s="4"/>
      <c r="F177" s="55" t="s">
        <v>262</v>
      </c>
      <c r="G177" s="4">
        <v>1023.654</v>
      </c>
      <c r="H177" s="48">
        <f t="shared" si="11"/>
        <v>167.14632092484374</v>
      </c>
      <c r="I177" s="4" t="s">
        <v>267</v>
      </c>
      <c r="J177" s="4">
        <v>171.1</v>
      </c>
      <c r="K177" s="4">
        <v>2.4500000000000002</v>
      </c>
      <c r="L177" s="4">
        <f t="shared" si="9"/>
        <v>69.836734693877546</v>
      </c>
      <c r="M177" s="4" t="s">
        <v>261</v>
      </c>
      <c r="N177" s="4"/>
      <c r="O177" s="4" t="s">
        <v>266</v>
      </c>
      <c r="P177" s="4"/>
      <c r="Q177" s="4" t="s">
        <v>407</v>
      </c>
      <c r="R177" s="4" t="s">
        <v>408</v>
      </c>
      <c r="S177" s="4"/>
      <c r="T177" s="4" t="s">
        <v>409</v>
      </c>
      <c r="U177" s="4" t="s">
        <v>410</v>
      </c>
      <c r="V177" s="4" t="s">
        <v>411</v>
      </c>
      <c r="W177" s="4" t="s">
        <v>413</v>
      </c>
      <c r="X177" s="4" t="s">
        <v>414</v>
      </c>
      <c r="Y177" s="4" t="s">
        <v>415</v>
      </c>
      <c r="Z177" s="4">
        <v>318</v>
      </c>
      <c r="AA177" s="4"/>
      <c r="AB177" s="4" t="s">
        <v>384</v>
      </c>
      <c r="AC177" s="4"/>
      <c r="AD177" s="4" t="s">
        <v>416</v>
      </c>
      <c r="AE177" s="4" t="s">
        <v>417</v>
      </c>
      <c r="AF177" s="4"/>
      <c r="AG177" s="4"/>
      <c r="AH177" s="4"/>
      <c r="AU177" s="22" t="e">
        <f t="shared" si="10"/>
        <v>#DIV/0!</v>
      </c>
      <c r="AV177" s="11" t="s">
        <v>166</v>
      </c>
      <c r="AW177" s="31">
        <v>376.81804083690099</v>
      </c>
      <c r="AX177" s="31">
        <v>1.85370762823606E-2</v>
      </c>
      <c r="AY177" s="11"/>
      <c r="AZ177" s="11"/>
      <c r="BA177" s="11"/>
      <c r="BB177" s="11">
        <v>75</v>
      </c>
      <c r="BK177" s="23" t="s">
        <v>163</v>
      </c>
      <c r="BL177" s="11" t="s">
        <v>422</v>
      </c>
    </row>
    <row r="178" spans="2:64" ht="15.6" x14ac:dyDescent="0.3">
      <c r="B178" s="11" t="s">
        <v>168</v>
      </c>
      <c r="C178" s="4" t="s">
        <v>169</v>
      </c>
      <c r="D178" s="4" t="s">
        <v>265</v>
      </c>
      <c r="E178" s="4"/>
      <c r="F178" s="55" t="s">
        <v>262</v>
      </c>
      <c r="G178" s="4">
        <v>1023.654</v>
      </c>
      <c r="H178" s="48">
        <f t="shared" si="11"/>
        <v>167.14632092484374</v>
      </c>
      <c r="I178" s="4" t="s">
        <v>267</v>
      </c>
      <c r="J178" s="4">
        <v>171.1</v>
      </c>
      <c r="K178" s="4">
        <v>2.4500000000000002</v>
      </c>
      <c r="L178" s="4">
        <f t="shared" si="9"/>
        <v>69.836734693877546</v>
      </c>
      <c r="M178" s="4" t="s">
        <v>261</v>
      </c>
      <c r="N178" s="4"/>
      <c r="O178" s="4" t="s">
        <v>266</v>
      </c>
      <c r="P178" s="4"/>
      <c r="Q178" s="4" t="s">
        <v>407</v>
      </c>
      <c r="R178" s="4" t="s">
        <v>408</v>
      </c>
      <c r="S178" s="4"/>
      <c r="T178" s="4" t="s">
        <v>409</v>
      </c>
      <c r="U178" s="4" t="s">
        <v>410</v>
      </c>
      <c r="V178" s="4" t="s">
        <v>411</v>
      </c>
      <c r="W178" s="4" t="s">
        <v>413</v>
      </c>
      <c r="X178" s="4" t="s">
        <v>414</v>
      </c>
      <c r="Y178" s="4" t="s">
        <v>415</v>
      </c>
      <c r="Z178" s="4">
        <v>318</v>
      </c>
      <c r="AA178" s="4"/>
      <c r="AB178" s="4" t="s">
        <v>384</v>
      </c>
      <c r="AC178" s="4"/>
      <c r="AD178" s="4" t="s">
        <v>416</v>
      </c>
      <c r="AE178" s="4" t="s">
        <v>417</v>
      </c>
      <c r="AF178" s="4"/>
      <c r="AG178" s="4"/>
      <c r="AH178" s="4"/>
      <c r="AU178" s="22" t="e">
        <f t="shared" si="10"/>
        <v>#DIV/0!</v>
      </c>
      <c r="AV178" s="11" t="s">
        <v>166</v>
      </c>
      <c r="AW178" s="31">
        <v>380.40561047825003</v>
      </c>
      <c r="AX178" s="31">
        <v>1.7468999855573202E-2</v>
      </c>
      <c r="AY178" s="11"/>
      <c r="AZ178" s="11"/>
      <c r="BA178" s="11"/>
      <c r="BB178" s="11">
        <v>75</v>
      </c>
      <c r="BK178" s="23" t="s">
        <v>163</v>
      </c>
      <c r="BL178" s="11" t="s">
        <v>422</v>
      </c>
    </row>
    <row r="179" spans="2:64" ht="15.6" x14ac:dyDescent="0.3">
      <c r="B179" s="11" t="s">
        <v>168</v>
      </c>
      <c r="C179" s="4" t="s">
        <v>169</v>
      </c>
      <c r="D179" s="4" t="s">
        <v>265</v>
      </c>
      <c r="E179" s="4"/>
      <c r="F179" s="55" t="s">
        <v>262</v>
      </c>
      <c r="G179" s="4">
        <v>1023.654</v>
      </c>
      <c r="H179" s="48">
        <f t="shared" si="11"/>
        <v>167.14632092484374</v>
      </c>
      <c r="I179" s="4" t="s">
        <v>267</v>
      </c>
      <c r="J179" s="4">
        <v>171.1</v>
      </c>
      <c r="K179" s="4">
        <v>2.4500000000000002</v>
      </c>
      <c r="L179" s="4">
        <f t="shared" si="9"/>
        <v>69.836734693877546</v>
      </c>
      <c r="M179" s="4" t="s">
        <v>261</v>
      </c>
      <c r="N179" s="4"/>
      <c r="O179" s="4" t="s">
        <v>266</v>
      </c>
      <c r="P179" s="4"/>
      <c r="Q179" s="4" t="s">
        <v>407</v>
      </c>
      <c r="R179" s="4" t="s">
        <v>408</v>
      </c>
      <c r="S179" s="4"/>
      <c r="T179" s="4" t="s">
        <v>409</v>
      </c>
      <c r="U179" s="4" t="s">
        <v>410</v>
      </c>
      <c r="V179" s="4" t="s">
        <v>411</v>
      </c>
      <c r="W179" s="4" t="s">
        <v>413</v>
      </c>
      <c r="X179" s="4" t="s">
        <v>414</v>
      </c>
      <c r="Y179" s="4" t="s">
        <v>415</v>
      </c>
      <c r="Z179" s="4">
        <v>318</v>
      </c>
      <c r="AA179" s="4"/>
      <c r="AB179" s="4" t="s">
        <v>384</v>
      </c>
      <c r="AC179" s="4"/>
      <c r="AD179" s="4" t="s">
        <v>416</v>
      </c>
      <c r="AE179" s="4" t="s">
        <v>417</v>
      </c>
      <c r="AF179" s="4"/>
      <c r="AG179" s="4"/>
      <c r="AH179" s="4"/>
      <c r="AU179" s="22" t="e">
        <f t="shared" si="10"/>
        <v>#DIV/0!</v>
      </c>
      <c r="AV179" s="11" t="s">
        <v>166</v>
      </c>
      <c r="AW179" s="31">
        <v>384.02733627598502</v>
      </c>
      <c r="AX179" s="31">
        <v>1.6462464269211899E-2</v>
      </c>
      <c r="AY179" s="11"/>
      <c r="AZ179" s="11"/>
      <c r="BA179" s="11"/>
      <c r="BB179" s="11">
        <v>75</v>
      </c>
      <c r="BK179" s="23" t="s">
        <v>163</v>
      </c>
      <c r="BL179" s="11" t="s">
        <v>422</v>
      </c>
    </row>
    <row r="180" spans="2:64" ht="15.6" x14ac:dyDescent="0.3">
      <c r="B180" s="11" t="s">
        <v>168</v>
      </c>
      <c r="C180" s="4" t="s">
        <v>169</v>
      </c>
      <c r="D180" s="4" t="s">
        <v>265</v>
      </c>
      <c r="E180" s="4"/>
      <c r="F180" s="55" t="s">
        <v>262</v>
      </c>
      <c r="G180" s="4">
        <v>1023.654</v>
      </c>
      <c r="H180" s="48">
        <f t="shared" si="11"/>
        <v>167.14632092484374</v>
      </c>
      <c r="I180" s="4" t="s">
        <v>267</v>
      </c>
      <c r="J180" s="4">
        <v>171.1</v>
      </c>
      <c r="K180" s="4">
        <v>2.4500000000000002</v>
      </c>
      <c r="L180" s="4">
        <f t="shared" si="9"/>
        <v>69.836734693877546</v>
      </c>
      <c r="M180" s="4" t="s">
        <v>261</v>
      </c>
      <c r="N180" s="4"/>
      <c r="O180" s="4" t="s">
        <v>266</v>
      </c>
      <c r="P180" s="4"/>
      <c r="Q180" s="4" t="s">
        <v>407</v>
      </c>
      <c r="R180" s="4" t="s">
        <v>408</v>
      </c>
      <c r="S180" s="4"/>
      <c r="T180" s="4" t="s">
        <v>409</v>
      </c>
      <c r="U180" s="4" t="s">
        <v>410</v>
      </c>
      <c r="V180" s="4" t="s">
        <v>411</v>
      </c>
      <c r="W180" s="4" t="s">
        <v>413</v>
      </c>
      <c r="X180" s="4" t="s">
        <v>414</v>
      </c>
      <c r="Y180" s="4" t="s">
        <v>415</v>
      </c>
      <c r="Z180" s="4">
        <v>318</v>
      </c>
      <c r="AA180" s="4"/>
      <c r="AB180" s="4" t="s">
        <v>384</v>
      </c>
      <c r="AC180" s="4"/>
      <c r="AD180" s="4" t="s">
        <v>416</v>
      </c>
      <c r="AE180" s="4" t="s">
        <v>417</v>
      </c>
      <c r="AF180" s="4"/>
      <c r="AG180" s="4"/>
      <c r="AH180" s="4"/>
      <c r="AU180" s="22" t="e">
        <f t="shared" si="10"/>
        <v>#DIV/0!</v>
      </c>
      <c r="AV180" s="11" t="s">
        <v>166</v>
      </c>
      <c r="AW180" s="31">
        <v>387.683543420452</v>
      </c>
      <c r="AX180" s="31">
        <v>1.5699155409485899E-2</v>
      </c>
      <c r="AY180" s="11"/>
      <c r="AZ180" s="11"/>
      <c r="BA180" s="11"/>
      <c r="BB180" s="11">
        <v>75</v>
      </c>
      <c r="BK180" s="23" t="s">
        <v>163</v>
      </c>
      <c r="BL180" s="11" t="s">
        <v>422</v>
      </c>
    </row>
    <row r="181" spans="2:64" ht="15.6" x14ac:dyDescent="0.3">
      <c r="B181" s="11" t="s">
        <v>168</v>
      </c>
      <c r="C181" s="4" t="s">
        <v>169</v>
      </c>
      <c r="D181" s="4" t="s">
        <v>265</v>
      </c>
      <c r="E181" s="4"/>
      <c r="F181" s="55" t="s">
        <v>262</v>
      </c>
      <c r="G181" s="4">
        <v>1023.654</v>
      </c>
      <c r="H181" s="48">
        <f t="shared" si="11"/>
        <v>167.14632092484374</v>
      </c>
      <c r="I181" s="4" t="s">
        <v>267</v>
      </c>
      <c r="J181" s="4">
        <v>171.1</v>
      </c>
      <c r="K181" s="4">
        <v>2.4500000000000002</v>
      </c>
      <c r="L181" s="4">
        <f t="shared" si="9"/>
        <v>69.836734693877546</v>
      </c>
      <c r="M181" s="4" t="s">
        <v>261</v>
      </c>
      <c r="N181" s="4"/>
      <c r="O181" s="4" t="s">
        <v>266</v>
      </c>
      <c r="P181" s="4"/>
      <c r="Q181" s="4" t="s">
        <v>407</v>
      </c>
      <c r="R181" s="4" t="s">
        <v>408</v>
      </c>
      <c r="S181" s="4"/>
      <c r="T181" s="4" t="s">
        <v>409</v>
      </c>
      <c r="U181" s="4" t="s">
        <v>410</v>
      </c>
      <c r="V181" s="4" t="s">
        <v>411</v>
      </c>
      <c r="W181" s="4" t="s">
        <v>413</v>
      </c>
      <c r="X181" s="4" t="s">
        <v>414</v>
      </c>
      <c r="Y181" s="4" t="s">
        <v>415</v>
      </c>
      <c r="Z181" s="4">
        <v>318</v>
      </c>
      <c r="AA181" s="4"/>
      <c r="AB181" s="4" t="s">
        <v>384</v>
      </c>
      <c r="AC181" s="4"/>
      <c r="AD181" s="4" t="s">
        <v>416</v>
      </c>
      <c r="AE181" s="4" t="s">
        <v>417</v>
      </c>
      <c r="AF181" s="4"/>
      <c r="AG181" s="4"/>
      <c r="AH181" s="4"/>
      <c r="AU181" s="22" t="e">
        <f t="shared" si="10"/>
        <v>#DIV/0!</v>
      </c>
      <c r="AV181" s="11" t="s">
        <v>166</v>
      </c>
      <c r="AW181" s="31">
        <v>391.37456019803801</v>
      </c>
      <c r="AX181" s="31">
        <v>1.4971238603210001E-2</v>
      </c>
      <c r="AY181" s="11"/>
      <c r="AZ181" s="11"/>
      <c r="BA181" s="11"/>
      <c r="BB181" s="11">
        <v>75</v>
      </c>
      <c r="BK181" s="23" t="s">
        <v>163</v>
      </c>
      <c r="BL181" s="11" t="s">
        <v>422</v>
      </c>
    </row>
    <row r="182" spans="2:64" ht="15.6" x14ac:dyDescent="0.3">
      <c r="B182" s="11" t="s">
        <v>168</v>
      </c>
      <c r="C182" s="4" t="s">
        <v>169</v>
      </c>
      <c r="D182" s="4" t="s">
        <v>265</v>
      </c>
      <c r="E182" s="4"/>
      <c r="F182" s="55" t="s">
        <v>262</v>
      </c>
      <c r="G182" s="4">
        <v>1023.654</v>
      </c>
      <c r="H182" s="48">
        <f t="shared" si="11"/>
        <v>167.14632092484374</v>
      </c>
      <c r="I182" s="4" t="s">
        <v>267</v>
      </c>
      <c r="J182" s="4">
        <v>171.1</v>
      </c>
      <c r="K182" s="4">
        <v>2.4500000000000002</v>
      </c>
      <c r="L182" s="4">
        <f t="shared" si="9"/>
        <v>69.836734693877546</v>
      </c>
      <c r="M182" s="4" t="s">
        <v>261</v>
      </c>
      <c r="N182" s="4"/>
      <c r="O182" s="4" t="s">
        <v>266</v>
      </c>
      <c r="P182" s="4"/>
      <c r="Q182" s="4" t="s">
        <v>407</v>
      </c>
      <c r="R182" s="4" t="s">
        <v>408</v>
      </c>
      <c r="S182" s="4"/>
      <c r="T182" s="4" t="s">
        <v>409</v>
      </c>
      <c r="U182" s="4" t="s">
        <v>410</v>
      </c>
      <c r="V182" s="4" t="s">
        <v>411</v>
      </c>
      <c r="W182" s="4" t="s">
        <v>413</v>
      </c>
      <c r="X182" s="4" t="s">
        <v>414</v>
      </c>
      <c r="Y182" s="4" t="s">
        <v>415</v>
      </c>
      <c r="Z182" s="4">
        <v>318</v>
      </c>
      <c r="AA182" s="4"/>
      <c r="AB182" s="4" t="s">
        <v>384</v>
      </c>
      <c r="AC182" s="4"/>
      <c r="AD182" s="4" t="s">
        <v>416</v>
      </c>
      <c r="AE182" s="4" t="s">
        <v>417</v>
      </c>
      <c r="AF182" s="4"/>
      <c r="AG182" s="4"/>
      <c r="AH182" s="4"/>
      <c r="AU182" s="22" t="e">
        <f t="shared" si="10"/>
        <v>#DIV/0!</v>
      </c>
      <c r="AV182" s="11" t="s">
        <v>166</v>
      </c>
      <c r="AW182" s="31">
        <v>391.37456019803801</v>
      </c>
      <c r="AX182" s="31">
        <v>1.4277072840416301E-2</v>
      </c>
      <c r="AY182" s="11"/>
      <c r="AZ182" s="11"/>
      <c r="BA182" s="11"/>
      <c r="BB182" s="11">
        <v>75</v>
      </c>
      <c r="BK182" s="23" t="s">
        <v>163</v>
      </c>
      <c r="BL182" s="11" t="s">
        <v>422</v>
      </c>
    </row>
    <row r="183" spans="2:64" ht="15.6" x14ac:dyDescent="0.3">
      <c r="B183" s="11" t="s">
        <v>168</v>
      </c>
      <c r="C183" s="4" t="s">
        <v>169</v>
      </c>
      <c r="D183" s="4" t="s">
        <v>265</v>
      </c>
      <c r="E183" s="4"/>
      <c r="F183" s="55" t="s">
        <v>262</v>
      </c>
      <c r="G183" s="4">
        <v>1023.654</v>
      </c>
      <c r="H183" s="48">
        <f t="shared" si="11"/>
        <v>167.14632092484374</v>
      </c>
      <c r="I183" s="4" t="s">
        <v>267</v>
      </c>
      <c r="J183" s="4">
        <v>171.1</v>
      </c>
      <c r="K183" s="4">
        <v>2.4500000000000002</v>
      </c>
      <c r="L183" s="4">
        <f t="shared" si="9"/>
        <v>69.836734693877546</v>
      </c>
      <c r="M183" s="4" t="s">
        <v>261</v>
      </c>
      <c r="N183" s="4"/>
      <c r="O183" s="4" t="s">
        <v>266</v>
      </c>
      <c r="P183" s="4"/>
      <c r="Q183" s="4" t="s">
        <v>407</v>
      </c>
      <c r="R183" s="4" t="s">
        <v>408</v>
      </c>
      <c r="S183" s="4"/>
      <c r="T183" s="4" t="s">
        <v>409</v>
      </c>
      <c r="U183" s="4" t="s">
        <v>410</v>
      </c>
      <c r="V183" s="4" t="s">
        <v>411</v>
      </c>
      <c r="W183" s="4" t="s">
        <v>413</v>
      </c>
      <c r="X183" s="4" t="s">
        <v>414</v>
      </c>
      <c r="Y183" s="4" t="s">
        <v>415</v>
      </c>
      <c r="Z183" s="4">
        <v>318</v>
      </c>
      <c r="AA183" s="4"/>
      <c r="AB183" s="4" t="s">
        <v>384</v>
      </c>
      <c r="AC183" s="4"/>
      <c r="AD183" s="4" t="s">
        <v>416</v>
      </c>
      <c r="AE183" s="4" t="s">
        <v>417</v>
      </c>
      <c r="AF183" s="4"/>
      <c r="AG183" s="4"/>
      <c r="AH183" s="4"/>
      <c r="AU183" s="22" t="e">
        <f t="shared" si="10"/>
        <v>#DIV/0!</v>
      </c>
      <c r="AV183" s="11" t="s">
        <v>166</v>
      </c>
      <c r="AW183" s="31">
        <v>398.86235145543799</v>
      </c>
      <c r="AX183" s="31">
        <v>1.3615093199225801E-2</v>
      </c>
      <c r="AY183" s="11"/>
      <c r="AZ183" s="11"/>
      <c r="BA183" s="11"/>
      <c r="BB183" s="11">
        <v>75</v>
      </c>
      <c r="BK183" s="23" t="s">
        <v>163</v>
      </c>
      <c r="BL183" s="11" t="s">
        <v>422</v>
      </c>
    </row>
    <row r="184" spans="2:64" ht="15.6" x14ac:dyDescent="0.3">
      <c r="B184" s="11" t="s">
        <v>168</v>
      </c>
      <c r="C184" s="4" t="s">
        <v>169</v>
      </c>
      <c r="D184" s="4" t="s">
        <v>265</v>
      </c>
      <c r="E184" s="4"/>
      <c r="F184" s="55" t="s">
        <v>262</v>
      </c>
      <c r="G184" s="4">
        <v>1023.654</v>
      </c>
      <c r="H184" s="48">
        <f t="shared" si="11"/>
        <v>167.14632092484374</v>
      </c>
      <c r="I184" s="4" t="s">
        <v>267</v>
      </c>
      <c r="J184" s="4">
        <v>171.1</v>
      </c>
      <c r="K184" s="4">
        <v>2.4500000000000002</v>
      </c>
      <c r="L184" s="4">
        <f t="shared" si="9"/>
        <v>69.836734693877546</v>
      </c>
      <c r="M184" s="4" t="s">
        <v>261</v>
      </c>
      <c r="N184" s="4"/>
      <c r="O184" s="4" t="s">
        <v>266</v>
      </c>
      <c r="P184" s="4"/>
      <c r="Q184" s="4" t="s">
        <v>407</v>
      </c>
      <c r="R184" s="4" t="s">
        <v>408</v>
      </c>
      <c r="S184" s="4"/>
      <c r="T184" s="4" t="s">
        <v>409</v>
      </c>
      <c r="U184" s="4" t="s">
        <v>410</v>
      </c>
      <c r="V184" s="4" t="s">
        <v>411</v>
      </c>
      <c r="W184" s="4" t="s">
        <v>413</v>
      </c>
      <c r="X184" s="4" t="s">
        <v>414</v>
      </c>
      <c r="Y184" s="4" t="s">
        <v>415</v>
      </c>
      <c r="Z184" s="4">
        <v>318</v>
      </c>
      <c r="AA184" s="4"/>
      <c r="AB184" s="4" t="s">
        <v>384</v>
      </c>
      <c r="AC184" s="4"/>
      <c r="AD184" s="4" t="s">
        <v>416</v>
      </c>
      <c r="AE184" s="4" t="s">
        <v>417</v>
      </c>
      <c r="AF184" s="4"/>
      <c r="AG184" s="4"/>
      <c r="AH184" s="4"/>
      <c r="AU184" s="22" t="e">
        <f t="shared" si="10"/>
        <v>#DIV/0!</v>
      </c>
      <c r="AV184" s="11" t="s">
        <v>166</v>
      </c>
      <c r="AW184" s="31">
        <v>406.493399387176</v>
      </c>
      <c r="AX184" s="31">
        <v>1.29838073179012E-2</v>
      </c>
      <c r="AY184" s="11"/>
      <c r="AZ184" s="11"/>
      <c r="BA184" s="11"/>
      <c r="BB184" s="11">
        <v>75</v>
      </c>
      <c r="BK184" s="23" t="s">
        <v>163</v>
      </c>
      <c r="BL184" s="11" t="s">
        <v>422</v>
      </c>
    </row>
    <row r="185" spans="2:64" ht="15.6" x14ac:dyDescent="0.3">
      <c r="B185" s="11" t="s">
        <v>168</v>
      </c>
      <c r="C185" s="4" t="s">
        <v>169</v>
      </c>
      <c r="D185" s="4" t="s">
        <v>265</v>
      </c>
      <c r="E185" s="4"/>
      <c r="F185" s="55" t="s">
        <v>262</v>
      </c>
      <c r="G185" s="4">
        <v>1023.654</v>
      </c>
      <c r="H185" s="48">
        <f t="shared" si="11"/>
        <v>167.14632092484374</v>
      </c>
      <c r="I185" s="4" t="s">
        <v>267</v>
      </c>
      <c r="J185" s="4">
        <v>171.1</v>
      </c>
      <c r="K185" s="4">
        <v>2.4500000000000002</v>
      </c>
      <c r="L185" s="4">
        <f t="shared" si="9"/>
        <v>69.836734693877546</v>
      </c>
      <c r="M185" s="4" t="s">
        <v>261</v>
      </c>
      <c r="N185" s="4"/>
      <c r="O185" s="4" t="s">
        <v>266</v>
      </c>
      <c r="P185" s="4"/>
      <c r="Q185" s="4" t="s">
        <v>407</v>
      </c>
      <c r="R185" s="4" t="s">
        <v>408</v>
      </c>
      <c r="S185" s="4"/>
      <c r="T185" s="4" t="s">
        <v>409</v>
      </c>
      <c r="U185" s="4" t="s">
        <v>410</v>
      </c>
      <c r="V185" s="4" t="s">
        <v>411</v>
      </c>
      <c r="W185" s="4" t="s">
        <v>413</v>
      </c>
      <c r="X185" s="4" t="s">
        <v>414</v>
      </c>
      <c r="Y185" s="4" t="s">
        <v>415</v>
      </c>
      <c r="Z185" s="4">
        <v>318</v>
      </c>
      <c r="AA185" s="4"/>
      <c r="AB185" s="4" t="s">
        <v>384</v>
      </c>
      <c r="AC185" s="4"/>
      <c r="AD185" s="4" t="s">
        <v>416</v>
      </c>
      <c r="AE185" s="4" t="s">
        <v>417</v>
      </c>
      <c r="AF185" s="4"/>
      <c r="AG185" s="4"/>
      <c r="AH185" s="4"/>
      <c r="AU185" s="22" t="e">
        <f t="shared" si="10"/>
        <v>#DIV/0!</v>
      </c>
      <c r="AV185" s="11" t="s">
        <v>166</v>
      </c>
      <c r="AW185" s="31">
        <v>414.27044478476699</v>
      </c>
      <c r="AX185" s="31">
        <v>1.2091334248191501E-2</v>
      </c>
      <c r="AY185" s="11"/>
      <c r="AZ185" s="11"/>
      <c r="BA185" s="11"/>
      <c r="BB185" s="11">
        <v>75</v>
      </c>
      <c r="BK185" s="23" t="s">
        <v>163</v>
      </c>
      <c r="BL185" s="11" t="s">
        <v>422</v>
      </c>
    </row>
    <row r="186" spans="2:64" ht="15.6" x14ac:dyDescent="0.3">
      <c r="B186" s="11" t="s">
        <v>168</v>
      </c>
      <c r="C186" s="4" t="s">
        <v>169</v>
      </c>
      <c r="D186" s="4" t="s">
        <v>265</v>
      </c>
      <c r="E186" s="4"/>
      <c r="F186" s="55" t="s">
        <v>262</v>
      </c>
      <c r="G186" s="4">
        <v>1023.654</v>
      </c>
      <c r="H186" s="48">
        <f t="shared" si="11"/>
        <v>167.14632092484374</v>
      </c>
      <c r="I186" s="4" t="s">
        <v>267</v>
      </c>
      <c r="J186" s="4">
        <v>171.1</v>
      </c>
      <c r="K186" s="4">
        <v>2.4500000000000002</v>
      </c>
      <c r="L186" s="4">
        <f t="shared" si="9"/>
        <v>69.836734693877546</v>
      </c>
      <c r="M186" s="4" t="s">
        <v>261</v>
      </c>
      <c r="N186" s="4"/>
      <c r="O186" s="4" t="s">
        <v>266</v>
      </c>
      <c r="P186" s="4"/>
      <c r="Q186" s="4" t="s">
        <v>407</v>
      </c>
      <c r="R186" s="4" t="s">
        <v>408</v>
      </c>
      <c r="S186" s="4"/>
      <c r="T186" s="4" t="s">
        <v>409</v>
      </c>
      <c r="U186" s="4" t="s">
        <v>410</v>
      </c>
      <c r="V186" s="4" t="s">
        <v>411</v>
      </c>
      <c r="W186" s="4" t="s">
        <v>413</v>
      </c>
      <c r="X186" s="4" t="s">
        <v>414</v>
      </c>
      <c r="Y186" s="4" t="s">
        <v>415</v>
      </c>
      <c r="Z186" s="4">
        <v>318</v>
      </c>
      <c r="AA186" s="4"/>
      <c r="AB186" s="4" t="s">
        <v>384</v>
      </c>
      <c r="AC186" s="4"/>
      <c r="AD186" s="4" t="s">
        <v>416</v>
      </c>
      <c r="AE186" s="4" t="s">
        <v>417</v>
      </c>
      <c r="AF186" s="4"/>
      <c r="AG186" s="4"/>
      <c r="AH186" s="4"/>
      <c r="AU186" s="22" t="e">
        <f t="shared" si="10"/>
        <v>#DIV/0!</v>
      </c>
      <c r="AV186" s="11" t="s">
        <v>166</v>
      </c>
      <c r="AW186" s="31">
        <v>418.21458734152202</v>
      </c>
      <c r="AX186" s="31">
        <v>1.15306999223322E-2</v>
      </c>
      <c r="AY186" s="11"/>
      <c r="AZ186" s="11"/>
      <c r="BA186" s="11"/>
      <c r="BB186" s="11">
        <v>75</v>
      </c>
      <c r="BK186" s="23" t="s">
        <v>163</v>
      </c>
      <c r="BL186" s="11" t="s">
        <v>422</v>
      </c>
    </row>
    <row r="187" spans="2:64" ht="15.6" x14ac:dyDescent="0.3">
      <c r="B187" s="11" t="s">
        <v>168</v>
      </c>
      <c r="C187" s="4" t="s">
        <v>169</v>
      </c>
      <c r="D187" s="4" t="s">
        <v>265</v>
      </c>
      <c r="E187" s="4"/>
      <c r="F187" s="55" t="s">
        <v>262</v>
      </c>
      <c r="G187" s="4">
        <v>1023.654</v>
      </c>
      <c r="H187" s="48">
        <f t="shared" si="11"/>
        <v>167.14632092484374</v>
      </c>
      <c r="I187" s="4" t="s">
        <v>267</v>
      </c>
      <c r="J187" s="4">
        <v>171.1</v>
      </c>
      <c r="K187" s="4">
        <v>2.4500000000000002</v>
      </c>
      <c r="L187" s="4">
        <f t="shared" si="9"/>
        <v>69.836734693877546</v>
      </c>
      <c r="M187" s="4" t="s">
        <v>261</v>
      </c>
      <c r="N187" s="4"/>
      <c r="O187" s="4" t="s">
        <v>266</v>
      </c>
      <c r="P187" s="4"/>
      <c r="Q187" s="4" t="s">
        <v>407</v>
      </c>
      <c r="R187" s="4" t="s">
        <v>408</v>
      </c>
      <c r="S187" s="4"/>
      <c r="T187" s="4" t="s">
        <v>409</v>
      </c>
      <c r="U187" s="4" t="s">
        <v>410</v>
      </c>
      <c r="V187" s="4" t="s">
        <v>411</v>
      </c>
      <c r="W187" s="4" t="s">
        <v>413</v>
      </c>
      <c r="X187" s="4" t="s">
        <v>414</v>
      </c>
      <c r="Y187" s="4" t="s">
        <v>415</v>
      </c>
      <c r="Z187" s="4">
        <v>318</v>
      </c>
      <c r="AA187" s="4"/>
      <c r="AB187" s="4" t="s">
        <v>384</v>
      </c>
      <c r="AC187" s="4"/>
      <c r="AD187" s="4" t="s">
        <v>416</v>
      </c>
      <c r="AE187" s="4" t="s">
        <v>417</v>
      </c>
      <c r="AF187" s="4"/>
      <c r="AG187" s="4"/>
      <c r="AH187" s="4"/>
      <c r="AU187" s="22" t="e">
        <f t="shared" si="10"/>
        <v>#DIV/0!</v>
      </c>
      <c r="AV187" s="11" t="s">
        <v>166</v>
      </c>
      <c r="AW187" s="31">
        <v>426.21588290153198</v>
      </c>
      <c r="AX187" s="31">
        <v>1.0866319596988101E-2</v>
      </c>
      <c r="AY187" s="11"/>
      <c r="AZ187" s="11"/>
      <c r="BA187" s="11"/>
      <c r="BB187" s="11">
        <v>75</v>
      </c>
      <c r="BK187" s="23" t="s">
        <v>163</v>
      </c>
      <c r="BL187" s="11" t="s">
        <v>422</v>
      </c>
    </row>
    <row r="188" spans="2:64" ht="15.6" x14ac:dyDescent="0.3">
      <c r="B188" s="11" t="s">
        <v>168</v>
      </c>
      <c r="C188" s="4" t="s">
        <v>169</v>
      </c>
      <c r="D188" s="4" t="s">
        <v>265</v>
      </c>
      <c r="E188" s="4"/>
      <c r="F188" s="55" t="s">
        <v>262</v>
      </c>
      <c r="G188" s="4">
        <v>1023.654</v>
      </c>
      <c r="H188" s="48">
        <f t="shared" si="11"/>
        <v>167.14632092484374</v>
      </c>
      <c r="I188" s="4" t="s">
        <v>267</v>
      </c>
      <c r="J188" s="4">
        <v>171.1</v>
      </c>
      <c r="K188" s="4">
        <v>2.4500000000000002</v>
      </c>
      <c r="L188" s="4">
        <f t="shared" si="9"/>
        <v>69.836734693877546</v>
      </c>
      <c r="M188" s="4" t="s">
        <v>261</v>
      </c>
      <c r="N188" s="4"/>
      <c r="O188" s="4" t="s">
        <v>266</v>
      </c>
      <c r="P188" s="4"/>
      <c r="Q188" s="4" t="s">
        <v>407</v>
      </c>
      <c r="R188" s="4" t="s">
        <v>408</v>
      </c>
      <c r="S188" s="4"/>
      <c r="T188" s="4" t="s">
        <v>409</v>
      </c>
      <c r="U188" s="4" t="s">
        <v>410</v>
      </c>
      <c r="V188" s="4" t="s">
        <v>411</v>
      </c>
      <c r="W188" s="4" t="s">
        <v>413</v>
      </c>
      <c r="X188" s="4" t="s">
        <v>414</v>
      </c>
      <c r="Y188" s="4" t="s">
        <v>415</v>
      </c>
      <c r="Z188" s="4">
        <v>318</v>
      </c>
      <c r="AA188" s="4"/>
      <c r="AB188" s="4" t="s">
        <v>384</v>
      </c>
      <c r="AC188" s="4"/>
      <c r="AD188" s="4" t="s">
        <v>416</v>
      </c>
      <c r="AE188" s="4" t="s">
        <v>417</v>
      </c>
      <c r="AF188" s="4"/>
      <c r="AG188" s="4"/>
      <c r="AH188" s="4"/>
      <c r="AU188" s="22" t="e">
        <f t="shared" si="10"/>
        <v>#DIV/0!</v>
      </c>
      <c r="AV188" s="11" t="s">
        <v>166</v>
      </c>
      <c r="AW188" s="31">
        <v>430.273754331367</v>
      </c>
      <c r="AX188" s="31">
        <v>1.03624850625371E-2</v>
      </c>
      <c r="AY188" s="11"/>
      <c r="AZ188" s="11"/>
      <c r="BA188" s="11"/>
      <c r="BB188" s="11">
        <v>75</v>
      </c>
      <c r="BK188" s="23" t="s">
        <v>163</v>
      </c>
      <c r="BL188" s="11" t="s">
        <v>422</v>
      </c>
    </row>
    <row r="189" spans="2:64" ht="15.6" x14ac:dyDescent="0.3">
      <c r="B189" s="11" t="s">
        <v>168</v>
      </c>
      <c r="C189" s="4" t="s">
        <v>169</v>
      </c>
      <c r="D189" s="4" t="s">
        <v>265</v>
      </c>
      <c r="E189" s="4"/>
      <c r="F189" s="55" t="s">
        <v>262</v>
      </c>
      <c r="G189" s="4">
        <v>1023.654</v>
      </c>
      <c r="H189" s="48">
        <f t="shared" si="11"/>
        <v>167.14632092484374</v>
      </c>
      <c r="I189" s="4" t="s">
        <v>267</v>
      </c>
      <c r="J189" s="4">
        <v>171.1</v>
      </c>
      <c r="K189" s="4">
        <v>2.4500000000000002</v>
      </c>
      <c r="L189" s="4">
        <f t="shared" si="9"/>
        <v>69.836734693877546</v>
      </c>
      <c r="M189" s="4" t="s">
        <v>261</v>
      </c>
      <c r="N189" s="4"/>
      <c r="O189" s="4" t="s">
        <v>266</v>
      </c>
      <c r="P189" s="4"/>
      <c r="Q189" s="4" t="s">
        <v>407</v>
      </c>
      <c r="R189" s="4" t="s">
        <v>408</v>
      </c>
      <c r="S189" s="4"/>
      <c r="T189" s="4" t="s">
        <v>409</v>
      </c>
      <c r="U189" s="4" t="s">
        <v>410</v>
      </c>
      <c r="V189" s="4" t="s">
        <v>411</v>
      </c>
      <c r="W189" s="4" t="s">
        <v>413</v>
      </c>
      <c r="X189" s="4" t="s">
        <v>414</v>
      </c>
      <c r="Y189" s="4" t="s">
        <v>415</v>
      </c>
      <c r="Z189" s="4">
        <v>318</v>
      </c>
      <c r="AA189" s="4"/>
      <c r="AB189" s="4" t="s">
        <v>384</v>
      </c>
      <c r="AC189" s="4"/>
      <c r="AD189" s="4" t="s">
        <v>416</v>
      </c>
      <c r="AE189" s="4" t="s">
        <v>417</v>
      </c>
      <c r="AF189" s="4"/>
      <c r="AG189" s="4"/>
      <c r="AH189" s="4"/>
      <c r="AU189" s="22" t="e">
        <f t="shared" si="10"/>
        <v>#DIV/0!</v>
      </c>
      <c r="AV189" s="11" t="s">
        <v>166</v>
      </c>
      <c r="AW189" s="31">
        <v>434.37025951747802</v>
      </c>
      <c r="AX189" s="31">
        <v>9.8820116335496099E-3</v>
      </c>
      <c r="AY189" s="11"/>
      <c r="AZ189" s="11"/>
      <c r="BA189" s="11"/>
      <c r="BB189" s="11">
        <v>75</v>
      </c>
      <c r="BK189" s="23" t="s">
        <v>163</v>
      </c>
      <c r="BL189" s="11" t="s">
        <v>422</v>
      </c>
    </row>
    <row r="190" spans="2:64" ht="15.6" x14ac:dyDescent="0.3">
      <c r="B190" s="11" t="s">
        <v>168</v>
      </c>
      <c r="C190" s="4" t="s">
        <v>169</v>
      </c>
      <c r="D190" s="4" t="s">
        <v>265</v>
      </c>
      <c r="E190" s="4"/>
      <c r="F190" s="55" t="s">
        <v>262</v>
      </c>
      <c r="G190" s="4">
        <v>1023.654</v>
      </c>
      <c r="H190" s="48">
        <f t="shared" si="11"/>
        <v>167.14632092484374</v>
      </c>
      <c r="I190" s="4" t="s">
        <v>267</v>
      </c>
      <c r="J190" s="4">
        <v>171.1</v>
      </c>
      <c r="K190" s="4">
        <v>2.4500000000000002</v>
      </c>
      <c r="L190" s="4">
        <f t="shared" si="9"/>
        <v>69.836734693877546</v>
      </c>
      <c r="M190" s="4" t="s">
        <v>261</v>
      </c>
      <c r="N190" s="4"/>
      <c r="O190" s="4" t="s">
        <v>266</v>
      </c>
      <c r="P190" s="4"/>
      <c r="Q190" s="4" t="s">
        <v>407</v>
      </c>
      <c r="R190" s="4" t="s">
        <v>408</v>
      </c>
      <c r="S190" s="4"/>
      <c r="T190" s="4" t="s">
        <v>409</v>
      </c>
      <c r="U190" s="4" t="s">
        <v>410</v>
      </c>
      <c r="V190" s="4" t="s">
        <v>411</v>
      </c>
      <c r="W190" s="4" t="s">
        <v>413</v>
      </c>
      <c r="X190" s="4" t="s">
        <v>414</v>
      </c>
      <c r="Y190" s="4" t="s">
        <v>415</v>
      </c>
      <c r="Z190" s="4">
        <v>318</v>
      </c>
      <c r="AA190" s="4"/>
      <c r="AB190" s="4" t="s">
        <v>384</v>
      </c>
      <c r="AC190" s="4"/>
      <c r="AD190" s="4" t="s">
        <v>416</v>
      </c>
      <c r="AE190" s="4" t="s">
        <v>417</v>
      </c>
      <c r="AF190" s="4"/>
      <c r="AG190" s="4"/>
      <c r="AH190" s="4"/>
      <c r="AU190" s="22" t="e">
        <f t="shared" si="10"/>
        <v>#DIV/0!</v>
      </c>
      <c r="AV190" s="11" t="s">
        <v>166</v>
      </c>
      <c r="AW190" s="31">
        <v>442.680645941276</v>
      </c>
      <c r="AX190" s="31">
        <v>9.4238161344765495E-3</v>
      </c>
      <c r="AY190" s="11"/>
      <c r="AZ190" s="11"/>
      <c r="BA190" s="11"/>
      <c r="BB190" s="11">
        <v>75</v>
      </c>
      <c r="BK190" s="23" t="s">
        <v>163</v>
      </c>
      <c r="BL190" s="11" t="s">
        <v>422</v>
      </c>
    </row>
    <row r="191" spans="2:64" ht="15.6" x14ac:dyDescent="0.3">
      <c r="B191" s="11" t="s">
        <v>168</v>
      </c>
      <c r="C191" s="4" t="s">
        <v>169</v>
      </c>
      <c r="D191" s="4" t="s">
        <v>265</v>
      </c>
      <c r="E191" s="4"/>
      <c r="F191" s="55" t="s">
        <v>262</v>
      </c>
      <c r="G191" s="4">
        <v>1023.654</v>
      </c>
      <c r="H191" s="48">
        <f t="shared" si="11"/>
        <v>167.14632092484374</v>
      </c>
      <c r="I191" s="4" t="s">
        <v>267</v>
      </c>
      <c r="J191" s="4">
        <v>171.1</v>
      </c>
      <c r="K191" s="4">
        <v>2.4500000000000002</v>
      </c>
      <c r="L191" s="4">
        <f t="shared" si="9"/>
        <v>69.836734693877546</v>
      </c>
      <c r="M191" s="4" t="s">
        <v>261</v>
      </c>
      <c r="N191" s="4"/>
      <c r="O191" s="4" t="s">
        <v>266</v>
      </c>
      <c r="P191" s="4"/>
      <c r="Q191" s="4" t="s">
        <v>407</v>
      </c>
      <c r="R191" s="4" t="s">
        <v>408</v>
      </c>
      <c r="S191" s="4"/>
      <c r="T191" s="4" t="s">
        <v>409</v>
      </c>
      <c r="U191" s="4" t="s">
        <v>410</v>
      </c>
      <c r="V191" s="4" t="s">
        <v>411</v>
      </c>
      <c r="W191" s="4" t="s">
        <v>413</v>
      </c>
      <c r="X191" s="4" t="s">
        <v>414</v>
      </c>
      <c r="Y191" s="4" t="s">
        <v>415</v>
      </c>
      <c r="Z191" s="4">
        <v>318</v>
      </c>
      <c r="AA191" s="4"/>
      <c r="AB191" s="4" t="s">
        <v>384</v>
      </c>
      <c r="AC191" s="4"/>
      <c r="AD191" s="4" t="s">
        <v>416</v>
      </c>
      <c r="AE191" s="4" t="s">
        <v>417</v>
      </c>
      <c r="AF191" s="4"/>
      <c r="AG191" s="4"/>
      <c r="AH191" s="4"/>
      <c r="AU191" s="22" t="e">
        <f t="shared" si="10"/>
        <v>#DIV/0!</v>
      </c>
      <c r="AV191" s="11" t="s">
        <v>166</v>
      </c>
      <c r="AW191" s="31">
        <v>442.680645941276</v>
      </c>
      <c r="AX191" s="31">
        <v>8.8808310536420392E-3</v>
      </c>
      <c r="AY191" s="11"/>
      <c r="AZ191" s="11"/>
      <c r="BA191" s="11"/>
      <c r="BB191" s="11">
        <v>75</v>
      </c>
      <c r="BK191" s="23" t="s">
        <v>163</v>
      </c>
      <c r="BL191" s="11" t="s">
        <v>422</v>
      </c>
    </row>
    <row r="192" spans="2:64" ht="15.6" x14ac:dyDescent="0.3">
      <c r="B192" s="11" t="s">
        <v>168</v>
      </c>
      <c r="C192" s="4" t="s">
        <v>169</v>
      </c>
      <c r="D192" s="4" t="s">
        <v>265</v>
      </c>
      <c r="E192" s="4"/>
      <c r="F192" s="55" t="s">
        <v>262</v>
      </c>
      <c r="G192" s="4">
        <v>1023.654</v>
      </c>
      <c r="H192" s="48">
        <f t="shared" si="11"/>
        <v>167.14632092484374</v>
      </c>
      <c r="I192" s="4" t="s">
        <v>267</v>
      </c>
      <c r="J192" s="4">
        <v>171.1</v>
      </c>
      <c r="K192" s="4">
        <v>2.4500000000000002</v>
      </c>
      <c r="L192" s="4">
        <f t="shared" si="9"/>
        <v>69.836734693877546</v>
      </c>
      <c r="M192" s="4" t="s">
        <v>261</v>
      </c>
      <c r="N192" s="4"/>
      <c r="O192" s="4" t="s">
        <v>266</v>
      </c>
      <c r="P192" s="4"/>
      <c r="Q192" s="4" t="s">
        <v>407</v>
      </c>
      <c r="R192" s="4" t="s">
        <v>408</v>
      </c>
      <c r="S192" s="4"/>
      <c r="T192" s="4" t="s">
        <v>409</v>
      </c>
      <c r="U192" s="4" t="s">
        <v>410</v>
      </c>
      <c r="V192" s="4" t="s">
        <v>411</v>
      </c>
      <c r="W192" s="4" t="s">
        <v>413</v>
      </c>
      <c r="X192" s="4" t="s">
        <v>414</v>
      </c>
      <c r="Y192" s="4" t="s">
        <v>415</v>
      </c>
      <c r="Z192" s="4">
        <v>318</v>
      </c>
      <c r="AA192" s="4"/>
      <c r="AB192" s="4" t="s">
        <v>384</v>
      </c>
      <c r="AC192" s="4"/>
      <c r="AD192" s="4" t="s">
        <v>416</v>
      </c>
      <c r="AE192" s="4" t="s">
        <v>417</v>
      </c>
      <c r="AF192" s="4"/>
      <c r="AG192" s="4"/>
      <c r="AH192" s="4"/>
      <c r="AU192" s="22" t="e">
        <f t="shared" si="10"/>
        <v>#DIV/0!</v>
      </c>
      <c r="AV192" s="11" t="s">
        <v>166</v>
      </c>
      <c r="AW192" s="31">
        <v>451.15002695781902</v>
      </c>
      <c r="AX192" s="31">
        <v>8.4690569161787708E-3</v>
      </c>
      <c r="AY192" s="11"/>
      <c r="AZ192" s="11"/>
      <c r="BA192" s="11"/>
      <c r="BB192" s="11">
        <v>75</v>
      </c>
      <c r="BK192" s="23" t="s">
        <v>163</v>
      </c>
      <c r="BL192" s="11" t="s">
        <v>422</v>
      </c>
    </row>
    <row r="193" spans="2:64" ht="15.6" x14ac:dyDescent="0.3">
      <c r="B193" s="11" t="s">
        <v>168</v>
      </c>
      <c r="C193" s="4" t="s">
        <v>169</v>
      </c>
      <c r="D193" s="4" t="s">
        <v>265</v>
      </c>
      <c r="E193" s="4"/>
      <c r="F193" s="55" t="s">
        <v>262</v>
      </c>
      <c r="G193" s="4">
        <v>1023.654</v>
      </c>
      <c r="H193" s="48">
        <f t="shared" si="11"/>
        <v>167.14632092484374</v>
      </c>
      <c r="I193" s="4" t="s">
        <v>267</v>
      </c>
      <c r="J193" s="4">
        <v>171.1</v>
      </c>
      <c r="K193" s="4">
        <v>2.4500000000000002</v>
      </c>
      <c r="L193" s="4">
        <f t="shared" si="9"/>
        <v>69.836734693877546</v>
      </c>
      <c r="M193" s="4" t="s">
        <v>261</v>
      </c>
      <c r="N193" s="4"/>
      <c r="O193" s="4" t="s">
        <v>266</v>
      </c>
      <c r="P193" s="4"/>
      <c r="Q193" s="4" t="s">
        <v>407</v>
      </c>
      <c r="R193" s="4" t="s">
        <v>408</v>
      </c>
      <c r="S193" s="4"/>
      <c r="T193" s="4" t="s">
        <v>409</v>
      </c>
      <c r="U193" s="4" t="s">
        <v>410</v>
      </c>
      <c r="V193" s="4" t="s">
        <v>411</v>
      </c>
      <c r="W193" s="4" t="s">
        <v>413</v>
      </c>
      <c r="X193" s="4" t="s">
        <v>414</v>
      </c>
      <c r="Y193" s="4" t="s">
        <v>415</v>
      </c>
      <c r="Z193" s="4">
        <v>318</v>
      </c>
      <c r="AA193" s="4"/>
      <c r="AB193" s="4" t="s">
        <v>384</v>
      </c>
      <c r="AC193" s="4"/>
      <c r="AD193" s="4" t="s">
        <v>416</v>
      </c>
      <c r="AE193" s="4" t="s">
        <v>417</v>
      </c>
      <c r="AF193" s="4"/>
      <c r="AG193" s="4"/>
      <c r="AH193" s="4"/>
      <c r="AU193" s="22" t="e">
        <f t="shared" si="10"/>
        <v>#DIV/0!</v>
      </c>
      <c r="AV193" s="11" t="s">
        <v>166</v>
      </c>
      <c r="AW193" s="31">
        <v>455.44528876856799</v>
      </c>
      <c r="AX193" s="31">
        <v>8.0763753545408205E-3</v>
      </c>
      <c r="AY193" s="11"/>
      <c r="AZ193" s="11"/>
      <c r="BA193" s="11"/>
      <c r="BB193" s="11">
        <v>75</v>
      </c>
      <c r="BK193" s="23" t="s">
        <v>163</v>
      </c>
      <c r="BL193" s="11" t="s">
        <v>422</v>
      </c>
    </row>
    <row r="194" spans="2:64" ht="15.6" x14ac:dyDescent="0.3">
      <c r="B194" s="11" t="s">
        <v>168</v>
      </c>
      <c r="C194" s="4" t="s">
        <v>169</v>
      </c>
      <c r="D194" s="4" t="s">
        <v>265</v>
      </c>
      <c r="E194" s="4"/>
      <c r="F194" s="55" t="s">
        <v>262</v>
      </c>
      <c r="G194" s="4">
        <v>1023.654</v>
      </c>
      <c r="H194" s="48">
        <f t="shared" si="11"/>
        <v>167.14632092484374</v>
      </c>
      <c r="I194" s="4" t="s">
        <v>267</v>
      </c>
      <c r="J194" s="4">
        <v>171.1</v>
      </c>
      <c r="K194" s="4">
        <v>2.4500000000000002</v>
      </c>
      <c r="L194" s="4">
        <f t="shared" si="9"/>
        <v>69.836734693877546</v>
      </c>
      <c r="M194" s="4" t="s">
        <v>261</v>
      </c>
      <c r="N194" s="4"/>
      <c r="O194" s="4" t="s">
        <v>266</v>
      </c>
      <c r="P194" s="4"/>
      <c r="Q194" s="4" t="s">
        <v>407</v>
      </c>
      <c r="R194" s="4" t="s">
        <v>408</v>
      </c>
      <c r="S194" s="4"/>
      <c r="T194" s="4" t="s">
        <v>409</v>
      </c>
      <c r="U194" s="4" t="s">
        <v>410</v>
      </c>
      <c r="V194" s="4" t="s">
        <v>411</v>
      </c>
      <c r="W194" s="4" t="s">
        <v>413</v>
      </c>
      <c r="X194" s="4" t="s">
        <v>414</v>
      </c>
      <c r="Y194" s="4" t="s">
        <v>415</v>
      </c>
      <c r="Z194" s="4">
        <v>318</v>
      </c>
      <c r="AA194" s="4"/>
      <c r="AB194" s="4" t="s">
        <v>384</v>
      </c>
      <c r="AC194" s="4"/>
      <c r="AD194" s="4" t="s">
        <v>416</v>
      </c>
      <c r="AE194" s="4" t="s">
        <v>417</v>
      </c>
      <c r="AF194" s="4"/>
      <c r="AG194" s="4"/>
      <c r="AH194" s="4"/>
      <c r="AU194" s="22" t="e">
        <f t="shared" si="10"/>
        <v>#DIV/0!</v>
      </c>
      <c r="AV194" s="11" t="s">
        <v>166</v>
      </c>
      <c r="AW194" s="31">
        <v>455.44528876856799</v>
      </c>
      <c r="AX194" s="31">
        <v>7.79385958657624E-3</v>
      </c>
      <c r="AY194" s="11"/>
      <c r="AZ194" s="11"/>
      <c r="BA194" s="11"/>
      <c r="BB194" s="11">
        <v>75</v>
      </c>
      <c r="BK194" s="23" t="s">
        <v>163</v>
      </c>
      <c r="BL194" s="11" t="s">
        <v>422</v>
      </c>
    </row>
    <row r="195" spans="2:64" ht="15.6" x14ac:dyDescent="0.3">
      <c r="B195" s="11" t="s">
        <v>168</v>
      </c>
      <c r="C195" s="4" t="s">
        <v>169</v>
      </c>
      <c r="D195" s="4" t="s">
        <v>265</v>
      </c>
      <c r="E195" s="4"/>
      <c r="F195" s="55" t="s">
        <v>262</v>
      </c>
      <c r="G195" s="4">
        <v>1023.654</v>
      </c>
      <c r="H195" s="48">
        <f t="shared" si="11"/>
        <v>167.14632092484374</v>
      </c>
      <c r="I195" s="4" t="s">
        <v>267</v>
      </c>
      <c r="J195" s="4">
        <v>171.1</v>
      </c>
      <c r="K195" s="4">
        <v>2.4500000000000002</v>
      </c>
      <c r="L195" s="4">
        <f t="shared" si="9"/>
        <v>69.836734693877546</v>
      </c>
      <c r="M195" s="4" t="s">
        <v>261</v>
      </c>
      <c r="N195" s="4"/>
      <c r="O195" s="4" t="s">
        <v>266</v>
      </c>
      <c r="P195" s="4"/>
      <c r="Q195" s="4" t="s">
        <v>407</v>
      </c>
      <c r="R195" s="4" t="s">
        <v>408</v>
      </c>
      <c r="S195" s="4"/>
      <c r="T195" s="4" t="s">
        <v>409</v>
      </c>
      <c r="U195" s="4" t="s">
        <v>410</v>
      </c>
      <c r="V195" s="4" t="s">
        <v>411</v>
      </c>
      <c r="W195" s="4" t="s">
        <v>413</v>
      </c>
      <c r="X195" s="4" t="s">
        <v>414</v>
      </c>
      <c r="Y195" s="4" t="s">
        <v>415</v>
      </c>
      <c r="Z195" s="4">
        <v>318</v>
      </c>
      <c r="AA195" s="4"/>
      <c r="AB195" s="4" t="s">
        <v>384</v>
      </c>
      <c r="AC195" s="4"/>
      <c r="AD195" s="4" t="s">
        <v>416</v>
      </c>
      <c r="AE195" s="4" t="s">
        <v>417</v>
      </c>
      <c r="AF195" s="4"/>
      <c r="AG195" s="4"/>
      <c r="AH195" s="4"/>
      <c r="AU195" s="22" t="e">
        <f t="shared" si="10"/>
        <v>#DIV/0!</v>
      </c>
      <c r="AV195" s="11" t="s">
        <v>166</v>
      </c>
      <c r="AW195" s="31">
        <v>459.781444457009</v>
      </c>
      <c r="AX195" s="31">
        <v>7.7019011104798602E-3</v>
      </c>
      <c r="AY195" s="11"/>
      <c r="AZ195" s="11"/>
      <c r="BA195" s="11"/>
      <c r="BB195" s="11">
        <v>75</v>
      </c>
      <c r="BK195" s="23" t="s">
        <v>163</v>
      </c>
      <c r="BL195" s="11" t="s">
        <v>422</v>
      </c>
    </row>
    <row r="196" spans="2:64" ht="15.6" x14ac:dyDescent="0.3">
      <c r="B196" s="11" t="s">
        <v>168</v>
      </c>
      <c r="C196" s="4" t="s">
        <v>169</v>
      </c>
      <c r="D196" s="4" t="s">
        <v>265</v>
      </c>
      <c r="E196" s="4"/>
      <c r="F196" s="55" t="s">
        <v>262</v>
      </c>
      <c r="G196" s="4">
        <v>1023.654</v>
      </c>
      <c r="H196" s="48">
        <f t="shared" si="11"/>
        <v>167.14632092484374</v>
      </c>
      <c r="I196" s="4" t="s">
        <v>267</v>
      </c>
      <c r="J196" s="4">
        <v>171.1</v>
      </c>
      <c r="K196" s="4">
        <v>2.4500000000000002</v>
      </c>
      <c r="L196" s="4">
        <f t="shared" si="9"/>
        <v>69.836734693877546</v>
      </c>
      <c r="M196" s="4" t="s">
        <v>261</v>
      </c>
      <c r="N196" s="4"/>
      <c r="O196" s="4" t="s">
        <v>266</v>
      </c>
      <c r="P196" s="4"/>
      <c r="Q196" s="4" t="s">
        <v>407</v>
      </c>
      <c r="R196" s="4" t="s">
        <v>408</v>
      </c>
      <c r="S196" s="4"/>
      <c r="T196" s="4" t="s">
        <v>409</v>
      </c>
      <c r="U196" s="4" t="s">
        <v>410</v>
      </c>
      <c r="V196" s="4" t="s">
        <v>411</v>
      </c>
      <c r="W196" s="4" t="s">
        <v>413</v>
      </c>
      <c r="X196" s="4" t="s">
        <v>414</v>
      </c>
      <c r="Y196" s="4" t="s">
        <v>415</v>
      </c>
      <c r="Z196" s="4">
        <v>318</v>
      </c>
      <c r="AA196" s="4"/>
      <c r="AB196" s="4" t="s">
        <v>384</v>
      </c>
      <c r="AC196" s="4"/>
      <c r="AD196" s="4" t="s">
        <v>416</v>
      </c>
      <c r="AE196" s="4" t="s">
        <v>417</v>
      </c>
      <c r="AF196" s="4"/>
      <c r="AG196" s="4"/>
      <c r="AH196" s="4"/>
      <c r="AU196" s="22" t="e">
        <f t="shared" si="10"/>
        <v>#DIV/0!</v>
      </c>
      <c r="AV196" s="11" t="s">
        <v>166</v>
      </c>
      <c r="AW196" s="31">
        <v>459.78144445700798</v>
      </c>
      <c r="AX196" s="31">
        <v>7.52122636562624E-3</v>
      </c>
      <c r="AY196" s="11"/>
      <c r="AZ196" s="11"/>
      <c r="BA196" s="11"/>
      <c r="BB196" s="11">
        <v>75</v>
      </c>
      <c r="BK196" s="23" t="s">
        <v>163</v>
      </c>
      <c r="BL196" s="11" t="s">
        <v>422</v>
      </c>
    </row>
    <row r="197" spans="2:64" ht="15.6" x14ac:dyDescent="0.3">
      <c r="B197" s="11" t="s">
        <v>168</v>
      </c>
      <c r="C197" s="4" t="s">
        <v>169</v>
      </c>
      <c r="D197" s="4" t="s">
        <v>265</v>
      </c>
      <c r="E197" s="4"/>
      <c r="F197" s="55" t="s">
        <v>262</v>
      </c>
      <c r="G197" s="4">
        <v>1023.654</v>
      </c>
      <c r="H197" s="48">
        <f t="shared" si="11"/>
        <v>167.14632092484374</v>
      </c>
      <c r="I197" s="4" t="s">
        <v>267</v>
      </c>
      <c r="J197" s="4">
        <v>171.1</v>
      </c>
      <c r="K197" s="4">
        <v>2.4500000000000002</v>
      </c>
      <c r="L197" s="4">
        <f t="shared" ref="L197:L260" si="12">J197/K197</f>
        <v>69.836734693877546</v>
      </c>
      <c r="M197" s="4" t="s">
        <v>261</v>
      </c>
      <c r="N197" s="4"/>
      <c r="O197" s="4" t="s">
        <v>266</v>
      </c>
      <c r="P197" s="4"/>
      <c r="Q197" s="4" t="s">
        <v>407</v>
      </c>
      <c r="R197" s="4" t="s">
        <v>408</v>
      </c>
      <c r="S197" s="4"/>
      <c r="T197" s="4" t="s">
        <v>409</v>
      </c>
      <c r="U197" s="4" t="s">
        <v>410</v>
      </c>
      <c r="V197" s="4" t="s">
        <v>411</v>
      </c>
      <c r="W197" s="4" t="s">
        <v>413</v>
      </c>
      <c r="X197" s="4" t="s">
        <v>414</v>
      </c>
      <c r="Y197" s="4" t="s">
        <v>415</v>
      </c>
      <c r="Z197" s="4">
        <v>318</v>
      </c>
      <c r="AA197" s="4"/>
      <c r="AB197" s="4" t="s">
        <v>384</v>
      </c>
      <c r="AC197" s="4"/>
      <c r="AD197" s="4" t="s">
        <v>416</v>
      </c>
      <c r="AE197" s="4" t="s">
        <v>417</v>
      </c>
      <c r="AF197" s="4"/>
      <c r="AG197" s="4"/>
      <c r="AH197" s="4"/>
      <c r="AU197" s="22" t="e">
        <f t="shared" si="10"/>
        <v>#DIV/0!</v>
      </c>
      <c r="AV197" s="11" t="s">
        <v>166</v>
      </c>
      <c r="AW197" s="31">
        <v>464.15888336127699</v>
      </c>
      <c r="AX197" s="31">
        <v>7.3447899721821898E-3</v>
      </c>
      <c r="AY197" s="11"/>
      <c r="AZ197" s="11"/>
      <c r="BA197" s="11"/>
      <c r="BB197" s="11">
        <v>75</v>
      </c>
      <c r="BK197" s="23" t="s">
        <v>163</v>
      </c>
      <c r="BL197" s="11" t="s">
        <v>422</v>
      </c>
    </row>
    <row r="198" spans="2:64" ht="15.6" x14ac:dyDescent="0.3">
      <c r="B198" s="11" t="s">
        <v>168</v>
      </c>
      <c r="C198" s="4" t="s">
        <v>169</v>
      </c>
      <c r="D198" s="4" t="s">
        <v>265</v>
      </c>
      <c r="E198" s="4"/>
      <c r="F198" s="55" t="s">
        <v>262</v>
      </c>
      <c r="G198" s="4">
        <v>1023.654</v>
      </c>
      <c r="H198" s="48">
        <f t="shared" si="11"/>
        <v>167.14632092484374</v>
      </c>
      <c r="I198" s="4" t="s">
        <v>267</v>
      </c>
      <c r="J198" s="4">
        <v>171.1</v>
      </c>
      <c r="K198" s="4">
        <v>2.4500000000000002</v>
      </c>
      <c r="L198" s="4">
        <f t="shared" si="12"/>
        <v>69.836734693877546</v>
      </c>
      <c r="M198" s="4" t="s">
        <v>261</v>
      </c>
      <c r="N198" s="4"/>
      <c r="O198" s="4" t="s">
        <v>266</v>
      </c>
      <c r="P198" s="4"/>
      <c r="Q198" s="4" t="s">
        <v>407</v>
      </c>
      <c r="R198" s="4" t="s">
        <v>408</v>
      </c>
      <c r="S198" s="4"/>
      <c r="T198" s="4" t="s">
        <v>409</v>
      </c>
      <c r="U198" s="4" t="s">
        <v>410</v>
      </c>
      <c r="V198" s="4" t="s">
        <v>411</v>
      </c>
      <c r="W198" s="4" t="s">
        <v>413</v>
      </c>
      <c r="X198" s="4" t="s">
        <v>414</v>
      </c>
      <c r="Y198" s="4" t="s">
        <v>415</v>
      </c>
      <c r="Z198" s="4">
        <v>318</v>
      </c>
      <c r="AA198" s="4"/>
      <c r="AB198" s="4" t="s">
        <v>384</v>
      </c>
      <c r="AC198" s="4"/>
      <c r="AD198" s="4" t="s">
        <v>416</v>
      </c>
      <c r="AE198" s="4" t="s">
        <v>417</v>
      </c>
      <c r="AF198" s="4"/>
      <c r="AG198" s="4"/>
      <c r="AH198" s="4"/>
      <c r="AU198" s="22" t="e">
        <f t="shared" si="10"/>
        <v>#DIV/0!</v>
      </c>
      <c r="AV198" s="11" t="s">
        <v>166</v>
      </c>
      <c r="AW198" s="31">
        <v>464.15888336127699</v>
      </c>
      <c r="AX198" s="31">
        <v>7.1724925049475498E-3</v>
      </c>
      <c r="AY198" s="11"/>
      <c r="AZ198" s="11"/>
      <c r="BA198" s="11"/>
      <c r="BB198" s="11">
        <v>75</v>
      </c>
      <c r="BK198" s="23" t="s">
        <v>163</v>
      </c>
      <c r="BL198" s="11" t="s">
        <v>422</v>
      </c>
    </row>
    <row r="199" spans="2:64" ht="15.6" x14ac:dyDescent="0.3">
      <c r="B199" s="11" t="s">
        <v>168</v>
      </c>
      <c r="C199" s="4" t="s">
        <v>169</v>
      </c>
      <c r="D199" s="4" t="s">
        <v>265</v>
      </c>
      <c r="E199" s="4"/>
      <c r="F199" s="55" t="s">
        <v>262</v>
      </c>
      <c r="G199" s="4">
        <v>1023.654</v>
      </c>
      <c r="H199" s="48">
        <f t="shared" si="11"/>
        <v>167.14632092484374</v>
      </c>
      <c r="I199" s="4" t="s">
        <v>267</v>
      </c>
      <c r="J199" s="4">
        <v>171.1</v>
      </c>
      <c r="K199" s="4">
        <v>2.4500000000000002</v>
      </c>
      <c r="L199" s="4">
        <f t="shared" si="12"/>
        <v>69.836734693877546</v>
      </c>
      <c r="M199" s="4" t="s">
        <v>261</v>
      </c>
      <c r="N199" s="4"/>
      <c r="O199" s="4" t="s">
        <v>266</v>
      </c>
      <c r="P199" s="4"/>
      <c r="Q199" s="4" t="s">
        <v>407</v>
      </c>
      <c r="R199" s="4" t="s">
        <v>408</v>
      </c>
      <c r="S199" s="4"/>
      <c r="T199" s="4" t="s">
        <v>409</v>
      </c>
      <c r="U199" s="4" t="s">
        <v>410</v>
      </c>
      <c r="V199" s="4" t="s">
        <v>411</v>
      </c>
      <c r="W199" s="4" t="s">
        <v>413</v>
      </c>
      <c r="X199" s="4" t="s">
        <v>414</v>
      </c>
      <c r="Y199" s="4" t="s">
        <v>415</v>
      </c>
      <c r="Z199" s="4">
        <v>318</v>
      </c>
      <c r="AA199" s="4"/>
      <c r="AB199" s="4" t="s">
        <v>384</v>
      </c>
      <c r="AC199" s="4"/>
      <c r="AD199" s="4" t="s">
        <v>416</v>
      </c>
      <c r="AE199" s="4" t="s">
        <v>417</v>
      </c>
      <c r="AF199" s="4"/>
      <c r="AG199" s="4"/>
      <c r="AH199" s="4"/>
      <c r="AU199" s="22" t="e">
        <f t="shared" si="10"/>
        <v>#DIV/0!</v>
      </c>
      <c r="AV199" s="11" t="s">
        <v>166</v>
      </c>
      <c r="AW199" s="31">
        <v>473.03918673898897</v>
      </c>
      <c r="AX199" s="31">
        <v>7.0042368710842903E-3</v>
      </c>
      <c r="AY199" s="11"/>
      <c r="AZ199" s="11"/>
      <c r="BA199" s="11"/>
      <c r="BB199" s="11">
        <v>75</v>
      </c>
      <c r="BK199" s="23" t="s">
        <v>163</v>
      </c>
      <c r="BL199" s="11" t="s">
        <v>422</v>
      </c>
    </row>
    <row r="200" spans="2:64" ht="15.6" x14ac:dyDescent="0.3">
      <c r="B200" s="11" t="s">
        <v>168</v>
      </c>
      <c r="C200" s="4" t="s">
        <v>169</v>
      </c>
      <c r="D200" s="4" t="s">
        <v>265</v>
      </c>
      <c r="E200" s="4"/>
      <c r="F200" s="55" t="s">
        <v>262</v>
      </c>
      <c r="G200" s="4">
        <v>1023.654</v>
      </c>
      <c r="H200" s="48">
        <f t="shared" si="11"/>
        <v>167.14632092484374</v>
      </c>
      <c r="I200" s="4" t="s">
        <v>267</v>
      </c>
      <c r="J200" s="4">
        <v>171.1</v>
      </c>
      <c r="K200" s="4">
        <v>2.4500000000000002</v>
      </c>
      <c r="L200" s="4">
        <f t="shared" si="12"/>
        <v>69.836734693877546</v>
      </c>
      <c r="M200" s="4" t="s">
        <v>261</v>
      </c>
      <c r="N200" s="4"/>
      <c r="O200" s="4" t="s">
        <v>266</v>
      </c>
      <c r="P200" s="4"/>
      <c r="Q200" s="4" t="s">
        <v>407</v>
      </c>
      <c r="R200" s="4" t="s">
        <v>408</v>
      </c>
      <c r="S200" s="4"/>
      <c r="T200" s="4" t="s">
        <v>409</v>
      </c>
      <c r="U200" s="4" t="s">
        <v>410</v>
      </c>
      <c r="V200" s="4" t="s">
        <v>411</v>
      </c>
      <c r="W200" s="4" t="s">
        <v>413</v>
      </c>
      <c r="X200" s="4" t="s">
        <v>414</v>
      </c>
      <c r="Y200" s="4" t="s">
        <v>415</v>
      </c>
      <c r="Z200" s="4">
        <v>318</v>
      </c>
      <c r="AA200" s="4"/>
      <c r="AB200" s="4" t="s">
        <v>384</v>
      </c>
      <c r="AC200" s="4"/>
      <c r="AD200" s="4" t="s">
        <v>416</v>
      </c>
      <c r="AE200" s="4" t="s">
        <v>417</v>
      </c>
      <c r="AF200" s="4"/>
      <c r="AG200" s="4"/>
      <c r="AH200" s="4"/>
      <c r="AU200" s="22" t="e">
        <f t="shared" si="10"/>
        <v>#DIV/0!</v>
      </c>
      <c r="AV200" s="11" t="s">
        <v>166</v>
      </c>
      <c r="AW200" s="31">
        <v>477.54284856405502</v>
      </c>
      <c r="AX200" s="31">
        <v>6.7592250592536799E-3</v>
      </c>
      <c r="AY200" s="11"/>
      <c r="AZ200" s="11"/>
      <c r="BA200" s="11"/>
      <c r="BB200" s="11">
        <v>75</v>
      </c>
      <c r="BK200" s="23" t="s">
        <v>163</v>
      </c>
      <c r="BL200" s="11" t="s">
        <v>422</v>
      </c>
    </row>
    <row r="201" spans="2:64" ht="15.6" x14ac:dyDescent="0.3">
      <c r="B201" s="11" t="s">
        <v>168</v>
      </c>
      <c r="C201" s="4" t="s">
        <v>169</v>
      </c>
      <c r="D201" s="4" t="s">
        <v>265</v>
      </c>
      <c r="E201" s="4"/>
      <c r="F201" s="55" t="s">
        <v>262</v>
      </c>
      <c r="G201" s="4">
        <v>1023.654</v>
      </c>
      <c r="H201" s="48">
        <f t="shared" si="11"/>
        <v>167.14632092484374</v>
      </c>
      <c r="I201" s="4" t="s">
        <v>267</v>
      </c>
      <c r="J201" s="4">
        <v>171.1</v>
      </c>
      <c r="K201" s="4">
        <v>2.4500000000000002</v>
      </c>
      <c r="L201" s="4">
        <f t="shared" si="12"/>
        <v>69.836734693877546</v>
      </c>
      <c r="M201" s="4" t="s">
        <v>261</v>
      </c>
      <c r="N201" s="4"/>
      <c r="O201" s="4" t="s">
        <v>266</v>
      </c>
      <c r="P201" s="4"/>
      <c r="Q201" s="4" t="s">
        <v>407</v>
      </c>
      <c r="R201" s="4" t="s">
        <v>408</v>
      </c>
      <c r="S201" s="4"/>
      <c r="T201" s="4" t="s">
        <v>409</v>
      </c>
      <c r="U201" s="4" t="s">
        <v>410</v>
      </c>
      <c r="V201" s="4" t="s">
        <v>411</v>
      </c>
      <c r="W201" s="4" t="s">
        <v>413</v>
      </c>
      <c r="X201" s="4" t="s">
        <v>414</v>
      </c>
      <c r="Y201" s="4" t="s">
        <v>415</v>
      </c>
      <c r="Z201" s="4">
        <v>318</v>
      </c>
      <c r="AA201" s="4"/>
      <c r="AB201" s="4" t="s">
        <v>384</v>
      </c>
      <c r="AC201" s="4"/>
      <c r="AD201" s="4" t="s">
        <v>416</v>
      </c>
      <c r="AE201" s="4" t="s">
        <v>417</v>
      </c>
      <c r="AF201" s="4"/>
      <c r="AG201" s="4"/>
      <c r="AH201" s="4"/>
      <c r="AU201" s="22" t="e">
        <f t="shared" si="10"/>
        <v>#DIV/0!</v>
      </c>
      <c r="AV201" s="11" t="s">
        <v>166</v>
      </c>
      <c r="AW201" s="31">
        <v>477.54284856405599</v>
      </c>
      <c r="AX201" s="31">
        <v>6.6006640435419799E-3</v>
      </c>
      <c r="AY201" s="11"/>
      <c r="AZ201" s="11"/>
      <c r="BA201" s="11"/>
      <c r="BB201" s="11">
        <v>75</v>
      </c>
      <c r="BK201" s="23" t="s">
        <v>163</v>
      </c>
      <c r="BL201" s="11" t="s">
        <v>422</v>
      </c>
    </row>
    <row r="202" spans="2:64" ht="15.6" x14ac:dyDescent="0.3">
      <c r="B202" s="11" t="s">
        <v>168</v>
      </c>
      <c r="C202" s="4" t="s">
        <v>169</v>
      </c>
      <c r="D202" s="4" t="s">
        <v>265</v>
      </c>
      <c r="E202" s="4"/>
      <c r="F202" s="55" t="s">
        <v>262</v>
      </c>
      <c r="G202" s="4">
        <v>1023.654</v>
      </c>
      <c r="H202" s="48">
        <f t="shared" si="11"/>
        <v>167.14632092484374</v>
      </c>
      <c r="I202" s="4" t="s">
        <v>267</v>
      </c>
      <c r="J202" s="4">
        <v>171.1</v>
      </c>
      <c r="K202" s="4">
        <v>2.4500000000000002</v>
      </c>
      <c r="L202" s="4">
        <f t="shared" si="12"/>
        <v>69.836734693877546</v>
      </c>
      <c r="M202" s="4" t="s">
        <v>261</v>
      </c>
      <c r="N202" s="4"/>
      <c r="O202" s="4" t="s">
        <v>266</v>
      </c>
      <c r="P202" s="4"/>
      <c r="Q202" s="4" t="s">
        <v>407</v>
      </c>
      <c r="R202" s="4" t="s">
        <v>408</v>
      </c>
      <c r="S202" s="4"/>
      <c r="T202" s="4" t="s">
        <v>409</v>
      </c>
      <c r="U202" s="4" t="s">
        <v>410</v>
      </c>
      <c r="V202" s="4" t="s">
        <v>411</v>
      </c>
      <c r="W202" s="4" t="s">
        <v>413</v>
      </c>
      <c r="X202" s="4" t="s">
        <v>414</v>
      </c>
      <c r="Y202" s="4" t="s">
        <v>415</v>
      </c>
      <c r="Z202" s="4">
        <v>318</v>
      </c>
      <c r="AA202" s="4"/>
      <c r="AB202" s="4" t="s">
        <v>384</v>
      </c>
      <c r="AC202" s="4"/>
      <c r="AD202" s="4" t="s">
        <v>416</v>
      </c>
      <c r="AE202" s="4" t="s">
        <v>417</v>
      </c>
      <c r="AF202" s="4"/>
      <c r="AG202" s="4"/>
      <c r="AH202" s="4"/>
      <c r="AU202" s="22" t="e">
        <f t="shared" si="10"/>
        <v>#DIV/0!</v>
      </c>
      <c r="AV202" s="11" t="s">
        <v>166</v>
      </c>
      <c r="AW202" s="31">
        <v>482.089388379789</v>
      </c>
      <c r="AX202" s="31">
        <v>6.3697694169953098E-3</v>
      </c>
      <c r="AY202" s="11"/>
      <c r="AZ202" s="11"/>
      <c r="BA202" s="11"/>
      <c r="BB202" s="11">
        <v>75</v>
      </c>
      <c r="BK202" s="23" t="s">
        <v>163</v>
      </c>
      <c r="BL202" s="11" t="s">
        <v>422</v>
      </c>
    </row>
    <row r="203" spans="2:64" ht="15.6" x14ac:dyDescent="0.3">
      <c r="B203" s="11" t="s">
        <v>168</v>
      </c>
      <c r="C203" s="4" t="s">
        <v>169</v>
      </c>
      <c r="D203" s="4" t="s">
        <v>265</v>
      </c>
      <c r="E203" s="4"/>
      <c r="F203" s="55" t="s">
        <v>262</v>
      </c>
      <c r="G203" s="4">
        <v>1023.654</v>
      </c>
      <c r="H203" s="48">
        <f t="shared" si="11"/>
        <v>167.14632092484374</v>
      </c>
      <c r="I203" s="4" t="s">
        <v>267</v>
      </c>
      <c r="J203" s="4">
        <v>171.1</v>
      </c>
      <c r="K203" s="4">
        <v>2.4500000000000002</v>
      </c>
      <c r="L203" s="4">
        <f t="shared" si="12"/>
        <v>69.836734693877546</v>
      </c>
      <c r="M203" s="4" t="s">
        <v>261</v>
      </c>
      <c r="N203" s="4"/>
      <c r="O203" s="4" t="s">
        <v>266</v>
      </c>
      <c r="P203" s="4"/>
      <c r="Q203" s="4" t="s">
        <v>407</v>
      </c>
      <c r="R203" s="4" t="s">
        <v>408</v>
      </c>
      <c r="S203" s="4"/>
      <c r="T203" s="4" t="s">
        <v>409</v>
      </c>
      <c r="U203" s="4" t="s">
        <v>410</v>
      </c>
      <c r="V203" s="4" t="s">
        <v>411</v>
      </c>
      <c r="W203" s="4" t="s">
        <v>413</v>
      </c>
      <c r="X203" s="4" t="s">
        <v>414</v>
      </c>
      <c r="Y203" s="4" t="s">
        <v>415</v>
      </c>
      <c r="Z203" s="4">
        <v>318</v>
      </c>
      <c r="AA203" s="4"/>
      <c r="AB203" s="4" t="s">
        <v>384</v>
      </c>
      <c r="AC203" s="4"/>
      <c r="AD203" s="4" t="s">
        <v>416</v>
      </c>
      <c r="AE203" s="4" t="s">
        <v>417</v>
      </c>
      <c r="AF203" s="4"/>
      <c r="AG203" s="4"/>
      <c r="AH203" s="4"/>
      <c r="AU203" s="22" t="e">
        <f t="shared" si="10"/>
        <v>#DIV/0!</v>
      </c>
      <c r="AV203" s="11" t="s">
        <v>166</v>
      </c>
      <c r="AW203" s="31">
        <v>486.67921441446401</v>
      </c>
      <c r="AX203" s="31">
        <v>6.1469516033596404E-3</v>
      </c>
      <c r="AY203" s="11"/>
      <c r="AZ203" s="11"/>
      <c r="BA203" s="11"/>
      <c r="BB203" s="11">
        <v>75</v>
      </c>
      <c r="BK203" s="23" t="s">
        <v>163</v>
      </c>
      <c r="BL203" s="11" t="s">
        <v>422</v>
      </c>
    </row>
    <row r="204" spans="2:64" ht="15.6" x14ac:dyDescent="0.3">
      <c r="B204" s="11" t="s">
        <v>168</v>
      </c>
      <c r="C204" s="4" t="s">
        <v>169</v>
      </c>
      <c r="D204" s="4" t="s">
        <v>265</v>
      </c>
      <c r="E204" s="4"/>
      <c r="F204" s="55" t="s">
        <v>262</v>
      </c>
      <c r="G204" s="4">
        <v>1023.654</v>
      </c>
      <c r="H204" s="48">
        <f t="shared" si="11"/>
        <v>167.14632092484374</v>
      </c>
      <c r="I204" s="4" t="s">
        <v>267</v>
      </c>
      <c r="J204" s="4">
        <v>171.1</v>
      </c>
      <c r="K204" s="4">
        <v>2.4500000000000002</v>
      </c>
      <c r="L204" s="4">
        <f t="shared" si="12"/>
        <v>69.836734693877546</v>
      </c>
      <c r="M204" s="4" t="s">
        <v>261</v>
      </c>
      <c r="N204" s="4"/>
      <c r="O204" s="4" t="s">
        <v>266</v>
      </c>
      <c r="P204" s="4"/>
      <c r="Q204" s="4" t="s">
        <v>407</v>
      </c>
      <c r="R204" s="4" t="s">
        <v>408</v>
      </c>
      <c r="S204" s="4"/>
      <c r="T204" s="4" t="s">
        <v>409</v>
      </c>
      <c r="U204" s="4" t="s">
        <v>410</v>
      </c>
      <c r="V204" s="4" t="s">
        <v>411</v>
      </c>
      <c r="W204" s="4" t="s">
        <v>413</v>
      </c>
      <c r="X204" s="4" t="s">
        <v>414</v>
      </c>
      <c r="Y204" s="4" t="s">
        <v>415</v>
      </c>
      <c r="Z204" s="4">
        <v>318</v>
      </c>
      <c r="AA204" s="4"/>
      <c r="AB204" s="4" t="s">
        <v>384</v>
      </c>
      <c r="AC204" s="4"/>
      <c r="AD204" s="4" t="s">
        <v>416</v>
      </c>
      <c r="AE204" s="4" t="s">
        <v>417</v>
      </c>
      <c r="AF204" s="4"/>
      <c r="AG204" s="4"/>
      <c r="AH204" s="4"/>
      <c r="AU204" s="22" t="e">
        <f t="shared" si="10"/>
        <v>#DIV/0!</v>
      </c>
      <c r="AV204" s="11" t="s">
        <v>166</v>
      </c>
      <c r="AW204" s="31">
        <v>486.67921441446401</v>
      </c>
      <c r="AX204" s="31">
        <v>6.0027535804775597E-3</v>
      </c>
      <c r="AY204" s="11"/>
      <c r="AZ204" s="11"/>
      <c r="BA204" s="11"/>
      <c r="BB204" s="11">
        <v>75</v>
      </c>
      <c r="BK204" s="23" t="s">
        <v>163</v>
      </c>
      <c r="BL204" s="11" t="s">
        <v>422</v>
      </c>
    </row>
    <row r="205" spans="2:64" ht="15.6" x14ac:dyDescent="0.3">
      <c r="B205" s="11" t="s">
        <v>168</v>
      </c>
      <c r="C205" s="4" t="s">
        <v>169</v>
      </c>
      <c r="D205" s="4" t="s">
        <v>265</v>
      </c>
      <c r="E205" s="4"/>
      <c r="F205" s="55" t="s">
        <v>262</v>
      </c>
      <c r="G205" s="4">
        <v>1023.654</v>
      </c>
      <c r="H205" s="48">
        <f t="shared" si="11"/>
        <v>167.14632092484374</v>
      </c>
      <c r="I205" s="4" t="s">
        <v>267</v>
      </c>
      <c r="J205" s="4">
        <v>171.1</v>
      </c>
      <c r="K205" s="4">
        <v>2.4500000000000002</v>
      </c>
      <c r="L205" s="4">
        <f t="shared" si="12"/>
        <v>69.836734693877546</v>
      </c>
      <c r="M205" s="4" t="s">
        <v>261</v>
      </c>
      <c r="N205" s="4"/>
      <c r="O205" s="4" t="s">
        <v>266</v>
      </c>
      <c r="P205" s="4"/>
      <c r="Q205" s="4" t="s">
        <v>407</v>
      </c>
      <c r="R205" s="4" t="s">
        <v>408</v>
      </c>
      <c r="S205" s="4"/>
      <c r="T205" s="4" t="s">
        <v>409</v>
      </c>
      <c r="U205" s="4" t="s">
        <v>410</v>
      </c>
      <c r="V205" s="4" t="s">
        <v>411</v>
      </c>
      <c r="W205" s="4" t="s">
        <v>413</v>
      </c>
      <c r="X205" s="4" t="s">
        <v>414</v>
      </c>
      <c r="Y205" s="4" t="s">
        <v>415</v>
      </c>
      <c r="Z205" s="4">
        <v>318</v>
      </c>
      <c r="AA205" s="4"/>
      <c r="AB205" s="4" t="s">
        <v>384</v>
      </c>
      <c r="AC205" s="4"/>
      <c r="AD205" s="4" t="s">
        <v>416</v>
      </c>
      <c r="AE205" s="4" t="s">
        <v>417</v>
      </c>
      <c r="AF205" s="4"/>
      <c r="AG205" s="4"/>
      <c r="AH205" s="4"/>
      <c r="AU205" s="22" t="e">
        <f t="shared" ref="AU205:AU268" si="13">(AS205*AT205)/(AG205)</f>
        <v>#DIV/0!</v>
      </c>
      <c r="AV205" s="11" t="s">
        <v>166</v>
      </c>
      <c r="AW205" s="31">
        <v>491.31273878296599</v>
      </c>
      <c r="AX205" s="31">
        <v>5.7927741697587102E-3</v>
      </c>
      <c r="AY205" s="11"/>
      <c r="AZ205" s="11"/>
      <c r="BA205" s="11"/>
      <c r="BB205" s="11">
        <v>75</v>
      </c>
      <c r="BK205" s="23" t="s">
        <v>163</v>
      </c>
      <c r="BL205" s="11" t="s">
        <v>422</v>
      </c>
    </row>
    <row r="206" spans="2:64" ht="15.6" x14ac:dyDescent="0.3">
      <c r="B206" s="11" t="s">
        <v>168</v>
      </c>
      <c r="C206" s="4" t="s">
        <v>169</v>
      </c>
      <c r="D206" s="4" t="s">
        <v>265</v>
      </c>
      <c r="E206" s="4"/>
      <c r="F206" s="55" t="s">
        <v>262</v>
      </c>
      <c r="G206" s="4">
        <v>1023.654</v>
      </c>
      <c r="H206" s="48">
        <f t="shared" si="11"/>
        <v>167.14632092484374</v>
      </c>
      <c r="I206" s="4" t="s">
        <v>267</v>
      </c>
      <c r="J206" s="4">
        <v>171.1</v>
      </c>
      <c r="K206" s="4">
        <v>2.4500000000000002</v>
      </c>
      <c r="L206" s="4">
        <f t="shared" si="12"/>
        <v>69.836734693877546</v>
      </c>
      <c r="M206" s="4" t="s">
        <v>261</v>
      </c>
      <c r="N206" s="4"/>
      <c r="O206" s="4" t="s">
        <v>266</v>
      </c>
      <c r="P206" s="4"/>
      <c r="Q206" s="4" t="s">
        <v>407</v>
      </c>
      <c r="R206" s="4" t="s">
        <v>408</v>
      </c>
      <c r="S206" s="4"/>
      <c r="T206" s="4" t="s">
        <v>409</v>
      </c>
      <c r="U206" s="4" t="s">
        <v>410</v>
      </c>
      <c r="V206" s="4" t="s">
        <v>411</v>
      </c>
      <c r="W206" s="4" t="s">
        <v>413</v>
      </c>
      <c r="X206" s="4" t="s">
        <v>414</v>
      </c>
      <c r="Y206" s="4" t="s">
        <v>415</v>
      </c>
      <c r="Z206" s="4">
        <v>318</v>
      </c>
      <c r="AA206" s="4"/>
      <c r="AB206" s="4" t="s">
        <v>384</v>
      </c>
      <c r="AC206" s="4"/>
      <c r="AD206" s="4" t="s">
        <v>416</v>
      </c>
      <c r="AE206" s="4" t="s">
        <v>417</v>
      </c>
      <c r="AF206" s="4"/>
      <c r="AG206" s="4"/>
      <c r="AH206" s="4"/>
      <c r="AU206" s="22" t="e">
        <f t="shared" si="13"/>
        <v>#DIV/0!</v>
      </c>
      <c r="AV206" s="11" t="s">
        <v>166</v>
      </c>
      <c r="AW206" s="31">
        <v>491.31273878296599</v>
      </c>
      <c r="AX206" s="31">
        <v>5.6568846042991299E-3</v>
      </c>
      <c r="AY206" s="11"/>
      <c r="AZ206" s="11"/>
      <c r="BA206" s="11"/>
      <c r="BB206" s="11">
        <v>75</v>
      </c>
      <c r="BK206" s="23" t="s">
        <v>163</v>
      </c>
      <c r="BL206" s="11" t="s">
        <v>422</v>
      </c>
    </row>
    <row r="207" spans="2:64" ht="15.6" x14ac:dyDescent="0.3">
      <c r="B207" s="11" t="s">
        <v>168</v>
      </c>
      <c r="C207" s="4" t="s">
        <v>169</v>
      </c>
      <c r="D207" s="4" t="s">
        <v>265</v>
      </c>
      <c r="E207" s="4"/>
      <c r="F207" s="55" t="s">
        <v>262</v>
      </c>
      <c r="G207" s="4">
        <v>1023.654</v>
      </c>
      <c r="H207" s="48">
        <f t="shared" si="11"/>
        <v>167.14632092484374</v>
      </c>
      <c r="I207" s="4" t="s">
        <v>267</v>
      </c>
      <c r="J207" s="4">
        <v>171.1</v>
      </c>
      <c r="K207" s="4">
        <v>2.4500000000000002</v>
      </c>
      <c r="L207" s="4">
        <f t="shared" si="12"/>
        <v>69.836734693877546</v>
      </c>
      <c r="M207" s="4" t="s">
        <v>261</v>
      </c>
      <c r="N207" s="4"/>
      <c r="O207" s="4" t="s">
        <v>266</v>
      </c>
      <c r="P207" s="4"/>
      <c r="Q207" s="4" t="s">
        <v>407</v>
      </c>
      <c r="R207" s="4" t="s">
        <v>408</v>
      </c>
      <c r="S207" s="4"/>
      <c r="T207" s="4" t="s">
        <v>409</v>
      </c>
      <c r="U207" s="4" t="s">
        <v>410</v>
      </c>
      <c r="V207" s="4" t="s">
        <v>411</v>
      </c>
      <c r="W207" s="4" t="s">
        <v>413</v>
      </c>
      <c r="X207" s="4" t="s">
        <v>414</v>
      </c>
      <c r="Y207" s="4" t="s">
        <v>415</v>
      </c>
      <c r="Z207" s="4">
        <v>318</v>
      </c>
      <c r="AA207" s="4"/>
      <c r="AB207" s="4" t="s">
        <v>384</v>
      </c>
      <c r="AC207" s="4"/>
      <c r="AD207" s="4" t="s">
        <v>416</v>
      </c>
      <c r="AE207" s="4" t="s">
        <v>417</v>
      </c>
      <c r="AF207" s="4"/>
      <c r="AG207" s="4"/>
      <c r="AH207" s="4"/>
      <c r="AU207" s="22" t="e">
        <f t="shared" si="13"/>
        <v>#DIV/0!</v>
      </c>
      <c r="AV207" s="11" t="s">
        <v>166</v>
      </c>
      <c r="AW207" s="31">
        <v>495.99037752380599</v>
      </c>
      <c r="AX207" s="31">
        <v>5.5241827988763903E-3</v>
      </c>
      <c r="AY207" s="11"/>
      <c r="AZ207" s="11"/>
      <c r="BA207" s="11"/>
      <c r="BB207" s="11">
        <v>75</v>
      </c>
      <c r="BK207" s="23" t="s">
        <v>163</v>
      </c>
      <c r="BL207" s="11" t="s">
        <v>422</v>
      </c>
    </row>
    <row r="208" spans="2:64" ht="15.6" x14ac:dyDescent="0.3">
      <c r="B208" s="11" t="s">
        <v>168</v>
      </c>
      <c r="C208" s="4" t="s">
        <v>169</v>
      </c>
      <c r="D208" s="4" t="s">
        <v>265</v>
      </c>
      <c r="E208" s="4"/>
      <c r="F208" s="55" t="s">
        <v>262</v>
      </c>
      <c r="G208" s="4">
        <v>1023.654</v>
      </c>
      <c r="H208" s="48">
        <f t="shared" si="11"/>
        <v>167.14632092484374</v>
      </c>
      <c r="I208" s="4" t="s">
        <v>267</v>
      </c>
      <c r="J208" s="4">
        <v>171.1</v>
      </c>
      <c r="K208" s="4">
        <v>2.4500000000000002</v>
      </c>
      <c r="L208" s="4">
        <f t="shared" si="12"/>
        <v>69.836734693877546</v>
      </c>
      <c r="M208" s="4" t="s">
        <v>261</v>
      </c>
      <c r="N208" s="4"/>
      <c r="O208" s="4" t="s">
        <v>266</v>
      </c>
      <c r="P208" s="4"/>
      <c r="Q208" s="4" t="s">
        <v>407</v>
      </c>
      <c r="R208" s="4" t="s">
        <v>408</v>
      </c>
      <c r="S208" s="4"/>
      <c r="T208" s="4" t="s">
        <v>409</v>
      </c>
      <c r="U208" s="4" t="s">
        <v>410</v>
      </c>
      <c r="V208" s="4" t="s">
        <v>411</v>
      </c>
      <c r="W208" s="4" t="s">
        <v>413</v>
      </c>
      <c r="X208" s="4" t="s">
        <v>414</v>
      </c>
      <c r="Y208" s="4" t="s">
        <v>415</v>
      </c>
      <c r="Z208" s="4">
        <v>318</v>
      </c>
      <c r="AA208" s="4"/>
      <c r="AB208" s="4" t="s">
        <v>384</v>
      </c>
      <c r="AC208" s="4"/>
      <c r="AD208" s="4" t="s">
        <v>416</v>
      </c>
      <c r="AE208" s="4" t="s">
        <v>417</v>
      </c>
      <c r="AF208" s="4"/>
      <c r="AG208" s="4"/>
      <c r="AH208" s="4"/>
      <c r="AU208" s="22" t="e">
        <f t="shared" si="13"/>
        <v>#DIV/0!</v>
      </c>
      <c r="AV208" s="11" t="s">
        <v>166</v>
      </c>
      <c r="AW208" s="31">
        <v>500.71255063646799</v>
      </c>
      <c r="AX208" s="31">
        <v>5.3309440404866104E-3</v>
      </c>
      <c r="AY208" s="11"/>
      <c r="AZ208" s="11"/>
      <c r="BA208" s="11"/>
      <c r="BB208" s="11">
        <v>75</v>
      </c>
      <c r="BK208" s="23" t="s">
        <v>163</v>
      </c>
      <c r="BL208" s="11" t="s">
        <v>422</v>
      </c>
    </row>
    <row r="209" spans="2:64" ht="15.6" x14ac:dyDescent="0.3">
      <c r="B209" s="11" t="s">
        <v>168</v>
      </c>
      <c r="C209" s="4" t="s">
        <v>169</v>
      </c>
      <c r="D209" s="4" t="s">
        <v>265</v>
      </c>
      <c r="E209" s="4"/>
      <c r="F209" s="55" t="s">
        <v>262</v>
      </c>
      <c r="G209" s="4">
        <v>1023.654</v>
      </c>
      <c r="H209" s="48">
        <f t="shared" si="11"/>
        <v>167.14632092484374</v>
      </c>
      <c r="I209" s="4" t="s">
        <v>267</v>
      </c>
      <c r="J209" s="4">
        <v>171.1</v>
      </c>
      <c r="K209" s="4">
        <v>2.4500000000000002</v>
      </c>
      <c r="L209" s="4">
        <f t="shared" si="12"/>
        <v>69.836734693877546</v>
      </c>
      <c r="M209" s="4" t="s">
        <v>261</v>
      </c>
      <c r="N209" s="4"/>
      <c r="O209" s="4" t="s">
        <v>266</v>
      </c>
      <c r="P209" s="4"/>
      <c r="Q209" s="4" t="s">
        <v>407</v>
      </c>
      <c r="R209" s="4" t="s">
        <v>408</v>
      </c>
      <c r="S209" s="4"/>
      <c r="T209" s="4" t="s">
        <v>409</v>
      </c>
      <c r="U209" s="4" t="s">
        <v>410</v>
      </c>
      <c r="V209" s="4" t="s">
        <v>411</v>
      </c>
      <c r="W209" s="4" t="s">
        <v>413</v>
      </c>
      <c r="X209" s="4" t="s">
        <v>414</v>
      </c>
      <c r="Y209" s="4" t="s">
        <v>415</v>
      </c>
      <c r="Z209" s="4">
        <v>318</v>
      </c>
      <c r="AA209" s="4"/>
      <c r="AB209" s="4" t="s">
        <v>384</v>
      </c>
      <c r="AC209" s="4"/>
      <c r="AD209" s="4" t="s">
        <v>416</v>
      </c>
      <c r="AE209" s="4" t="s">
        <v>417</v>
      </c>
      <c r="AF209" s="4"/>
      <c r="AG209" s="4"/>
      <c r="AH209" s="4"/>
      <c r="AU209" s="22" t="e">
        <f t="shared" si="13"/>
        <v>#DIV/0!</v>
      </c>
      <c r="AV209" s="11" t="s">
        <v>166</v>
      </c>
      <c r="AW209" s="31">
        <v>500.71255063646799</v>
      </c>
      <c r="AX209" s="31">
        <v>5.1444648733528697E-3</v>
      </c>
      <c r="AY209" s="11"/>
      <c r="AZ209" s="11"/>
      <c r="BA209" s="11"/>
      <c r="BB209" s="11">
        <v>75</v>
      </c>
      <c r="BK209" s="23" t="s">
        <v>163</v>
      </c>
      <c r="BL209" s="11" t="s">
        <v>422</v>
      </c>
    </row>
    <row r="210" spans="2:64" ht="15.6" x14ac:dyDescent="0.3">
      <c r="B210" s="11" t="s">
        <v>168</v>
      </c>
      <c r="C210" s="4" t="s">
        <v>169</v>
      </c>
      <c r="D210" s="4" t="s">
        <v>265</v>
      </c>
      <c r="E210" s="4"/>
      <c r="F210" s="55" t="s">
        <v>262</v>
      </c>
      <c r="G210" s="4">
        <v>1023.654</v>
      </c>
      <c r="H210" s="48">
        <f t="shared" si="11"/>
        <v>167.14632092484374</v>
      </c>
      <c r="I210" s="4" t="s">
        <v>267</v>
      </c>
      <c r="J210" s="4">
        <v>171.1</v>
      </c>
      <c r="K210" s="4">
        <v>2.4500000000000002</v>
      </c>
      <c r="L210" s="4">
        <f t="shared" si="12"/>
        <v>69.836734693877546</v>
      </c>
      <c r="M210" s="4" t="s">
        <v>261</v>
      </c>
      <c r="N210" s="4"/>
      <c r="O210" s="4" t="s">
        <v>266</v>
      </c>
      <c r="P210" s="4"/>
      <c r="Q210" s="4" t="s">
        <v>407</v>
      </c>
      <c r="R210" s="4" t="s">
        <v>408</v>
      </c>
      <c r="S210" s="4"/>
      <c r="T210" s="4" t="s">
        <v>409</v>
      </c>
      <c r="U210" s="4" t="s">
        <v>410</v>
      </c>
      <c r="V210" s="4" t="s">
        <v>411</v>
      </c>
      <c r="W210" s="4" t="s">
        <v>413</v>
      </c>
      <c r="X210" s="4" t="s">
        <v>414</v>
      </c>
      <c r="Y210" s="4" t="s">
        <v>415</v>
      </c>
      <c r="Z210" s="4">
        <v>318</v>
      </c>
      <c r="AA210" s="4"/>
      <c r="AB210" s="4" t="s">
        <v>384</v>
      </c>
      <c r="AC210" s="4"/>
      <c r="AD210" s="4" t="s">
        <v>416</v>
      </c>
      <c r="AE210" s="4" t="s">
        <v>417</v>
      </c>
      <c r="AF210" s="4"/>
      <c r="AG210" s="4"/>
      <c r="AH210" s="4"/>
      <c r="AU210" s="22" t="e">
        <f t="shared" si="13"/>
        <v>#DIV/0!</v>
      </c>
      <c r="AV210" s="11" t="s">
        <v>166</v>
      </c>
      <c r="AW210" s="31">
        <v>505.47968211912303</v>
      </c>
      <c r="AX210" s="31">
        <v>4.9645088434928999E-3</v>
      </c>
      <c r="AY210" s="11"/>
      <c r="AZ210" s="11"/>
      <c r="BA210" s="11"/>
      <c r="BB210" s="11">
        <v>75</v>
      </c>
      <c r="BK210" s="23" t="s">
        <v>163</v>
      </c>
      <c r="BL210" s="11" t="s">
        <v>422</v>
      </c>
    </row>
    <row r="211" spans="2:64" ht="15.6" x14ac:dyDescent="0.3">
      <c r="B211" s="11" t="s">
        <v>168</v>
      </c>
      <c r="C211" s="4" t="s">
        <v>169</v>
      </c>
      <c r="D211" s="4" t="s">
        <v>265</v>
      </c>
      <c r="E211" s="4"/>
      <c r="F211" s="55" t="s">
        <v>262</v>
      </c>
      <c r="G211" s="4">
        <v>1023.654</v>
      </c>
      <c r="H211" s="48">
        <f t="shared" si="11"/>
        <v>167.14632092484374</v>
      </c>
      <c r="I211" s="4" t="s">
        <v>267</v>
      </c>
      <c r="J211" s="4">
        <v>171.1</v>
      </c>
      <c r="K211" s="4">
        <v>2.4500000000000002</v>
      </c>
      <c r="L211" s="4">
        <f t="shared" si="12"/>
        <v>69.836734693877546</v>
      </c>
      <c r="M211" s="4" t="s">
        <v>261</v>
      </c>
      <c r="N211" s="4"/>
      <c r="O211" s="4" t="s">
        <v>266</v>
      </c>
      <c r="P211" s="4"/>
      <c r="Q211" s="4" t="s">
        <v>407</v>
      </c>
      <c r="R211" s="4" t="s">
        <v>408</v>
      </c>
      <c r="S211" s="4"/>
      <c r="T211" s="4" t="s">
        <v>409</v>
      </c>
      <c r="U211" s="4" t="s">
        <v>410</v>
      </c>
      <c r="V211" s="4" t="s">
        <v>411</v>
      </c>
      <c r="W211" s="4" t="s">
        <v>413</v>
      </c>
      <c r="X211" s="4" t="s">
        <v>414</v>
      </c>
      <c r="Y211" s="4" t="s">
        <v>415</v>
      </c>
      <c r="Z211" s="4">
        <v>318</v>
      </c>
      <c r="AA211" s="4"/>
      <c r="AB211" s="4" t="s">
        <v>384</v>
      </c>
      <c r="AC211" s="4"/>
      <c r="AD211" s="4" t="s">
        <v>416</v>
      </c>
      <c r="AE211" s="4" t="s">
        <v>417</v>
      </c>
      <c r="AF211" s="4"/>
      <c r="AG211" s="4"/>
      <c r="AH211" s="4"/>
      <c r="AU211" s="22" t="e">
        <f t="shared" si="13"/>
        <v>#DIV/0!</v>
      </c>
      <c r="AV211" s="11" t="s">
        <v>166</v>
      </c>
      <c r="AW211" s="31">
        <v>510.29220000670102</v>
      </c>
      <c r="AX211" s="31">
        <v>4.7908477682064698E-3</v>
      </c>
      <c r="AY211" s="11"/>
      <c r="AZ211" s="11"/>
      <c r="BA211" s="11"/>
      <c r="BB211" s="11">
        <v>75</v>
      </c>
      <c r="BK211" s="23" t="s">
        <v>163</v>
      </c>
      <c r="BL211" s="11" t="s">
        <v>422</v>
      </c>
    </row>
    <row r="212" spans="2:64" ht="15.6" x14ac:dyDescent="0.3">
      <c r="B212" s="11" t="s">
        <v>168</v>
      </c>
      <c r="C212" s="4" t="s">
        <v>169</v>
      </c>
      <c r="D212" s="4" t="s">
        <v>265</v>
      </c>
      <c r="E212" s="4"/>
      <c r="F212" s="55" t="s">
        <v>262</v>
      </c>
      <c r="G212" s="4">
        <v>1023.654</v>
      </c>
      <c r="H212" s="48">
        <f t="shared" si="11"/>
        <v>167.14632092484374</v>
      </c>
      <c r="I212" s="4" t="s">
        <v>267</v>
      </c>
      <c r="J212" s="4">
        <v>171.1</v>
      </c>
      <c r="K212" s="4">
        <v>2.4500000000000002</v>
      </c>
      <c r="L212" s="4">
        <f t="shared" si="12"/>
        <v>69.836734693877546</v>
      </c>
      <c r="M212" s="4" t="s">
        <v>261</v>
      </c>
      <c r="N212" s="4"/>
      <c r="O212" s="4" t="s">
        <v>266</v>
      </c>
      <c r="P212" s="4"/>
      <c r="Q212" s="4" t="s">
        <v>407</v>
      </c>
      <c r="R212" s="4" t="s">
        <v>408</v>
      </c>
      <c r="S212" s="4"/>
      <c r="T212" s="4" t="s">
        <v>409</v>
      </c>
      <c r="U212" s="4" t="s">
        <v>410</v>
      </c>
      <c r="V212" s="4" t="s">
        <v>411</v>
      </c>
      <c r="W212" s="4" t="s">
        <v>413</v>
      </c>
      <c r="X212" s="4" t="s">
        <v>414</v>
      </c>
      <c r="Y212" s="4" t="s">
        <v>415</v>
      </c>
      <c r="Z212" s="4">
        <v>318</v>
      </c>
      <c r="AA212" s="4"/>
      <c r="AB212" s="4" t="s">
        <v>384</v>
      </c>
      <c r="AC212" s="4"/>
      <c r="AD212" s="4" t="s">
        <v>416</v>
      </c>
      <c r="AE212" s="4" t="s">
        <v>417</v>
      </c>
      <c r="AF212" s="4"/>
      <c r="AG212" s="4"/>
      <c r="AH212" s="4"/>
      <c r="AU212" s="22" t="e">
        <f t="shared" si="13"/>
        <v>#DIV/0!</v>
      </c>
      <c r="AV212" s="11" t="s">
        <v>166</v>
      </c>
      <c r="AW212" s="31">
        <v>515.15053640932001</v>
      </c>
      <c r="AX212" s="31">
        <v>4.6232614467417001E-3</v>
      </c>
      <c r="AY212" s="11"/>
      <c r="AZ212" s="11"/>
      <c r="BA212" s="11"/>
      <c r="BB212" s="11">
        <v>75</v>
      </c>
      <c r="BK212" s="23" t="s">
        <v>163</v>
      </c>
      <c r="BL212" s="11" t="s">
        <v>422</v>
      </c>
    </row>
    <row r="213" spans="2:64" ht="15.6" x14ac:dyDescent="0.3">
      <c r="B213" s="11" t="s">
        <v>168</v>
      </c>
      <c r="C213" s="4" t="s">
        <v>169</v>
      </c>
      <c r="D213" s="4" t="s">
        <v>265</v>
      </c>
      <c r="E213" s="4"/>
      <c r="F213" s="55" t="s">
        <v>262</v>
      </c>
      <c r="G213" s="4">
        <v>1023.654</v>
      </c>
      <c r="H213" s="48">
        <f t="shared" si="11"/>
        <v>167.14632092484374</v>
      </c>
      <c r="I213" s="4" t="s">
        <v>267</v>
      </c>
      <c r="J213" s="4">
        <v>171.1</v>
      </c>
      <c r="K213" s="4">
        <v>2.4500000000000002</v>
      </c>
      <c r="L213" s="4">
        <f t="shared" si="12"/>
        <v>69.836734693877546</v>
      </c>
      <c r="M213" s="4" t="s">
        <v>261</v>
      </c>
      <c r="N213" s="4"/>
      <c r="O213" s="4" t="s">
        <v>266</v>
      </c>
      <c r="P213" s="4"/>
      <c r="Q213" s="4" t="s">
        <v>407</v>
      </c>
      <c r="R213" s="4" t="s">
        <v>408</v>
      </c>
      <c r="S213" s="4"/>
      <c r="T213" s="4" t="s">
        <v>409</v>
      </c>
      <c r="U213" s="4" t="s">
        <v>410</v>
      </c>
      <c r="V213" s="4" t="s">
        <v>411</v>
      </c>
      <c r="W213" s="4" t="s">
        <v>413</v>
      </c>
      <c r="X213" s="4" t="s">
        <v>414</v>
      </c>
      <c r="Y213" s="4" t="s">
        <v>415</v>
      </c>
      <c r="Z213" s="4">
        <v>318</v>
      </c>
      <c r="AA213" s="4"/>
      <c r="AB213" s="4" t="s">
        <v>384</v>
      </c>
      <c r="AC213" s="4"/>
      <c r="AD213" s="4" t="s">
        <v>416</v>
      </c>
      <c r="AE213" s="4" t="s">
        <v>417</v>
      </c>
      <c r="AF213" s="4"/>
      <c r="AG213" s="4"/>
      <c r="AH213" s="4"/>
      <c r="AU213" s="22" t="e">
        <f t="shared" si="13"/>
        <v>#DIV/0!</v>
      </c>
      <c r="AV213" s="11" t="s">
        <v>166</v>
      </c>
      <c r="AW213" s="31">
        <v>520.05512755108805</v>
      </c>
      <c r="AX213" s="31">
        <v>4.4088964303372301E-3</v>
      </c>
      <c r="AY213" s="11"/>
      <c r="AZ213" s="11"/>
      <c r="BA213" s="11"/>
      <c r="BB213" s="11">
        <v>75</v>
      </c>
      <c r="BK213" s="23" t="s">
        <v>163</v>
      </c>
      <c r="BL213" s="11" t="s">
        <v>422</v>
      </c>
    </row>
    <row r="214" spans="2:64" ht="15.6" x14ac:dyDescent="0.3">
      <c r="B214" s="11" t="s">
        <v>168</v>
      </c>
      <c r="C214" s="4" t="s">
        <v>169</v>
      </c>
      <c r="D214" s="4" t="s">
        <v>265</v>
      </c>
      <c r="E214" s="4"/>
      <c r="F214" s="55" t="s">
        <v>262</v>
      </c>
      <c r="G214" s="4">
        <v>1023.654</v>
      </c>
      <c r="H214" s="48">
        <f t="shared" si="11"/>
        <v>167.14632092484374</v>
      </c>
      <c r="I214" s="4" t="s">
        <v>267</v>
      </c>
      <c r="J214" s="4">
        <v>171.1</v>
      </c>
      <c r="K214" s="4">
        <v>2.4500000000000002</v>
      </c>
      <c r="L214" s="4">
        <f t="shared" si="12"/>
        <v>69.836734693877546</v>
      </c>
      <c r="M214" s="4" t="s">
        <v>261</v>
      </c>
      <c r="N214" s="4"/>
      <c r="O214" s="4" t="s">
        <v>266</v>
      </c>
      <c r="P214" s="4"/>
      <c r="Q214" s="4" t="s">
        <v>407</v>
      </c>
      <c r="R214" s="4" t="s">
        <v>408</v>
      </c>
      <c r="S214" s="4"/>
      <c r="T214" s="4" t="s">
        <v>409</v>
      </c>
      <c r="U214" s="4" t="s">
        <v>410</v>
      </c>
      <c r="V214" s="4" t="s">
        <v>411</v>
      </c>
      <c r="W214" s="4" t="s">
        <v>413</v>
      </c>
      <c r="X214" s="4" t="s">
        <v>414</v>
      </c>
      <c r="Y214" s="4" t="s">
        <v>415</v>
      </c>
      <c r="Z214" s="4">
        <v>318</v>
      </c>
      <c r="AA214" s="4"/>
      <c r="AB214" s="4" t="s">
        <v>384</v>
      </c>
      <c r="AC214" s="4"/>
      <c r="AD214" s="4" t="s">
        <v>416</v>
      </c>
      <c r="AE214" s="4" t="s">
        <v>417</v>
      </c>
      <c r="AF214" s="4"/>
      <c r="AG214" s="4"/>
      <c r="AH214" s="4"/>
      <c r="AU214" s="22" t="e">
        <f t="shared" si="13"/>
        <v>#DIV/0!</v>
      </c>
      <c r="AV214" s="11" t="s">
        <v>166</v>
      </c>
      <c r="AW214" s="31">
        <v>520.05512755108805</v>
      </c>
      <c r="AX214" s="31">
        <v>4.4615373810823599E-3</v>
      </c>
      <c r="AY214" s="11"/>
      <c r="AZ214" s="11"/>
      <c r="BA214" s="11"/>
      <c r="BB214" s="11">
        <v>75</v>
      </c>
      <c r="BK214" s="23" t="s">
        <v>163</v>
      </c>
      <c r="BL214" s="11" t="s">
        <v>422</v>
      </c>
    </row>
    <row r="215" spans="2:64" ht="15.6" x14ac:dyDescent="0.3">
      <c r="B215" s="11" t="s">
        <v>168</v>
      </c>
      <c r="C215" s="4" t="s">
        <v>169</v>
      </c>
      <c r="D215" s="4" t="s">
        <v>265</v>
      </c>
      <c r="E215" s="4"/>
      <c r="F215" s="55" t="s">
        <v>262</v>
      </c>
      <c r="G215" s="4">
        <v>1023.654</v>
      </c>
      <c r="H215" s="48">
        <f t="shared" si="11"/>
        <v>167.14632092484374</v>
      </c>
      <c r="I215" s="4" t="s">
        <v>267</v>
      </c>
      <c r="J215" s="4">
        <v>171.1</v>
      </c>
      <c r="K215" s="4">
        <v>2.4500000000000002</v>
      </c>
      <c r="L215" s="4">
        <f t="shared" si="12"/>
        <v>69.836734693877546</v>
      </c>
      <c r="M215" s="4" t="s">
        <v>261</v>
      </c>
      <c r="N215" s="4"/>
      <c r="O215" s="4" t="s">
        <v>266</v>
      </c>
      <c r="P215" s="4"/>
      <c r="Q215" s="4" t="s">
        <v>407</v>
      </c>
      <c r="R215" s="4" t="s">
        <v>408</v>
      </c>
      <c r="S215" s="4"/>
      <c r="T215" s="4" t="s">
        <v>409</v>
      </c>
      <c r="U215" s="4" t="s">
        <v>410</v>
      </c>
      <c r="V215" s="4" t="s">
        <v>411</v>
      </c>
      <c r="W215" s="4" t="s">
        <v>413</v>
      </c>
      <c r="X215" s="4" t="s">
        <v>414</v>
      </c>
      <c r="Y215" s="4" t="s">
        <v>415</v>
      </c>
      <c r="Z215" s="4">
        <v>318</v>
      </c>
      <c r="AA215" s="4"/>
      <c r="AB215" s="4" t="s">
        <v>384</v>
      </c>
      <c r="AC215" s="4"/>
      <c r="AD215" s="4" t="s">
        <v>416</v>
      </c>
      <c r="AE215" s="4" t="s">
        <v>417</v>
      </c>
      <c r="AF215" s="4"/>
      <c r="AG215" s="4"/>
      <c r="AH215" s="4"/>
      <c r="AU215" s="22" t="e">
        <f t="shared" si="13"/>
        <v>#DIV/0!</v>
      </c>
      <c r="AV215" s="11" t="s">
        <v>166</v>
      </c>
      <c r="AW215" s="31">
        <v>525.00641380926902</v>
      </c>
      <c r="AX215" s="31">
        <v>4.20447079564142E-3</v>
      </c>
      <c r="AY215" s="11"/>
      <c r="AZ215" s="11"/>
      <c r="BA215" s="11"/>
      <c r="BB215" s="11">
        <v>75</v>
      </c>
      <c r="BK215" s="23" t="s">
        <v>163</v>
      </c>
      <c r="BL215" s="11" t="s">
        <v>422</v>
      </c>
    </row>
    <row r="216" spans="2:64" ht="15.6" x14ac:dyDescent="0.3">
      <c r="B216" s="11" t="s">
        <v>168</v>
      </c>
      <c r="C216" s="4" t="s">
        <v>169</v>
      </c>
      <c r="D216" s="4" t="s">
        <v>265</v>
      </c>
      <c r="E216" s="4"/>
      <c r="F216" s="55" t="s">
        <v>262</v>
      </c>
      <c r="G216" s="4">
        <v>1023.654</v>
      </c>
      <c r="H216" s="48">
        <f t="shared" si="11"/>
        <v>167.14632092484374</v>
      </c>
      <c r="I216" s="4" t="s">
        <v>267</v>
      </c>
      <c r="J216" s="4">
        <v>171.1</v>
      </c>
      <c r="K216" s="4">
        <v>2.4500000000000002</v>
      </c>
      <c r="L216" s="4">
        <f t="shared" si="12"/>
        <v>69.836734693877546</v>
      </c>
      <c r="M216" s="4" t="s">
        <v>261</v>
      </c>
      <c r="N216" s="4"/>
      <c r="O216" s="4" t="s">
        <v>266</v>
      </c>
      <c r="P216" s="4"/>
      <c r="Q216" s="4" t="s">
        <v>407</v>
      </c>
      <c r="R216" s="4" t="s">
        <v>408</v>
      </c>
      <c r="S216" s="4"/>
      <c r="T216" s="4" t="s">
        <v>409</v>
      </c>
      <c r="U216" s="4" t="s">
        <v>410</v>
      </c>
      <c r="V216" s="4" t="s">
        <v>411</v>
      </c>
      <c r="W216" s="4" t="s">
        <v>413</v>
      </c>
      <c r="X216" s="4" t="s">
        <v>414</v>
      </c>
      <c r="Y216" s="4" t="s">
        <v>415</v>
      </c>
      <c r="Z216" s="4">
        <v>318</v>
      </c>
      <c r="AA216" s="4"/>
      <c r="AB216" s="4" t="s">
        <v>384</v>
      </c>
      <c r="AC216" s="4"/>
      <c r="AD216" s="4" t="s">
        <v>416</v>
      </c>
      <c r="AE216" s="4" t="s">
        <v>417</v>
      </c>
      <c r="AF216" s="4"/>
      <c r="AG216" s="4"/>
      <c r="AH216" s="4"/>
      <c r="AU216" s="22" t="e">
        <f t="shared" si="13"/>
        <v>#DIV/0!</v>
      </c>
      <c r="AV216" s="11" t="s">
        <v>166</v>
      </c>
      <c r="AW216" s="31">
        <v>530.00483975382394</v>
      </c>
      <c r="AX216" s="31">
        <v>4.0573962425688604E-3</v>
      </c>
      <c r="AY216" s="11"/>
      <c r="AZ216" s="11"/>
      <c r="BA216" s="11"/>
      <c r="BB216" s="11">
        <v>75</v>
      </c>
      <c r="BK216" s="23" t="s">
        <v>163</v>
      </c>
      <c r="BL216" s="11" t="s">
        <v>422</v>
      </c>
    </row>
    <row r="217" spans="2:64" ht="15.6" x14ac:dyDescent="0.3">
      <c r="B217" s="11" t="s">
        <v>168</v>
      </c>
      <c r="C217" s="4" t="s">
        <v>169</v>
      </c>
      <c r="D217" s="4" t="s">
        <v>265</v>
      </c>
      <c r="E217" s="4"/>
      <c r="F217" s="55" t="s">
        <v>262</v>
      </c>
      <c r="G217" s="4">
        <v>1023.654</v>
      </c>
      <c r="H217" s="48">
        <f t="shared" si="11"/>
        <v>167.14632092484374</v>
      </c>
      <c r="I217" s="4" t="s">
        <v>267</v>
      </c>
      <c r="J217" s="4">
        <v>171.1</v>
      </c>
      <c r="K217" s="4">
        <v>2.4500000000000002</v>
      </c>
      <c r="L217" s="4">
        <f t="shared" si="12"/>
        <v>69.836734693877546</v>
      </c>
      <c r="M217" s="4" t="s">
        <v>261</v>
      </c>
      <c r="N217" s="4"/>
      <c r="O217" s="4" t="s">
        <v>266</v>
      </c>
      <c r="P217" s="4"/>
      <c r="Q217" s="4" t="s">
        <v>407</v>
      </c>
      <c r="R217" s="4" t="s">
        <v>408</v>
      </c>
      <c r="S217" s="4"/>
      <c r="T217" s="4" t="s">
        <v>409</v>
      </c>
      <c r="U217" s="4" t="s">
        <v>410</v>
      </c>
      <c r="V217" s="4" t="s">
        <v>411</v>
      </c>
      <c r="W217" s="4" t="s">
        <v>413</v>
      </c>
      <c r="X217" s="4" t="s">
        <v>414</v>
      </c>
      <c r="Y217" s="4" t="s">
        <v>415</v>
      </c>
      <c r="Z217" s="4">
        <v>318</v>
      </c>
      <c r="AA217" s="4"/>
      <c r="AB217" s="4" t="s">
        <v>384</v>
      </c>
      <c r="AC217" s="4"/>
      <c r="AD217" s="4" t="s">
        <v>416</v>
      </c>
      <c r="AE217" s="4" t="s">
        <v>417</v>
      </c>
      <c r="AF217" s="4"/>
      <c r="AG217" s="4"/>
      <c r="AH217" s="4"/>
      <c r="AU217" s="22" t="e">
        <f t="shared" si="13"/>
        <v>#DIV/0!</v>
      </c>
      <c r="AV217" s="11" t="s">
        <v>166</v>
      </c>
      <c r="AW217" s="31">
        <v>530.00483975382394</v>
      </c>
      <c r="AX217" s="31">
        <v>3.9622159720901096E-3</v>
      </c>
      <c r="AY217" s="11"/>
      <c r="AZ217" s="11"/>
      <c r="BA217" s="11"/>
      <c r="BB217" s="11">
        <v>75</v>
      </c>
      <c r="BK217" s="23" t="s">
        <v>163</v>
      </c>
      <c r="BL217" s="11" t="s">
        <v>422</v>
      </c>
    </row>
    <row r="218" spans="2:64" ht="15.6" x14ac:dyDescent="0.3">
      <c r="B218" s="11" t="s">
        <v>168</v>
      </c>
      <c r="C218" s="4" t="s">
        <v>169</v>
      </c>
      <c r="D218" s="4" t="s">
        <v>265</v>
      </c>
      <c r="E218" s="4"/>
      <c r="F218" s="55" t="s">
        <v>262</v>
      </c>
      <c r="G218" s="4">
        <v>1023.654</v>
      </c>
      <c r="H218" s="48">
        <f t="shared" si="11"/>
        <v>167.14632092484374</v>
      </c>
      <c r="I218" s="4" t="s">
        <v>267</v>
      </c>
      <c r="J218" s="4">
        <v>171.1</v>
      </c>
      <c r="K218" s="4">
        <v>2.4500000000000002</v>
      </c>
      <c r="L218" s="4">
        <f t="shared" si="12"/>
        <v>69.836734693877546</v>
      </c>
      <c r="M218" s="4" t="s">
        <v>261</v>
      </c>
      <c r="N218" s="4"/>
      <c r="O218" s="4" t="s">
        <v>266</v>
      </c>
      <c r="P218" s="4"/>
      <c r="Q218" s="4" t="s">
        <v>407</v>
      </c>
      <c r="R218" s="4" t="s">
        <v>408</v>
      </c>
      <c r="S218" s="4"/>
      <c r="T218" s="4" t="s">
        <v>409</v>
      </c>
      <c r="U218" s="4" t="s">
        <v>410</v>
      </c>
      <c r="V218" s="4" t="s">
        <v>411</v>
      </c>
      <c r="W218" s="4" t="s">
        <v>413</v>
      </c>
      <c r="X218" s="4" t="s">
        <v>414</v>
      </c>
      <c r="Y218" s="4" t="s">
        <v>415</v>
      </c>
      <c r="Z218" s="4">
        <v>318</v>
      </c>
      <c r="AA218" s="4"/>
      <c r="AB218" s="4" t="s">
        <v>384</v>
      </c>
      <c r="AC218" s="4"/>
      <c r="AD218" s="4" t="s">
        <v>416</v>
      </c>
      <c r="AE218" s="4" t="s">
        <v>417</v>
      </c>
      <c r="AF218" s="4"/>
      <c r="AG218" s="4"/>
      <c r="AH218" s="4"/>
      <c r="AU218" s="22" t="e">
        <f t="shared" si="13"/>
        <v>#DIV/0!</v>
      </c>
      <c r="AV218" s="11" t="s">
        <v>166</v>
      </c>
      <c r="AW218" s="31">
        <v>535.05085418733199</v>
      </c>
      <c r="AX218" s="31">
        <v>3.8692684842499599E-3</v>
      </c>
      <c r="AY218" s="11"/>
      <c r="AZ218" s="11"/>
      <c r="BA218" s="11"/>
      <c r="BB218" s="11">
        <v>75</v>
      </c>
      <c r="BK218" s="23" t="s">
        <v>163</v>
      </c>
      <c r="BL218" s="11" t="s">
        <v>422</v>
      </c>
    </row>
    <row r="219" spans="2:64" ht="15.6" x14ac:dyDescent="0.3">
      <c r="B219" s="11" t="s">
        <v>168</v>
      </c>
      <c r="C219" s="4" t="s">
        <v>169</v>
      </c>
      <c r="D219" s="4" t="s">
        <v>265</v>
      </c>
      <c r="E219" s="4"/>
      <c r="F219" s="55" t="s">
        <v>262</v>
      </c>
      <c r="G219" s="4">
        <v>1023.654</v>
      </c>
      <c r="H219" s="48">
        <f t="shared" si="11"/>
        <v>167.14632092484374</v>
      </c>
      <c r="I219" s="4" t="s">
        <v>267</v>
      </c>
      <c r="J219" s="4">
        <v>171.1</v>
      </c>
      <c r="K219" s="4">
        <v>2.4500000000000002</v>
      </c>
      <c r="L219" s="4">
        <f t="shared" si="12"/>
        <v>69.836734693877546</v>
      </c>
      <c r="M219" s="4" t="s">
        <v>261</v>
      </c>
      <c r="N219" s="4"/>
      <c r="O219" s="4" t="s">
        <v>266</v>
      </c>
      <c r="P219" s="4"/>
      <c r="Q219" s="4" t="s">
        <v>407</v>
      </c>
      <c r="R219" s="4" t="s">
        <v>408</v>
      </c>
      <c r="S219" s="4"/>
      <c r="T219" s="4" t="s">
        <v>409</v>
      </c>
      <c r="U219" s="4" t="s">
        <v>410</v>
      </c>
      <c r="V219" s="4" t="s">
        <v>411</v>
      </c>
      <c r="W219" s="4" t="s">
        <v>413</v>
      </c>
      <c r="X219" s="4" t="s">
        <v>414</v>
      </c>
      <c r="Y219" s="4" t="s">
        <v>415</v>
      </c>
      <c r="Z219" s="4">
        <v>318</v>
      </c>
      <c r="AA219" s="4"/>
      <c r="AB219" s="4" t="s">
        <v>384</v>
      </c>
      <c r="AC219" s="4"/>
      <c r="AD219" s="4" t="s">
        <v>416</v>
      </c>
      <c r="AE219" s="4" t="s">
        <v>417</v>
      </c>
      <c r="AF219" s="4"/>
      <c r="AG219" s="4"/>
      <c r="AH219" s="4"/>
      <c r="AU219" s="22" t="e">
        <f t="shared" si="13"/>
        <v>#DIV/0!</v>
      </c>
      <c r="AV219" s="11" t="s">
        <v>166</v>
      </c>
      <c r="AW219" s="31">
        <v>540.14491018528099</v>
      </c>
      <c r="AX219" s="31">
        <v>3.7785014014045698E-3</v>
      </c>
      <c r="AY219" s="11"/>
      <c r="AZ219" s="11"/>
      <c r="BA219" s="11"/>
      <c r="BB219" s="11">
        <v>75</v>
      </c>
      <c r="BK219" s="23" t="s">
        <v>163</v>
      </c>
      <c r="BL219" s="11" t="s">
        <v>422</v>
      </c>
    </row>
    <row r="220" spans="2:64" ht="15.6" x14ac:dyDescent="0.3">
      <c r="B220" s="11" t="s">
        <v>168</v>
      </c>
      <c r="C220" s="4" t="s">
        <v>169</v>
      </c>
      <c r="D220" s="4" t="s">
        <v>265</v>
      </c>
      <c r="E220" s="4"/>
      <c r="F220" s="55" t="s">
        <v>262</v>
      </c>
      <c r="G220" s="4">
        <v>1023.654</v>
      </c>
      <c r="H220" s="48">
        <f t="shared" si="11"/>
        <v>167.14632092484374</v>
      </c>
      <c r="I220" s="4" t="s">
        <v>267</v>
      </c>
      <c r="J220" s="4">
        <v>171.1</v>
      </c>
      <c r="K220" s="4">
        <v>2.4500000000000002</v>
      </c>
      <c r="L220" s="4">
        <f t="shared" si="12"/>
        <v>69.836734693877546</v>
      </c>
      <c r="M220" s="4" t="s">
        <v>261</v>
      </c>
      <c r="N220" s="4"/>
      <c r="O220" s="4" t="s">
        <v>266</v>
      </c>
      <c r="P220" s="4"/>
      <c r="Q220" s="4" t="s">
        <v>407</v>
      </c>
      <c r="R220" s="4" t="s">
        <v>408</v>
      </c>
      <c r="S220" s="4"/>
      <c r="T220" s="4" t="s">
        <v>409</v>
      </c>
      <c r="U220" s="4" t="s">
        <v>410</v>
      </c>
      <c r="V220" s="4" t="s">
        <v>411</v>
      </c>
      <c r="W220" s="4" t="s">
        <v>413</v>
      </c>
      <c r="X220" s="4" t="s">
        <v>414</v>
      </c>
      <c r="Y220" s="4" t="s">
        <v>415</v>
      </c>
      <c r="Z220" s="4">
        <v>318</v>
      </c>
      <c r="AA220" s="4"/>
      <c r="AB220" s="4" t="s">
        <v>384</v>
      </c>
      <c r="AC220" s="4"/>
      <c r="AD220" s="4" t="s">
        <v>416</v>
      </c>
      <c r="AE220" s="4" t="s">
        <v>417</v>
      </c>
      <c r="AF220" s="4"/>
      <c r="AG220" s="4"/>
      <c r="AH220" s="4"/>
      <c r="AU220" s="22" t="e">
        <f t="shared" si="13"/>
        <v>#DIV/0!</v>
      </c>
      <c r="AV220" s="11" t="s">
        <v>166</v>
      </c>
      <c r="AW220" s="31">
        <v>540.14491018528099</v>
      </c>
      <c r="AX220" s="31">
        <v>3.7339194806063399E-3</v>
      </c>
      <c r="AY220" s="11"/>
      <c r="AZ220" s="11"/>
      <c r="BA220" s="11"/>
      <c r="BB220" s="11">
        <v>75</v>
      </c>
      <c r="BK220" s="23" t="s">
        <v>163</v>
      </c>
      <c r="BL220" s="11" t="s">
        <v>422</v>
      </c>
    </row>
    <row r="221" spans="2:64" ht="15.6" x14ac:dyDescent="0.3">
      <c r="B221" s="11" t="s">
        <v>168</v>
      </c>
      <c r="C221" s="4" t="s">
        <v>169</v>
      </c>
      <c r="D221" s="4" t="s">
        <v>265</v>
      </c>
      <c r="E221" s="4"/>
      <c r="F221" s="55" t="s">
        <v>262</v>
      </c>
      <c r="G221" s="4">
        <v>1023.654</v>
      </c>
      <c r="H221" s="48">
        <f t="shared" si="11"/>
        <v>167.14632092484374</v>
      </c>
      <c r="I221" s="4" t="s">
        <v>267</v>
      </c>
      <c r="J221" s="4">
        <v>171.1</v>
      </c>
      <c r="K221" s="4">
        <v>2.4500000000000002</v>
      </c>
      <c r="L221" s="4">
        <f t="shared" si="12"/>
        <v>69.836734693877546</v>
      </c>
      <c r="M221" s="4" t="s">
        <v>261</v>
      </c>
      <c r="N221" s="4"/>
      <c r="O221" s="4" t="s">
        <v>266</v>
      </c>
      <c r="P221" s="4"/>
      <c r="Q221" s="4" t="s">
        <v>407</v>
      </c>
      <c r="R221" s="4" t="s">
        <v>408</v>
      </c>
      <c r="S221" s="4"/>
      <c r="T221" s="4" t="s">
        <v>409</v>
      </c>
      <c r="U221" s="4" t="s">
        <v>410</v>
      </c>
      <c r="V221" s="4" t="s">
        <v>411</v>
      </c>
      <c r="W221" s="4" t="s">
        <v>413</v>
      </c>
      <c r="X221" s="4" t="s">
        <v>414</v>
      </c>
      <c r="Y221" s="4" t="s">
        <v>415</v>
      </c>
      <c r="Z221" s="4">
        <v>318</v>
      </c>
      <c r="AA221" s="4"/>
      <c r="AB221" s="4" t="s">
        <v>384</v>
      </c>
      <c r="AC221" s="4"/>
      <c r="AD221" s="4" t="s">
        <v>416</v>
      </c>
      <c r="AE221" s="4" t="s">
        <v>417</v>
      </c>
      <c r="AF221" s="4"/>
      <c r="AG221" s="4"/>
      <c r="AH221" s="4"/>
      <c r="AU221" s="22" t="e">
        <f t="shared" si="13"/>
        <v>#DIV/0!</v>
      </c>
      <c r="AV221" s="11" t="s">
        <v>166</v>
      </c>
      <c r="AW221" s="31">
        <v>545.28746513675401</v>
      </c>
      <c r="AX221" s="31">
        <v>3.6463274770496398E-3</v>
      </c>
      <c r="AY221" s="11"/>
      <c r="AZ221" s="11"/>
      <c r="BA221" s="11"/>
      <c r="BB221" s="11">
        <v>75</v>
      </c>
      <c r="BK221" s="23" t="s">
        <v>163</v>
      </c>
      <c r="BL221" s="11" t="s">
        <v>422</v>
      </c>
    </row>
    <row r="222" spans="2:64" ht="15.6" x14ac:dyDescent="0.3">
      <c r="B222" s="11" t="s">
        <v>168</v>
      </c>
      <c r="C222" s="4" t="s">
        <v>169</v>
      </c>
      <c r="D222" s="4" t="s">
        <v>265</v>
      </c>
      <c r="E222" s="4"/>
      <c r="F222" s="55" t="s">
        <v>262</v>
      </c>
      <c r="G222" s="4">
        <v>1023.654</v>
      </c>
      <c r="H222" s="48">
        <f t="shared" si="11"/>
        <v>167.14632092484374</v>
      </c>
      <c r="I222" s="4" t="s">
        <v>267</v>
      </c>
      <c r="J222" s="4">
        <v>171.1</v>
      </c>
      <c r="K222" s="4">
        <v>2.4500000000000002</v>
      </c>
      <c r="L222" s="4">
        <f t="shared" si="12"/>
        <v>69.836734693877546</v>
      </c>
      <c r="M222" s="4" t="s">
        <v>261</v>
      </c>
      <c r="N222" s="4"/>
      <c r="O222" s="4" t="s">
        <v>266</v>
      </c>
      <c r="P222" s="4"/>
      <c r="Q222" s="4" t="s">
        <v>407</v>
      </c>
      <c r="R222" s="4" t="s">
        <v>408</v>
      </c>
      <c r="S222" s="4"/>
      <c r="T222" s="4" t="s">
        <v>409</v>
      </c>
      <c r="U222" s="4" t="s">
        <v>410</v>
      </c>
      <c r="V222" s="4" t="s">
        <v>411</v>
      </c>
      <c r="W222" s="4" t="s">
        <v>413</v>
      </c>
      <c r="X222" s="4" t="s">
        <v>414</v>
      </c>
      <c r="Y222" s="4" t="s">
        <v>415</v>
      </c>
      <c r="Z222" s="4">
        <v>318</v>
      </c>
      <c r="AA222" s="4"/>
      <c r="AB222" s="4" t="s">
        <v>384</v>
      </c>
      <c r="AC222" s="4"/>
      <c r="AD222" s="4" t="s">
        <v>416</v>
      </c>
      <c r="AE222" s="4" t="s">
        <v>417</v>
      </c>
      <c r="AF222" s="4"/>
      <c r="AG222" s="4"/>
      <c r="AH222" s="4"/>
      <c r="AU222" s="22" t="e">
        <f t="shared" si="13"/>
        <v>#DIV/0!</v>
      </c>
      <c r="AV222" s="11" t="s">
        <v>166</v>
      </c>
      <c r="AW222" s="31">
        <v>545.28746513675401</v>
      </c>
      <c r="AX222" s="31">
        <v>3.5607902470698601E-3</v>
      </c>
      <c r="AY222" s="11"/>
      <c r="AZ222" s="11"/>
      <c r="BA222" s="11"/>
      <c r="BB222" s="11">
        <v>75</v>
      </c>
      <c r="BK222" s="23" t="s">
        <v>163</v>
      </c>
      <c r="BL222" s="11" t="s">
        <v>422</v>
      </c>
    </row>
    <row r="223" spans="2:64" ht="15.6" x14ac:dyDescent="0.3">
      <c r="B223" s="11" t="s">
        <v>168</v>
      </c>
      <c r="C223" s="4" t="s">
        <v>169</v>
      </c>
      <c r="D223" s="4" t="s">
        <v>265</v>
      </c>
      <c r="E223" s="4"/>
      <c r="F223" s="55" t="s">
        <v>262</v>
      </c>
      <c r="G223" s="4">
        <v>1023.654</v>
      </c>
      <c r="H223" s="48">
        <f t="shared" ref="H223:H286" si="14">((J223)*1000)/G223</f>
        <v>167.14632092484374</v>
      </c>
      <c r="I223" s="4" t="s">
        <v>267</v>
      </c>
      <c r="J223" s="4">
        <v>171.1</v>
      </c>
      <c r="K223" s="4">
        <v>2.4500000000000002</v>
      </c>
      <c r="L223" s="4">
        <f t="shared" si="12"/>
        <v>69.836734693877546</v>
      </c>
      <c r="M223" s="4" t="s">
        <v>261</v>
      </c>
      <c r="N223" s="4"/>
      <c r="O223" s="4" t="s">
        <v>266</v>
      </c>
      <c r="P223" s="4"/>
      <c r="Q223" s="4" t="s">
        <v>407</v>
      </c>
      <c r="R223" s="4" t="s">
        <v>408</v>
      </c>
      <c r="S223" s="4"/>
      <c r="T223" s="4" t="s">
        <v>409</v>
      </c>
      <c r="U223" s="4" t="s">
        <v>410</v>
      </c>
      <c r="V223" s="4" t="s">
        <v>411</v>
      </c>
      <c r="W223" s="4" t="s">
        <v>413</v>
      </c>
      <c r="X223" s="4" t="s">
        <v>414</v>
      </c>
      <c r="Y223" s="4" t="s">
        <v>415</v>
      </c>
      <c r="Z223" s="4">
        <v>318</v>
      </c>
      <c r="AA223" s="4"/>
      <c r="AB223" s="4" t="s">
        <v>384</v>
      </c>
      <c r="AC223" s="4"/>
      <c r="AD223" s="4" t="s">
        <v>416</v>
      </c>
      <c r="AE223" s="4" t="s">
        <v>417</v>
      </c>
      <c r="AF223" s="4"/>
      <c r="AG223" s="4"/>
      <c r="AH223" s="4"/>
      <c r="AU223" s="22" t="e">
        <f t="shared" si="13"/>
        <v>#DIV/0!</v>
      </c>
      <c r="AV223" s="11" t="s">
        <v>166</v>
      </c>
      <c r="AW223" s="31">
        <v>550.47898078549599</v>
      </c>
      <c r="AX223" s="31">
        <v>3.5187770646174302E-3</v>
      </c>
      <c r="AY223" s="11"/>
      <c r="AZ223" s="11"/>
      <c r="BA223" s="11"/>
      <c r="BB223" s="11">
        <v>75</v>
      </c>
      <c r="BK223" s="23" t="s">
        <v>163</v>
      </c>
      <c r="BL223" s="11" t="s">
        <v>422</v>
      </c>
    </row>
    <row r="224" spans="2:64" ht="15.6" x14ac:dyDescent="0.3">
      <c r="B224" s="11" t="s">
        <v>168</v>
      </c>
      <c r="C224" s="4" t="s">
        <v>169</v>
      </c>
      <c r="D224" s="4" t="s">
        <v>265</v>
      </c>
      <c r="E224" s="4"/>
      <c r="F224" s="55" t="s">
        <v>262</v>
      </c>
      <c r="G224" s="4">
        <v>1023.654</v>
      </c>
      <c r="H224" s="48">
        <f t="shared" si="14"/>
        <v>167.14632092484374</v>
      </c>
      <c r="I224" s="4" t="s">
        <v>267</v>
      </c>
      <c r="J224" s="4">
        <v>171.1</v>
      </c>
      <c r="K224" s="4">
        <v>2.4500000000000002</v>
      </c>
      <c r="L224" s="4">
        <f t="shared" si="12"/>
        <v>69.836734693877546</v>
      </c>
      <c r="M224" s="4" t="s">
        <v>261</v>
      </c>
      <c r="N224" s="4"/>
      <c r="O224" s="4" t="s">
        <v>266</v>
      </c>
      <c r="P224" s="4"/>
      <c r="Q224" s="4" t="s">
        <v>407</v>
      </c>
      <c r="R224" s="4" t="s">
        <v>408</v>
      </c>
      <c r="S224" s="4"/>
      <c r="T224" s="4" t="s">
        <v>409</v>
      </c>
      <c r="U224" s="4" t="s">
        <v>410</v>
      </c>
      <c r="V224" s="4" t="s">
        <v>411</v>
      </c>
      <c r="W224" s="4" t="s">
        <v>413</v>
      </c>
      <c r="X224" s="4" t="s">
        <v>414</v>
      </c>
      <c r="Y224" s="4" t="s">
        <v>415</v>
      </c>
      <c r="Z224" s="4">
        <v>318</v>
      </c>
      <c r="AA224" s="4"/>
      <c r="AB224" s="4" t="s">
        <v>384</v>
      </c>
      <c r="AC224" s="4"/>
      <c r="AD224" s="4" t="s">
        <v>416</v>
      </c>
      <c r="AE224" s="4" t="s">
        <v>417</v>
      </c>
      <c r="AF224" s="4"/>
      <c r="AG224" s="4"/>
      <c r="AH224" s="4"/>
      <c r="AU224" s="22" t="e">
        <f t="shared" si="13"/>
        <v>#DIV/0!</v>
      </c>
      <c r="AV224" s="11" t="s">
        <v>166</v>
      </c>
      <c r="AW224" s="31">
        <v>550.47898078549599</v>
      </c>
      <c r="AX224" s="31">
        <v>3.4362319709805599E-3</v>
      </c>
      <c r="AY224" s="11"/>
      <c r="AZ224" s="11"/>
      <c r="BA224" s="11"/>
      <c r="BB224" s="11">
        <v>75</v>
      </c>
      <c r="BK224" s="23" t="s">
        <v>163</v>
      </c>
      <c r="BL224" s="11" t="s">
        <v>422</v>
      </c>
    </row>
    <row r="225" spans="2:64" ht="15.6" x14ac:dyDescent="0.3">
      <c r="B225" s="11" t="s">
        <v>168</v>
      </c>
      <c r="C225" s="4" t="s">
        <v>169</v>
      </c>
      <c r="D225" s="4" t="s">
        <v>265</v>
      </c>
      <c r="E225" s="4"/>
      <c r="F225" s="55" t="s">
        <v>262</v>
      </c>
      <c r="G225" s="4">
        <v>1023.654</v>
      </c>
      <c r="H225" s="48">
        <f t="shared" si="14"/>
        <v>167.14632092484374</v>
      </c>
      <c r="I225" s="4" t="s">
        <v>267</v>
      </c>
      <c r="J225" s="4">
        <v>171.1</v>
      </c>
      <c r="K225" s="4">
        <v>2.4500000000000002</v>
      </c>
      <c r="L225" s="4">
        <f t="shared" si="12"/>
        <v>69.836734693877546</v>
      </c>
      <c r="M225" s="4" t="s">
        <v>261</v>
      </c>
      <c r="N225" s="4"/>
      <c r="O225" s="4" t="s">
        <v>266</v>
      </c>
      <c r="P225" s="4"/>
      <c r="Q225" s="4" t="s">
        <v>407</v>
      </c>
      <c r="R225" s="4" t="s">
        <v>408</v>
      </c>
      <c r="S225" s="4"/>
      <c r="T225" s="4" t="s">
        <v>409</v>
      </c>
      <c r="U225" s="4" t="s">
        <v>410</v>
      </c>
      <c r="V225" s="4" t="s">
        <v>411</v>
      </c>
      <c r="W225" s="4" t="s">
        <v>413</v>
      </c>
      <c r="X225" s="4" t="s">
        <v>414</v>
      </c>
      <c r="Y225" s="4" t="s">
        <v>415</v>
      </c>
      <c r="Z225" s="4">
        <v>318</v>
      </c>
      <c r="AA225" s="4"/>
      <c r="AB225" s="4" t="s">
        <v>384</v>
      </c>
      <c r="AC225" s="4"/>
      <c r="AD225" s="4" t="s">
        <v>416</v>
      </c>
      <c r="AE225" s="4" t="s">
        <v>417</v>
      </c>
      <c r="AF225" s="4"/>
      <c r="AG225" s="4"/>
      <c r="AH225" s="4"/>
      <c r="AU225" s="22" t="e">
        <f t="shared" si="13"/>
        <v>#DIV/0!</v>
      </c>
      <c r="AV225" s="11" t="s">
        <v>166</v>
      </c>
      <c r="AW225" s="31">
        <v>550.47898078549599</v>
      </c>
      <c r="AX225" s="31">
        <v>3.3956884312804901E-3</v>
      </c>
      <c r="AY225" s="11"/>
      <c r="AZ225" s="11"/>
      <c r="BA225" s="11"/>
      <c r="BB225" s="11">
        <v>75</v>
      </c>
      <c r="BK225" s="23" t="s">
        <v>163</v>
      </c>
      <c r="BL225" s="11" t="s">
        <v>422</v>
      </c>
    </row>
    <row r="226" spans="2:64" ht="15.6" x14ac:dyDescent="0.3">
      <c r="B226" s="11" t="s">
        <v>168</v>
      </c>
      <c r="C226" s="4" t="s">
        <v>169</v>
      </c>
      <c r="D226" s="4" t="s">
        <v>265</v>
      </c>
      <c r="E226" s="4"/>
      <c r="F226" s="55" t="s">
        <v>262</v>
      </c>
      <c r="G226" s="4">
        <v>1023.654</v>
      </c>
      <c r="H226" s="48">
        <f t="shared" si="14"/>
        <v>167.14632092484374</v>
      </c>
      <c r="I226" s="4" t="s">
        <v>267</v>
      </c>
      <c r="J226" s="4">
        <v>171.1</v>
      </c>
      <c r="K226" s="4">
        <v>2.4500000000000002</v>
      </c>
      <c r="L226" s="4">
        <f t="shared" si="12"/>
        <v>69.836734693877546</v>
      </c>
      <c r="M226" s="4" t="s">
        <v>261</v>
      </c>
      <c r="N226" s="4"/>
      <c r="O226" s="4" t="s">
        <v>266</v>
      </c>
      <c r="P226" s="4"/>
      <c r="Q226" s="4" t="s">
        <v>407</v>
      </c>
      <c r="R226" s="4" t="s">
        <v>408</v>
      </c>
      <c r="S226" s="4"/>
      <c r="T226" s="4" t="s">
        <v>409</v>
      </c>
      <c r="U226" s="4" t="s">
        <v>410</v>
      </c>
      <c r="V226" s="4" t="s">
        <v>411</v>
      </c>
      <c r="W226" s="4" t="s">
        <v>413</v>
      </c>
      <c r="X226" s="4" t="s">
        <v>414</v>
      </c>
      <c r="Y226" s="4" t="s">
        <v>415</v>
      </c>
      <c r="Z226" s="4">
        <v>318</v>
      </c>
      <c r="AA226" s="4"/>
      <c r="AB226" s="4" t="s">
        <v>384</v>
      </c>
      <c r="AC226" s="4"/>
      <c r="AD226" s="4" t="s">
        <v>416</v>
      </c>
      <c r="AE226" s="4" t="s">
        <v>417</v>
      </c>
      <c r="AF226" s="4"/>
      <c r="AG226" s="4"/>
      <c r="AH226" s="4"/>
      <c r="AU226" s="22" t="e">
        <f t="shared" si="13"/>
        <v>#DIV/0!</v>
      </c>
      <c r="AV226" s="11" t="s">
        <v>166</v>
      </c>
      <c r="AW226" s="31">
        <v>555.71992327137298</v>
      </c>
      <c r="AX226" s="31">
        <v>3.3556232581823699E-3</v>
      </c>
      <c r="AY226" s="11"/>
      <c r="AZ226" s="11"/>
      <c r="BA226" s="11"/>
      <c r="BB226" s="11">
        <v>75</v>
      </c>
      <c r="BK226" s="23" t="s">
        <v>163</v>
      </c>
      <c r="BL226" s="11" t="s">
        <v>422</v>
      </c>
    </row>
    <row r="227" spans="2:64" ht="15.6" x14ac:dyDescent="0.3">
      <c r="B227" s="11" t="s">
        <v>168</v>
      </c>
      <c r="C227" s="4" t="s">
        <v>169</v>
      </c>
      <c r="D227" s="4" t="s">
        <v>265</v>
      </c>
      <c r="E227" s="4"/>
      <c r="F227" s="55" t="s">
        <v>262</v>
      </c>
      <c r="G227" s="4">
        <v>1023.654</v>
      </c>
      <c r="H227" s="48">
        <f t="shared" si="14"/>
        <v>167.14632092484374</v>
      </c>
      <c r="I227" s="4" t="s">
        <v>267</v>
      </c>
      <c r="J227" s="4">
        <v>171.1</v>
      </c>
      <c r="K227" s="4">
        <v>2.4500000000000002</v>
      </c>
      <c r="L227" s="4">
        <f t="shared" si="12"/>
        <v>69.836734693877546</v>
      </c>
      <c r="M227" s="4" t="s">
        <v>261</v>
      </c>
      <c r="N227" s="4"/>
      <c r="O227" s="4" t="s">
        <v>266</v>
      </c>
      <c r="P227" s="4"/>
      <c r="Q227" s="4" t="s">
        <v>407</v>
      </c>
      <c r="R227" s="4" t="s">
        <v>408</v>
      </c>
      <c r="S227" s="4"/>
      <c r="T227" s="4" t="s">
        <v>409</v>
      </c>
      <c r="U227" s="4" t="s">
        <v>410</v>
      </c>
      <c r="V227" s="4" t="s">
        <v>411</v>
      </c>
      <c r="W227" s="4" t="s">
        <v>413</v>
      </c>
      <c r="X227" s="4" t="s">
        <v>414</v>
      </c>
      <c r="Y227" s="4" t="s">
        <v>415</v>
      </c>
      <c r="Z227" s="4">
        <v>318</v>
      </c>
      <c r="AA227" s="4"/>
      <c r="AB227" s="4" t="s">
        <v>384</v>
      </c>
      <c r="AC227" s="4"/>
      <c r="AD227" s="4" t="s">
        <v>416</v>
      </c>
      <c r="AE227" s="4" t="s">
        <v>417</v>
      </c>
      <c r="AF227" s="4"/>
      <c r="AG227" s="4"/>
      <c r="AH227" s="4"/>
      <c r="AU227" s="22" t="e">
        <f t="shared" si="13"/>
        <v>#DIV/0!</v>
      </c>
      <c r="AV227" s="11" t="s">
        <v>166</v>
      </c>
      <c r="AW227" s="31">
        <v>561.01076317222703</v>
      </c>
      <c r="AX227" s="31">
        <v>3.27690550170897E-3</v>
      </c>
      <c r="AY227" s="11"/>
      <c r="AZ227" s="11"/>
      <c r="BA227" s="11"/>
      <c r="BB227" s="11">
        <v>75</v>
      </c>
      <c r="BK227" s="23" t="s">
        <v>163</v>
      </c>
      <c r="BL227" s="11" t="s">
        <v>422</v>
      </c>
    </row>
    <row r="228" spans="2:64" ht="15.6" x14ac:dyDescent="0.3">
      <c r="B228" s="11" t="s">
        <v>168</v>
      </c>
      <c r="C228" s="4" t="s">
        <v>169</v>
      </c>
      <c r="D228" s="4" t="s">
        <v>265</v>
      </c>
      <c r="E228" s="4"/>
      <c r="F228" s="55" t="s">
        <v>262</v>
      </c>
      <c r="G228" s="4">
        <v>1023.654</v>
      </c>
      <c r="H228" s="48">
        <f t="shared" si="14"/>
        <v>167.14632092484374</v>
      </c>
      <c r="I228" s="4" t="s">
        <v>267</v>
      </c>
      <c r="J228" s="4">
        <v>171.1</v>
      </c>
      <c r="K228" s="4">
        <v>2.4500000000000002</v>
      </c>
      <c r="L228" s="4">
        <f t="shared" si="12"/>
        <v>69.836734693877546</v>
      </c>
      <c r="M228" s="4" t="s">
        <v>261</v>
      </c>
      <c r="N228" s="4"/>
      <c r="O228" s="4" t="s">
        <v>266</v>
      </c>
      <c r="P228" s="4"/>
      <c r="Q228" s="4" t="s">
        <v>407</v>
      </c>
      <c r="R228" s="4" t="s">
        <v>408</v>
      </c>
      <c r="S228" s="4"/>
      <c r="T228" s="4" t="s">
        <v>409</v>
      </c>
      <c r="U228" s="4" t="s">
        <v>410</v>
      </c>
      <c r="V228" s="4" t="s">
        <v>411</v>
      </c>
      <c r="W228" s="4" t="s">
        <v>413</v>
      </c>
      <c r="X228" s="4" t="s">
        <v>414</v>
      </c>
      <c r="Y228" s="4" t="s">
        <v>415</v>
      </c>
      <c r="Z228" s="4">
        <v>318</v>
      </c>
      <c r="AA228" s="4"/>
      <c r="AB228" s="4" t="s">
        <v>384</v>
      </c>
      <c r="AC228" s="4"/>
      <c r="AD228" s="4" t="s">
        <v>416</v>
      </c>
      <c r="AE228" s="4" t="s">
        <v>417</v>
      </c>
      <c r="AF228" s="4"/>
      <c r="AG228" s="4"/>
      <c r="AH228" s="4"/>
      <c r="AU228" s="22" t="e">
        <f t="shared" si="13"/>
        <v>#DIV/0!</v>
      </c>
      <c r="AV228" s="11" t="s">
        <v>166</v>
      </c>
      <c r="AW228" s="31">
        <v>561.01076317222703</v>
      </c>
      <c r="AX228" s="31">
        <v>3.2382418289930801E-3</v>
      </c>
      <c r="AY228" s="11"/>
      <c r="AZ228" s="11"/>
      <c r="BA228" s="11"/>
      <c r="BB228" s="11">
        <v>75</v>
      </c>
      <c r="BK228" s="23" t="s">
        <v>163</v>
      </c>
      <c r="BL228" s="11" t="s">
        <v>422</v>
      </c>
    </row>
    <row r="229" spans="2:64" ht="15.6" x14ac:dyDescent="0.3">
      <c r="B229" s="11" t="s">
        <v>168</v>
      </c>
      <c r="C229" s="4" t="s">
        <v>169</v>
      </c>
      <c r="D229" s="4" t="s">
        <v>265</v>
      </c>
      <c r="E229" s="4"/>
      <c r="F229" s="55" t="s">
        <v>262</v>
      </c>
      <c r="G229" s="4">
        <v>1023.654</v>
      </c>
      <c r="H229" s="48">
        <f t="shared" si="14"/>
        <v>167.14632092484374</v>
      </c>
      <c r="I229" s="4" t="s">
        <v>267</v>
      </c>
      <c r="J229" s="4">
        <v>171.1</v>
      </c>
      <c r="K229" s="4">
        <v>2.4500000000000002</v>
      </c>
      <c r="L229" s="4">
        <f t="shared" si="12"/>
        <v>69.836734693877546</v>
      </c>
      <c r="M229" s="4" t="s">
        <v>261</v>
      </c>
      <c r="N229" s="4"/>
      <c r="O229" s="4" t="s">
        <v>266</v>
      </c>
      <c r="P229" s="4"/>
      <c r="Q229" s="4" t="s">
        <v>407</v>
      </c>
      <c r="R229" s="4" t="s">
        <v>408</v>
      </c>
      <c r="S229" s="4"/>
      <c r="T229" s="4" t="s">
        <v>409</v>
      </c>
      <c r="U229" s="4" t="s">
        <v>410</v>
      </c>
      <c r="V229" s="4" t="s">
        <v>411</v>
      </c>
      <c r="W229" s="4" t="s">
        <v>413</v>
      </c>
      <c r="X229" s="4" t="s">
        <v>414</v>
      </c>
      <c r="Y229" s="4" t="s">
        <v>415</v>
      </c>
      <c r="Z229" s="4">
        <v>318</v>
      </c>
      <c r="AA229" s="4"/>
      <c r="AB229" s="4" t="s">
        <v>384</v>
      </c>
      <c r="AC229" s="4"/>
      <c r="AD229" s="4" t="s">
        <v>416</v>
      </c>
      <c r="AE229" s="4" t="s">
        <v>417</v>
      </c>
      <c r="AF229" s="4"/>
      <c r="AG229" s="4"/>
      <c r="AH229" s="4"/>
      <c r="AU229" s="22" t="e">
        <f t="shared" si="13"/>
        <v>#DIV/0!</v>
      </c>
      <c r="AV229" s="11" t="s">
        <v>166</v>
      </c>
      <c r="AW229" s="31">
        <v>566.35197554612705</v>
      </c>
      <c r="AX229" s="31">
        <v>3.1622776601683699E-3</v>
      </c>
      <c r="AY229" s="11"/>
      <c r="AZ229" s="11"/>
      <c r="BA229" s="11"/>
      <c r="BB229" s="11">
        <v>75</v>
      </c>
      <c r="BK229" s="23" t="s">
        <v>163</v>
      </c>
      <c r="BL229" s="11" t="s">
        <v>422</v>
      </c>
    </row>
    <row r="230" spans="2:64" ht="15.6" x14ac:dyDescent="0.3">
      <c r="B230" s="11" t="s">
        <v>168</v>
      </c>
      <c r="C230" s="4" t="s">
        <v>169</v>
      </c>
      <c r="D230" s="4" t="s">
        <v>265</v>
      </c>
      <c r="E230" s="4"/>
      <c r="F230" s="55" t="s">
        <v>262</v>
      </c>
      <c r="G230" s="4">
        <v>1023.654</v>
      </c>
      <c r="H230" s="48">
        <f t="shared" si="14"/>
        <v>167.14632092484374</v>
      </c>
      <c r="I230" s="4" t="s">
        <v>267</v>
      </c>
      <c r="J230" s="4">
        <v>171.1</v>
      </c>
      <c r="K230" s="4">
        <v>2.4500000000000002</v>
      </c>
      <c r="L230" s="4">
        <f t="shared" si="12"/>
        <v>69.836734693877546</v>
      </c>
      <c r="M230" s="4" t="s">
        <v>261</v>
      </c>
      <c r="N230" s="4"/>
      <c r="O230" s="4" t="s">
        <v>266</v>
      </c>
      <c r="P230" s="4"/>
      <c r="Q230" s="4" t="s">
        <v>407</v>
      </c>
      <c r="R230" s="4" t="s">
        <v>408</v>
      </c>
      <c r="S230" s="4"/>
      <c r="T230" s="4" t="s">
        <v>409</v>
      </c>
      <c r="U230" s="4" t="s">
        <v>410</v>
      </c>
      <c r="V230" s="4" t="s">
        <v>411</v>
      </c>
      <c r="W230" s="4" t="s">
        <v>413</v>
      </c>
      <c r="X230" s="4" t="s">
        <v>414</v>
      </c>
      <c r="Y230" s="4" t="s">
        <v>415</v>
      </c>
      <c r="Z230" s="4">
        <v>318</v>
      </c>
      <c r="AA230" s="4"/>
      <c r="AB230" s="4" t="s">
        <v>384</v>
      </c>
      <c r="AC230" s="4"/>
      <c r="AD230" s="4" t="s">
        <v>416</v>
      </c>
      <c r="AE230" s="4" t="s">
        <v>417</v>
      </c>
      <c r="AF230" s="4"/>
      <c r="AG230" s="4"/>
      <c r="AH230" s="4"/>
      <c r="AU230" s="22" t="e">
        <f t="shared" si="13"/>
        <v>#DIV/0!</v>
      </c>
      <c r="AV230" s="11" t="s">
        <v>166</v>
      </c>
      <c r="AW230" s="31">
        <v>566.35197554612796</v>
      </c>
      <c r="AX230" s="31">
        <v>3.0516595595401798E-3</v>
      </c>
      <c r="AY230" s="11"/>
      <c r="AZ230" s="11"/>
      <c r="BA230" s="11"/>
      <c r="BB230" s="11">
        <v>75</v>
      </c>
      <c r="BK230" s="23" t="s">
        <v>163</v>
      </c>
      <c r="BL230" s="11" t="s">
        <v>422</v>
      </c>
    </row>
    <row r="231" spans="2:64" ht="15.6" x14ac:dyDescent="0.3">
      <c r="B231" s="11" t="s">
        <v>168</v>
      </c>
      <c r="C231" s="4" t="s">
        <v>169</v>
      </c>
      <c r="D231" s="4" t="s">
        <v>265</v>
      </c>
      <c r="E231" s="4"/>
      <c r="F231" s="55" t="s">
        <v>262</v>
      </c>
      <c r="G231" s="4">
        <v>1023.654</v>
      </c>
      <c r="H231" s="48">
        <f t="shared" si="14"/>
        <v>167.14632092484374</v>
      </c>
      <c r="I231" s="4" t="s">
        <v>267</v>
      </c>
      <c r="J231" s="4">
        <v>171.1</v>
      </c>
      <c r="K231" s="4">
        <v>2.4500000000000002</v>
      </c>
      <c r="L231" s="4">
        <f t="shared" si="12"/>
        <v>69.836734693877546</v>
      </c>
      <c r="M231" s="4" t="s">
        <v>261</v>
      </c>
      <c r="N231" s="4"/>
      <c r="O231" s="4" t="s">
        <v>266</v>
      </c>
      <c r="P231" s="4"/>
      <c r="Q231" s="4" t="s">
        <v>407</v>
      </c>
      <c r="R231" s="4" t="s">
        <v>408</v>
      </c>
      <c r="S231" s="4"/>
      <c r="T231" s="4" t="s">
        <v>409</v>
      </c>
      <c r="U231" s="4" t="s">
        <v>410</v>
      </c>
      <c r="V231" s="4" t="s">
        <v>411</v>
      </c>
      <c r="W231" s="4" t="s">
        <v>413</v>
      </c>
      <c r="X231" s="4" t="s">
        <v>414</v>
      </c>
      <c r="Y231" s="4" t="s">
        <v>415</v>
      </c>
      <c r="Z231" s="4">
        <v>318</v>
      </c>
      <c r="AA231" s="4"/>
      <c r="AB231" s="4" t="s">
        <v>384</v>
      </c>
      <c r="AC231" s="4"/>
      <c r="AD231" s="4" t="s">
        <v>416</v>
      </c>
      <c r="AE231" s="4" t="s">
        <v>417</v>
      </c>
      <c r="AF231" s="4"/>
      <c r="AG231" s="4"/>
      <c r="AH231" s="4"/>
      <c r="AU231" s="22" t="e">
        <f t="shared" si="13"/>
        <v>#DIV/0!</v>
      </c>
      <c r="AV231" s="11" t="s">
        <v>166</v>
      </c>
      <c r="AW231" s="31">
        <v>566.35197554612796</v>
      </c>
      <c r="AX231" s="31">
        <v>3.0156535269008902E-3</v>
      </c>
      <c r="AY231" s="11"/>
      <c r="AZ231" s="11"/>
      <c r="BA231" s="11"/>
      <c r="BB231" s="11">
        <v>75</v>
      </c>
      <c r="BK231" s="23" t="s">
        <v>163</v>
      </c>
      <c r="BL231" s="11" t="s">
        <v>422</v>
      </c>
    </row>
    <row r="232" spans="2:64" ht="15.6" x14ac:dyDescent="0.3">
      <c r="B232" s="11" t="s">
        <v>168</v>
      </c>
      <c r="C232" s="4" t="s">
        <v>169</v>
      </c>
      <c r="D232" s="4" t="s">
        <v>265</v>
      </c>
      <c r="E232" s="4"/>
      <c r="F232" s="55" t="s">
        <v>262</v>
      </c>
      <c r="G232" s="4">
        <v>1023.654</v>
      </c>
      <c r="H232" s="48">
        <f t="shared" si="14"/>
        <v>167.14632092484374</v>
      </c>
      <c r="I232" s="4" t="s">
        <v>267</v>
      </c>
      <c r="J232" s="4">
        <v>171.1</v>
      </c>
      <c r="K232" s="4">
        <v>2.4500000000000002</v>
      </c>
      <c r="L232" s="4">
        <f t="shared" si="12"/>
        <v>69.836734693877546</v>
      </c>
      <c r="M232" s="4" t="s">
        <v>261</v>
      </c>
      <c r="N232" s="4"/>
      <c r="O232" s="4" t="s">
        <v>266</v>
      </c>
      <c r="P232" s="4"/>
      <c r="Q232" s="4" t="s">
        <v>407</v>
      </c>
      <c r="R232" s="4" t="s">
        <v>408</v>
      </c>
      <c r="S232" s="4"/>
      <c r="T232" s="4" t="s">
        <v>409</v>
      </c>
      <c r="U232" s="4" t="s">
        <v>410</v>
      </c>
      <c r="V232" s="4" t="s">
        <v>411</v>
      </c>
      <c r="W232" s="4" t="s">
        <v>413</v>
      </c>
      <c r="X232" s="4" t="s">
        <v>414</v>
      </c>
      <c r="Y232" s="4" t="s">
        <v>415</v>
      </c>
      <c r="Z232" s="4">
        <v>318</v>
      </c>
      <c r="AA232" s="4"/>
      <c r="AB232" s="4" t="s">
        <v>384</v>
      </c>
      <c r="AC232" s="4"/>
      <c r="AD232" s="4" t="s">
        <v>416</v>
      </c>
      <c r="AE232" s="4" t="s">
        <v>417</v>
      </c>
      <c r="AF232" s="4"/>
      <c r="AG232" s="4"/>
      <c r="AH232" s="4"/>
      <c r="AU232" s="22" t="e">
        <f t="shared" si="13"/>
        <v>#DIV/0!</v>
      </c>
      <c r="AV232" s="11" t="s">
        <v>166</v>
      </c>
      <c r="AW232" s="31">
        <v>571.74403997402703</v>
      </c>
      <c r="AX232" s="31">
        <v>2.9449109370228801E-3</v>
      </c>
      <c r="AY232" s="11"/>
      <c r="AZ232" s="11"/>
      <c r="BA232" s="11"/>
      <c r="BB232" s="11">
        <v>75</v>
      </c>
      <c r="BK232" s="23" t="s">
        <v>163</v>
      </c>
      <c r="BL232" s="11" t="s">
        <v>422</v>
      </c>
    </row>
    <row r="233" spans="2:64" ht="15.6" x14ac:dyDescent="0.3">
      <c r="B233" s="11" t="s">
        <v>168</v>
      </c>
      <c r="C233" s="4" t="s">
        <v>169</v>
      </c>
      <c r="D233" s="4" t="s">
        <v>265</v>
      </c>
      <c r="E233" s="4"/>
      <c r="F233" s="55" t="s">
        <v>262</v>
      </c>
      <c r="G233" s="4">
        <v>1023.654</v>
      </c>
      <c r="H233" s="48">
        <f t="shared" si="14"/>
        <v>167.14632092484374</v>
      </c>
      <c r="I233" s="4" t="s">
        <v>267</v>
      </c>
      <c r="J233" s="4">
        <v>171.1</v>
      </c>
      <c r="K233" s="4">
        <v>2.4500000000000002</v>
      </c>
      <c r="L233" s="4">
        <f t="shared" si="12"/>
        <v>69.836734693877546</v>
      </c>
      <c r="M233" s="4" t="s">
        <v>261</v>
      </c>
      <c r="N233" s="4"/>
      <c r="O233" s="4" t="s">
        <v>266</v>
      </c>
      <c r="P233" s="4"/>
      <c r="Q233" s="4" t="s">
        <v>407</v>
      </c>
      <c r="R233" s="4" t="s">
        <v>408</v>
      </c>
      <c r="S233" s="4"/>
      <c r="T233" s="4" t="s">
        <v>409</v>
      </c>
      <c r="U233" s="4" t="s">
        <v>410</v>
      </c>
      <c r="V233" s="4" t="s">
        <v>411</v>
      </c>
      <c r="W233" s="4" t="s">
        <v>413</v>
      </c>
      <c r="X233" s="4" t="s">
        <v>414</v>
      </c>
      <c r="Y233" s="4" t="s">
        <v>415</v>
      </c>
      <c r="Z233" s="4">
        <v>318</v>
      </c>
      <c r="AA233" s="4"/>
      <c r="AB233" s="4" t="s">
        <v>384</v>
      </c>
      <c r="AC233" s="4"/>
      <c r="AD233" s="4" t="s">
        <v>416</v>
      </c>
      <c r="AE233" s="4" t="s">
        <v>417</v>
      </c>
      <c r="AF233" s="4"/>
      <c r="AG233" s="4"/>
      <c r="AH233" s="4"/>
      <c r="AU233" s="22" t="e">
        <f t="shared" si="13"/>
        <v>#DIV/0!</v>
      </c>
      <c r="AV233" s="11" t="s">
        <v>166</v>
      </c>
      <c r="AW233" s="31">
        <v>571.74403997402806</v>
      </c>
      <c r="AX233" s="31">
        <v>2.8418964362799701E-3</v>
      </c>
      <c r="AY233" s="11"/>
      <c r="AZ233" s="11"/>
      <c r="BA233" s="11"/>
      <c r="BB233" s="11">
        <v>75</v>
      </c>
      <c r="BK233" s="23" t="s">
        <v>163</v>
      </c>
      <c r="BL233" s="11" t="s">
        <v>422</v>
      </c>
    </row>
    <row r="234" spans="2:64" ht="15.6" x14ac:dyDescent="0.3">
      <c r="B234" s="11" t="s">
        <v>168</v>
      </c>
      <c r="C234" s="4" t="s">
        <v>169</v>
      </c>
      <c r="D234" s="4" t="s">
        <v>265</v>
      </c>
      <c r="E234" s="4"/>
      <c r="F234" s="55" t="s">
        <v>262</v>
      </c>
      <c r="G234" s="4">
        <v>1023.654</v>
      </c>
      <c r="H234" s="48">
        <f t="shared" si="14"/>
        <v>167.14632092484374</v>
      </c>
      <c r="I234" s="4" t="s">
        <v>267</v>
      </c>
      <c r="J234" s="4">
        <v>171.1</v>
      </c>
      <c r="K234" s="4">
        <v>2.4500000000000002</v>
      </c>
      <c r="L234" s="4">
        <f t="shared" si="12"/>
        <v>69.836734693877546</v>
      </c>
      <c r="M234" s="4" t="s">
        <v>261</v>
      </c>
      <c r="N234" s="4"/>
      <c r="O234" s="4" t="s">
        <v>266</v>
      </c>
      <c r="P234" s="4"/>
      <c r="Q234" s="4" t="s">
        <v>407</v>
      </c>
      <c r="R234" s="4" t="s">
        <v>408</v>
      </c>
      <c r="S234" s="4"/>
      <c r="T234" s="4" t="s">
        <v>409</v>
      </c>
      <c r="U234" s="4" t="s">
        <v>410</v>
      </c>
      <c r="V234" s="4" t="s">
        <v>411</v>
      </c>
      <c r="W234" s="4" t="s">
        <v>413</v>
      </c>
      <c r="X234" s="4" t="s">
        <v>414</v>
      </c>
      <c r="Y234" s="4" t="s">
        <v>415</v>
      </c>
      <c r="Z234" s="4">
        <v>318</v>
      </c>
      <c r="AA234" s="4"/>
      <c r="AB234" s="4" t="s">
        <v>384</v>
      </c>
      <c r="AC234" s="4"/>
      <c r="AD234" s="4" t="s">
        <v>416</v>
      </c>
      <c r="AE234" s="4" t="s">
        <v>417</v>
      </c>
      <c r="AF234" s="4"/>
      <c r="AG234" s="4"/>
      <c r="AH234" s="4"/>
      <c r="AU234" s="22" t="e">
        <f t="shared" si="13"/>
        <v>#DIV/0!</v>
      </c>
      <c r="AV234" s="11" t="s">
        <v>166</v>
      </c>
      <c r="AW234" s="31">
        <v>577.18744060282302</v>
      </c>
      <c r="AX234" s="31">
        <v>2.77522992029126E-3</v>
      </c>
      <c r="AY234" s="11"/>
      <c r="AZ234" s="11"/>
      <c r="BA234" s="11"/>
      <c r="BB234" s="11">
        <v>75</v>
      </c>
      <c r="BK234" s="23" t="s">
        <v>163</v>
      </c>
      <c r="BL234" s="11" t="s">
        <v>422</v>
      </c>
    </row>
    <row r="235" spans="2:64" ht="15.6" x14ac:dyDescent="0.3">
      <c r="B235" s="11" t="s">
        <v>168</v>
      </c>
      <c r="C235" s="4" t="s">
        <v>169</v>
      </c>
      <c r="D235" s="4" t="s">
        <v>265</v>
      </c>
      <c r="E235" s="4"/>
      <c r="F235" s="55" t="s">
        <v>262</v>
      </c>
      <c r="G235" s="4">
        <v>1023.654</v>
      </c>
      <c r="H235" s="48">
        <f t="shared" si="14"/>
        <v>167.14632092484374</v>
      </c>
      <c r="I235" s="4" t="s">
        <v>267</v>
      </c>
      <c r="J235" s="4">
        <v>171.1</v>
      </c>
      <c r="K235" s="4">
        <v>2.4500000000000002</v>
      </c>
      <c r="L235" s="4">
        <f t="shared" si="12"/>
        <v>69.836734693877546</v>
      </c>
      <c r="M235" s="4" t="s">
        <v>261</v>
      </c>
      <c r="N235" s="4"/>
      <c r="O235" s="4" t="s">
        <v>266</v>
      </c>
      <c r="P235" s="4"/>
      <c r="Q235" s="4" t="s">
        <v>407</v>
      </c>
      <c r="R235" s="4" t="s">
        <v>408</v>
      </c>
      <c r="S235" s="4"/>
      <c r="T235" s="4" t="s">
        <v>409</v>
      </c>
      <c r="U235" s="4" t="s">
        <v>410</v>
      </c>
      <c r="V235" s="4" t="s">
        <v>411</v>
      </c>
      <c r="W235" s="4" t="s">
        <v>413</v>
      </c>
      <c r="X235" s="4" t="s">
        <v>414</v>
      </c>
      <c r="Y235" s="4" t="s">
        <v>415</v>
      </c>
      <c r="Z235" s="4">
        <v>318</v>
      </c>
      <c r="AA235" s="4"/>
      <c r="AB235" s="4" t="s">
        <v>384</v>
      </c>
      <c r="AC235" s="4"/>
      <c r="AD235" s="4" t="s">
        <v>416</v>
      </c>
      <c r="AE235" s="4" t="s">
        <v>417</v>
      </c>
      <c r="AF235" s="4"/>
      <c r="AG235" s="4"/>
      <c r="AH235" s="4"/>
      <c r="AU235" s="22" t="e">
        <f t="shared" si="13"/>
        <v>#DIV/0!</v>
      </c>
      <c r="AV235" s="11" t="s">
        <v>166</v>
      </c>
      <c r="AW235" s="31">
        <v>577.18744060282404</v>
      </c>
      <c r="AX235" s="31">
        <v>2.7101272981508002E-3</v>
      </c>
      <c r="AY235" s="11"/>
      <c r="AZ235" s="11"/>
      <c r="BA235" s="11"/>
      <c r="BB235" s="11">
        <v>75</v>
      </c>
      <c r="BK235" s="23" t="s">
        <v>163</v>
      </c>
      <c r="BL235" s="11" t="s">
        <v>422</v>
      </c>
    </row>
    <row r="236" spans="2:64" ht="15.6" x14ac:dyDescent="0.3">
      <c r="B236" s="11" t="s">
        <v>168</v>
      </c>
      <c r="C236" s="4" t="s">
        <v>169</v>
      </c>
      <c r="D236" s="4" t="s">
        <v>265</v>
      </c>
      <c r="E236" s="4"/>
      <c r="F236" s="55" t="s">
        <v>262</v>
      </c>
      <c r="G236" s="4">
        <v>1023.654</v>
      </c>
      <c r="H236" s="48">
        <f t="shared" si="14"/>
        <v>167.14632092484374</v>
      </c>
      <c r="I236" s="4" t="s">
        <v>267</v>
      </c>
      <c r="J236" s="4">
        <v>171.1</v>
      </c>
      <c r="K236" s="4">
        <v>2.4500000000000002</v>
      </c>
      <c r="L236" s="4">
        <f t="shared" si="12"/>
        <v>69.836734693877546</v>
      </c>
      <c r="M236" s="4" t="s">
        <v>261</v>
      </c>
      <c r="N236" s="4"/>
      <c r="O236" s="4" t="s">
        <v>266</v>
      </c>
      <c r="P236" s="4"/>
      <c r="Q236" s="4" t="s">
        <v>407</v>
      </c>
      <c r="R236" s="4" t="s">
        <v>408</v>
      </c>
      <c r="S236" s="4"/>
      <c r="T236" s="4" t="s">
        <v>409</v>
      </c>
      <c r="U236" s="4" t="s">
        <v>410</v>
      </c>
      <c r="V236" s="4" t="s">
        <v>411</v>
      </c>
      <c r="W236" s="4" t="s">
        <v>413</v>
      </c>
      <c r="X236" s="4" t="s">
        <v>414</v>
      </c>
      <c r="Y236" s="4" t="s">
        <v>415</v>
      </c>
      <c r="Z236" s="4">
        <v>318</v>
      </c>
      <c r="AA236" s="4"/>
      <c r="AB236" s="4" t="s">
        <v>384</v>
      </c>
      <c r="AC236" s="4"/>
      <c r="AD236" s="4" t="s">
        <v>416</v>
      </c>
      <c r="AE236" s="4" t="s">
        <v>417</v>
      </c>
      <c r="AF236" s="4"/>
      <c r="AG236" s="4"/>
      <c r="AH236" s="4"/>
      <c r="AU236" s="22" t="e">
        <f t="shared" si="13"/>
        <v>#DIV/0!</v>
      </c>
      <c r="AV236" s="11" t="s">
        <v>166</v>
      </c>
      <c r="AW236" s="31">
        <v>588.23021014165101</v>
      </c>
      <c r="AX236" s="31">
        <v>2.6465518833161499E-3</v>
      </c>
      <c r="AY236" s="11"/>
      <c r="AZ236" s="11"/>
      <c r="BA236" s="11"/>
      <c r="BB236" s="11">
        <v>75</v>
      </c>
      <c r="BK236" s="23" t="s">
        <v>163</v>
      </c>
      <c r="BL236" s="11" t="s">
        <v>422</v>
      </c>
    </row>
    <row r="237" spans="2:64" ht="15.6" x14ac:dyDescent="0.3">
      <c r="B237" s="11" t="s">
        <v>168</v>
      </c>
      <c r="C237" s="4" t="s">
        <v>169</v>
      </c>
      <c r="D237" s="4" t="s">
        <v>265</v>
      </c>
      <c r="E237" s="4"/>
      <c r="F237" s="55" t="s">
        <v>262</v>
      </c>
      <c r="G237" s="4">
        <v>1023.654</v>
      </c>
      <c r="H237" s="48">
        <f t="shared" si="14"/>
        <v>167.14632092484374</v>
      </c>
      <c r="I237" s="4" t="s">
        <v>267</v>
      </c>
      <c r="J237" s="4">
        <v>171.1</v>
      </c>
      <c r="K237" s="4">
        <v>2.4500000000000002</v>
      </c>
      <c r="L237" s="4">
        <f t="shared" si="12"/>
        <v>69.836734693877546</v>
      </c>
      <c r="M237" s="4" t="s">
        <v>261</v>
      </c>
      <c r="N237" s="4"/>
      <c r="O237" s="4" t="s">
        <v>266</v>
      </c>
      <c r="P237" s="4"/>
      <c r="Q237" s="4" t="s">
        <v>407</v>
      </c>
      <c r="R237" s="4" t="s">
        <v>408</v>
      </c>
      <c r="S237" s="4"/>
      <c r="T237" s="4" t="s">
        <v>409</v>
      </c>
      <c r="U237" s="4" t="s">
        <v>410</v>
      </c>
      <c r="V237" s="4" t="s">
        <v>411</v>
      </c>
      <c r="W237" s="4" t="s">
        <v>413</v>
      </c>
      <c r="X237" s="4" t="s">
        <v>414</v>
      </c>
      <c r="Y237" s="4" t="s">
        <v>415</v>
      </c>
      <c r="Z237" s="4">
        <v>318</v>
      </c>
      <c r="AA237" s="4"/>
      <c r="AB237" s="4" t="s">
        <v>384</v>
      </c>
      <c r="AC237" s="4"/>
      <c r="AD237" s="4" t="s">
        <v>416</v>
      </c>
      <c r="AE237" s="4" t="s">
        <v>417</v>
      </c>
      <c r="AF237" s="4"/>
      <c r="AG237" s="4"/>
      <c r="AH237" s="4"/>
      <c r="AU237" s="22" t="e">
        <f t="shared" si="13"/>
        <v>#DIV/0!</v>
      </c>
      <c r="AV237" s="11" t="s">
        <v>166</v>
      </c>
      <c r="AW237" s="31">
        <v>599.48425031893998</v>
      </c>
      <c r="AX237" s="31">
        <v>2.5238402122549899E-3</v>
      </c>
      <c r="AY237" s="11"/>
      <c r="AZ237" s="11"/>
      <c r="BA237" s="11"/>
      <c r="BB237" s="11">
        <v>75</v>
      </c>
      <c r="BK237" s="23" t="s">
        <v>163</v>
      </c>
      <c r="BL237" s="11" t="s">
        <v>422</v>
      </c>
    </row>
    <row r="238" spans="2:64" ht="15.6" x14ac:dyDescent="0.3">
      <c r="B238" s="11" t="s">
        <v>168</v>
      </c>
      <c r="C238" s="4" t="s">
        <v>169</v>
      </c>
      <c r="D238" s="4" t="s">
        <v>265</v>
      </c>
      <c r="E238" s="4"/>
      <c r="F238" s="55" t="s">
        <v>262</v>
      </c>
      <c r="G238" s="4">
        <v>1023.654</v>
      </c>
      <c r="H238" s="48">
        <f t="shared" si="14"/>
        <v>167.14632092484374</v>
      </c>
      <c r="I238" s="4" t="s">
        <v>267</v>
      </c>
      <c r="J238" s="4">
        <v>171.1</v>
      </c>
      <c r="K238" s="4">
        <v>2.4500000000000002</v>
      </c>
      <c r="L238" s="4">
        <f t="shared" si="12"/>
        <v>69.836734693877546</v>
      </c>
      <c r="M238" s="4" t="s">
        <v>261</v>
      </c>
      <c r="N238" s="4"/>
      <c r="O238" s="4" t="s">
        <v>266</v>
      </c>
      <c r="P238" s="4"/>
      <c r="Q238" s="4" t="s">
        <v>407</v>
      </c>
      <c r="R238" s="4" t="s">
        <v>408</v>
      </c>
      <c r="S238" s="4"/>
      <c r="T238" s="4" t="s">
        <v>409</v>
      </c>
      <c r="U238" s="4" t="s">
        <v>410</v>
      </c>
      <c r="V238" s="4" t="s">
        <v>411</v>
      </c>
      <c r="W238" s="4" t="s">
        <v>413</v>
      </c>
      <c r="X238" s="4" t="s">
        <v>414</v>
      </c>
      <c r="Y238" s="4" t="s">
        <v>415</v>
      </c>
      <c r="Z238" s="4">
        <v>318</v>
      </c>
      <c r="AA238" s="4"/>
      <c r="AB238" s="4" t="s">
        <v>384</v>
      </c>
      <c r="AC238" s="4"/>
      <c r="AD238" s="4" t="s">
        <v>416</v>
      </c>
      <c r="AE238" s="4" t="s">
        <v>417</v>
      </c>
      <c r="AF238" s="4"/>
      <c r="AG238" s="4"/>
      <c r="AH238" s="4"/>
      <c r="AU238" s="22" t="e">
        <f t="shared" si="13"/>
        <v>#DIV/0!</v>
      </c>
      <c r="AV238" s="11" t="s">
        <v>166</v>
      </c>
      <c r="AW238" s="31">
        <v>410.36349906661701</v>
      </c>
      <c r="AX238" s="31">
        <v>1.2381792030477699E-2</v>
      </c>
      <c r="AY238" s="11"/>
      <c r="AZ238" s="11"/>
      <c r="BA238" s="11"/>
      <c r="BB238" s="11">
        <v>75</v>
      </c>
      <c r="BK238" s="23" t="s">
        <v>163</v>
      </c>
      <c r="BL238" s="11" t="s">
        <v>422</v>
      </c>
    </row>
    <row r="239" spans="2:64" ht="15.6" x14ac:dyDescent="0.3">
      <c r="B239" s="73" t="s">
        <v>168</v>
      </c>
      <c r="C239" s="4" t="s">
        <v>169</v>
      </c>
      <c r="D239" s="4" t="s">
        <v>265</v>
      </c>
      <c r="E239" s="4"/>
      <c r="F239" s="55" t="s">
        <v>262</v>
      </c>
      <c r="G239" s="4">
        <v>1023.654</v>
      </c>
      <c r="H239" s="48">
        <f t="shared" si="14"/>
        <v>167.14632092484374</v>
      </c>
      <c r="I239" s="4" t="s">
        <v>267</v>
      </c>
      <c r="J239" s="4">
        <v>171.1</v>
      </c>
      <c r="K239" s="4">
        <v>2.4500000000000002</v>
      </c>
      <c r="L239" s="4">
        <f t="shared" si="12"/>
        <v>69.836734693877546</v>
      </c>
      <c r="M239" s="4" t="s">
        <v>261</v>
      </c>
      <c r="N239" s="4"/>
      <c r="O239" s="4" t="s">
        <v>266</v>
      </c>
      <c r="P239" s="4"/>
      <c r="Q239" s="4" t="s">
        <v>407</v>
      </c>
      <c r="R239" s="4" t="s">
        <v>408</v>
      </c>
      <c r="S239" s="4"/>
      <c r="T239" s="4" t="s">
        <v>409</v>
      </c>
      <c r="U239" s="4" t="s">
        <v>410</v>
      </c>
      <c r="V239" s="4" t="s">
        <v>411</v>
      </c>
      <c r="W239" s="4" t="s">
        <v>413</v>
      </c>
      <c r="X239" s="4" t="s">
        <v>414</v>
      </c>
      <c r="Y239" s="4" t="s">
        <v>415</v>
      </c>
      <c r="Z239" s="4">
        <v>318</v>
      </c>
      <c r="AA239" s="4"/>
      <c r="AB239" s="4" t="s">
        <v>384</v>
      </c>
      <c r="AC239" s="4"/>
      <c r="AD239" s="4" t="s">
        <v>416</v>
      </c>
      <c r="AE239" s="4" t="s">
        <v>417</v>
      </c>
      <c r="AF239" s="4"/>
      <c r="AG239" s="4"/>
      <c r="AH239" s="4"/>
      <c r="AU239" s="22" t="e">
        <f t="shared" si="13"/>
        <v>#DIV/0!</v>
      </c>
      <c r="AV239" s="11" t="s">
        <v>166</v>
      </c>
      <c r="AW239" s="31">
        <v>369.74408456724098</v>
      </c>
      <c r="AX239" s="31">
        <v>1.89823735470399E-2</v>
      </c>
      <c r="AY239" s="11"/>
      <c r="AZ239" s="11"/>
      <c r="BA239" s="11"/>
      <c r="BB239" s="11">
        <v>75</v>
      </c>
      <c r="BK239" s="23" t="s">
        <v>163</v>
      </c>
      <c r="BL239" s="11" t="s">
        <v>422</v>
      </c>
    </row>
    <row r="240" spans="2:64" ht="189.6" customHeight="1" x14ac:dyDescent="0.3">
      <c r="B240" s="11" t="s">
        <v>170</v>
      </c>
      <c r="C240" s="4" t="s">
        <v>167</v>
      </c>
      <c r="D240" s="4" t="s">
        <v>91</v>
      </c>
      <c r="E240" s="4" t="e" vm="5">
        <v>#VALUE!</v>
      </c>
      <c r="F240" s="56" t="s">
        <v>259</v>
      </c>
      <c r="G240" s="4">
        <v>166.28</v>
      </c>
      <c r="H240" s="48">
        <f t="shared" si="14"/>
        <v>0</v>
      </c>
      <c r="I240" s="4" t="s">
        <v>436</v>
      </c>
      <c r="J240" s="4"/>
      <c r="K240" s="4"/>
      <c r="L240" s="4" t="e">
        <f t="shared" si="12"/>
        <v>#DIV/0!</v>
      </c>
      <c r="M240" t="s">
        <v>189</v>
      </c>
      <c r="O240" s="4" t="s">
        <v>266</v>
      </c>
      <c r="P240" s="4" t="s">
        <v>435</v>
      </c>
      <c r="Q240" s="4" t="s">
        <v>435</v>
      </c>
      <c r="R240" s="4" t="s">
        <v>425</v>
      </c>
      <c r="S240" t="s">
        <v>432</v>
      </c>
      <c r="T240" s="4" t="s">
        <v>433</v>
      </c>
      <c r="U240" s="4" t="s">
        <v>431</v>
      </c>
      <c r="X240" s="4" t="s">
        <v>423</v>
      </c>
      <c r="Y240" s="4" t="s">
        <v>376</v>
      </c>
      <c r="Z240" s="4">
        <v>300</v>
      </c>
      <c r="AA240" s="4" t="s">
        <v>424</v>
      </c>
      <c r="AB240" s="4" t="s">
        <v>384</v>
      </c>
      <c r="AE240" s="4" t="s">
        <v>429</v>
      </c>
      <c r="AU240" s="22" t="e">
        <f t="shared" si="13"/>
        <v>#DIV/0!</v>
      </c>
      <c r="AV240" s="11" t="s">
        <v>166</v>
      </c>
      <c r="AW240" s="31">
        <v>947.90251725215205</v>
      </c>
      <c r="AX240" s="31">
        <v>4.4788115623460098E-5</v>
      </c>
      <c r="AY240" s="11" t="s">
        <v>191</v>
      </c>
      <c r="AZ240" s="30">
        <v>3.9892885574769298E-3</v>
      </c>
      <c r="BA240" s="30">
        <v>4.3394779416850401E-5</v>
      </c>
      <c r="BB240" t="s">
        <v>389</v>
      </c>
      <c r="BH240" s="75" t="s">
        <v>426</v>
      </c>
      <c r="BI240" s="11">
        <v>59</v>
      </c>
      <c r="BJ240" s="75" t="s">
        <v>427</v>
      </c>
      <c r="BK240" s="25" t="s">
        <v>186</v>
      </c>
      <c r="BL240" s="11" t="s">
        <v>428</v>
      </c>
    </row>
    <row r="241" spans="2:64" ht="28.8" x14ac:dyDescent="0.3">
      <c r="B241" s="11" t="s">
        <v>170</v>
      </c>
      <c r="C241" s="4" t="s">
        <v>167</v>
      </c>
      <c r="D241" s="4" t="s">
        <v>91</v>
      </c>
      <c r="E241" s="4"/>
      <c r="F241" s="56" t="s">
        <v>259</v>
      </c>
      <c r="G241" s="4">
        <v>166.28</v>
      </c>
      <c r="H241" s="48">
        <f t="shared" si="14"/>
        <v>0</v>
      </c>
      <c r="I241" s="4" t="s">
        <v>436</v>
      </c>
      <c r="J241" s="4"/>
      <c r="K241" s="4"/>
      <c r="L241" s="4" t="e">
        <f t="shared" si="12"/>
        <v>#DIV/0!</v>
      </c>
      <c r="M241" t="s">
        <v>189</v>
      </c>
      <c r="O241" s="4" t="s">
        <v>266</v>
      </c>
      <c r="P241" s="4" t="s">
        <v>435</v>
      </c>
      <c r="Q241" s="4" t="s">
        <v>435</v>
      </c>
      <c r="R241" s="4" t="s">
        <v>425</v>
      </c>
      <c r="S241" t="s">
        <v>432</v>
      </c>
      <c r="T241" s="4" t="s">
        <v>433</v>
      </c>
      <c r="U241" s="4" t="s">
        <v>431</v>
      </c>
      <c r="X241" s="4" t="s">
        <v>423</v>
      </c>
      <c r="Y241" s="4" t="s">
        <v>376</v>
      </c>
      <c r="Z241" s="4">
        <v>300</v>
      </c>
      <c r="AA241" s="4" t="s">
        <v>424</v>
      </c>
      <c r="AB241" s="4" t="s">
        <v>384</v>
      </c>
      <c r="AE241" s="4" t="s">
        <v>429</v>
      </c>
      <c r="AU241" s="22" t="e">
        <f t="shared" si="13"/>
        <v>#DIV/0!</v>
      </c>
      <c r="AV241" s="11" t="s">
        <v>166</v>
      </c>
      <c r="AW241" s="31">
        <v>970.06337600791005</v>
      </c>
      <c r="AX241" s="31">
        <v>6.5155861036393601E-5</v>
      </c>
      <c r="AY241" s="11" t="s">
        <v>191</v>
      </c>
      <c r="AZ241" s="30">
        <v>5.9346302393446003E-3</v>
      </c>
      <c r="BA241" s="30">
        <v>5.9656926047312102E-5</v>
      </c>
      <c r="BB241" t="s">
        <v>389</v>
      </c>
      <c r="BK241" s="25" t="s">
        <v>186</v>
      </c>
      <c r="BL241" s="11" t="s">
        <v>428</v>
      </c>
    </row>
    <row r="242" spans="2:64" ht="28.8" x14ac:dyDescent="0.3">
      <c r="B242" s="11" t="s">
        <v>170</v>
      </c>
      <c r="C242" s="4" t="s">
        <v>167</v>
      </c>
      <c r="D242" s="4" t="s">
        <v>91</v>
      </c>
      <c r="E242" s="4"/>
      <c r="F242" s="56" t="s">
        <v>259</v>
      </c>
      <c r="G242" s="4">
        <v>166.28</v>
      </c>
      <c r="H242" s="48">
        <f t="shared" si="14"/>
        <v>0</v>
      </c>
      <c r="I242" s="4" t="s">
        <v>436</v>
      </c>
      <c r="J242" s="4"/>
      <c r="K242" s="4"/>
      <c r="L242" s="4" t="e">
        <f t="shared" si="12"/>
        <v>#DIV/0!</v>
      </c>
      <c r="M242" t="s">
        <v>189</v>
      </c>
      <c r="O242" s="4" t="s">
        <v>266</v>
      </c>
      <c r="P242" s="4" t="s">
        <v>435</v>
      </c>
      <c r="Q242" s="4" t="s">
        <v>435</v>
      </c>
      <c r="R242" s="4" t="s">
        <v>425</v>
      </c>
      <c r="S242" t="s">
        <v>432</v>
      </c>
      <c r="T242" s="4" t="s">
        <v>433</v>
      </c>
      <c r="U242" s="4" t="s">
        <v>431</v>
      </c>
      <c r="X242" s="4" t="s">
        <v>423</v>
      </c>
      <c r="Y242" s="4" t="s">
        <v>376</v>
      </c>
      <c r="Z242" s="4">
        <v>300</v>
      </c>
      <c r="AA242" s="4" t="s">
        <v>424</v>
      </c>
      <c r="AB242" s="4" t="s">
        <v>384</v>
      </c>
      <c r="AE242" s="4" t="s">
        <v>429</v>
      </c>
      <c r="AU242" s="22" t="e">
        <f t="shared" si="13"/>
        <v>#DIV/0!</v>
      </c>
      <c r="AV242" s="11" t="s">
        <v>166</v>
      </c>
      <c r="AW242" s="31">
        <v>550.23922220655697</v>
      </c>
      <c r="AX242" s="31">
        <v>2.9182082376441002E-4</v>
      </c>
      <c r="AY242" s="11" t="s">
        <v>191</v>
      </c>
      <c r="AZ242" s="30">
        <v>8.8007589068857701E-3</v>
      </c>
      <c r="BA242" s="30">
        <v>2.9474409019608801E-4</v>
      </c>
      <c r="BB242" t="s">
        <v>389</v>
      </c>
      <c r="BK242" s="25" t="s">
        <v>186</v>
      </c>
      <c r="BL242" s="11" t="s">
        <v>428</v>
      </c>
    </row>
    <row r="243" spans="2:64" ht="28.8" x14ac:dyDescent="0.3">
      <c r="B243" s="11" t="s">
        <v>170</v>
      </c>
      <c r="C243" s="4" t="s">
        <v>167</v>
      </c>
      <c r="D243" s="4" t="s">
        <v>91</v>
      </c>
      <c r="E243" s="4"/>
      <c r="F243" s="56" t="s">
        <v>259</v>
      </c>
      <c r="G243" s="4">
        <v>166.28</v>
      </c>
      <c r="H243" s="48">
        <f t="shared" si="14"/>
        <v>0</v>
      </c>
      <c r="I243" s="4" t="s">
        <v>436</v>
      </c>
      <c r="J243" s="4"/>
      <c r="K243" s="4"/>
      <c r="L243" s="4" t="e">
        <f t="shared" si="12"/>
        <v>#DIV/0!</v>
      </c>
      <c r="M243" t="s">
        <v>189</v>
      </c>
      <c r="O243" s="4" t="s">
        <v>266</v>
      </c>
      <c r="P243" s="4" t="s">
        <v>435</v>
      </c>
      <c r="Q243" s="4" t="s">
        <v>435</v>
      </c>
      <c r="R243" s="4" t="s">
        <v>425</v>
      </c>
      <c r="S243" t="s">
        <v>432</v>
      </c>
      <c r="T243" s="4" t="s">
        <v>433</v>
      </c>
      <c r="U243" s="4" t="s">
        <v>431</v>
      </c>
      <c r="X243" s="4" t="s">
        <v>423</v>
      </c>
      <c r="Y243" s="4" t="s">
        <v>376</v>
      </c>
      <c r="Z243" s="4">
        <v>300</v>
      </c>
      <c r="AA243" s="4" t="s">
        <v>424</v>
      </c>
      <c r="AB243" s="4" t="s">
        <v>384</v>
      </c>
      <c r="AE243" s="4" t="s">
        <v>429</v>
      </c>
      <c r="AU243" s="22" t="e">
        <f t="shared" si="13"/>
        <v>#DIV/0!</v>
      </c>
      <c r="AV243" s="11" t="s">
        <v>166</v>
      </c>
      <c r="AW243" s="31">
        <v>391.48500585978599</v>
      </c>
      <c r="AX243" s="31">
        <v>5.8538536481818305E-4</v>
      </c>
      <c r="AY243" s="11" t="s">
        <v>191</v>
      </c>
      <c r="AZ243" s="30">
        <v>8.7868709125086594E-3</v>
      </c>
      <c r="BA243" s="30">
        <v>5.5876028460648405E-4</v>
      </c>
      <c r="BB243" t="s">
        <v>389</v>
      </c>
      <c r="BK243" s="25" t="s">
        <v>186</v>
      </c>
      <c r="BL243" s="11" t="s">
        <v>428</v>
      </c>
    </row>
    <row r="244" spans="2:64" ht="166.2" customHeight="1" x14ac:dyDescent="0.3">
      <c r="B244" s="11" t="s">
        <v>171</v>
      </c>
      <c r="C244" s="4" t="s">
        <v>192</v>
      </c>
      <c r="D244" s="4"/>
      <c r="E244" s="4" t="e" vm="6">
        <v>#VALUE!</v>
      </c>
      <c r="F244" s="55" t="s">
        <v>258</v>
      </c>
      <c r="G244" s="4">
        <v>695.2</v>
      </c>
      <c r="H244" s="48">
        <f t="shared" si="14"/>
        <v>0</v>
      </c>
      <c r="I244" s="4" t="s">
        <v>436</v>
      </c>
      <c r="J244" s="4"/>
      <c r="K244" s="4"/>
      <c r="L244" s="4" t="e">
        <f t="shared" si="12"/>
        <v>#DIV/0!</v>
      </c>
      <c r="M244" t="s">
        <v>189</v>
      </c>
      <c r="O244" s="4" t="s">
        <v>266</v>
      </c>
      <c r="P244" s="4" t="s">
        <v>435</v>
      </c>
      <c r="Q244" s="4" t="s">
        <v>435</v>
      </c>
      <c r="R244" s="4" t="s">
        <v>425</v>
      </c>
      <c r="S244" t="s">
        <v>432</v>
      </c>
      <c r="T244" s="4" t="s">
        <v>433</v>
      </c>
      <c r="U244" s="4" t="s">
        <v>431</v>
      </c>
      <c r="X244" s="4" t="s">
        <v>423</v>
      </c>
      <c r="Y244" s="4" t="s">
        <v>376</v>
      </c>
      <c r="Z244" s="4">
        <v>300</v>
      </c>
      <c r="AA244" s="4" t="s">
        <v>424</v>
      </c>
      <c r="AB244" s="4" t="s">
        <v>384</v>
      </c>
      <c r="AE244" s="4" t="s">
        <v>429</v>
      </c>
      <c r="AU244" s="22" t="e">
        <f t="shared" si="13"/>
        <v>#DIV/0!</v>
      </c>
      <c r="AV244" s="11" t="s">
        <v>166</v>
      </c>
      <c r="AW244" s="31">
        <v>675.62876507447504</v>
      </c>
      <c r="AX244" s="31">
        <v>5.5486335881450898E-4</v>
      </c>
      <c r="AY244" s="11" t="s">
        <v>191</v>
      </c>
      <c r="AZ244" s="31">
        <v>2.4459884046295E-2</v>
      </c>
      <c r="BA244" s="31">
        <v>4.7431376663332E-4</v>
      </c>
      <c r="BB244" t="s">
        <v>389</v>
      </c>
      <c r="BK244" s="25" t="s">
        <v>186</v>
      </c>
      <c r="BL244" s="11" t="s">
        <v>428</v>
      </c>
    </row>
    <row r="245" spans="2:64" ht="28.8" x14ac:dyDescent="0.3">
      <c r="B245" s="11" t="s">
        <v>171</v>
      </c>
      <c r="C245" s="4" t="s">
        <v>192</v>
      </c>
      <c r="D245" s="4"/>
      <c r="E245" s="4"/>
      <c r="F245" s="55" t="s">
        <v>258</v>
      </c>
      <c r="G245" s="4">
        <v>695.2</v>
      </c>
      <c r="H245" s="48">
        <f t="shared" si="14"/>
        <v>0</v>
      </c>
      <c r="I245" s="4" t="s">
        <v>436</v>
      </c>
      <c r="J245" s="4"/>
      <c r="K245" s="4"/>
      <c r="L245" s="4" t="e">
        <f t="shared" si="12"/>
        <v>#DIV/0!</v>
      </c>
      <c r="M245" t="s">
        <v>189</v>
      </c>
      <c r="O245" s="4" t="s">
        <v>266</v>
      </c>
      <c r="P245" s="4" t="s">
        <v>435</v>
      </c>
      <c r="Q245" s="4" t="s">
        <v>435</v>
      </c>
      <c r="R245" s="4" t="s">
        <v>425</v>
      </c>
      <c r="S245" t="s">
        <v>432</v>
      </c>
      <c r="T245" s="4" t="s">
        <v>433</v>
      </c>
      <c r="U245" s="4" t="s">
        <v>431</v>
      </c>
      <c r="X245" s="4" t="s">
        <v>423</v>
      </c>
      <c r="Y245" s="4" t="s">
        <v>376</v>
      </c>
      <c r="Z245" s="4">
        <v>300</v>
      </c>
      <c r="AA245" s="4" t="s">
        <v>424</v>
      </c>
      <c r="AB245" s="4" t="s">
        <v>384</v>
      </c>
      <c r="AE245" s="4" t="s">
        <v>429</v>
      </c>
      <c r="AU245" s="22" t="e">
        <f t="shared" si="13"/>
        <v>#DIV/0!</v>
      </c>
      <c r="AV245" s="11" t="s">
        <v>166</v>
      </c>
      <c r="AW245" s="31">
        <v>551.84194924092503</v>
      </c>
      <c r="AX245" s="31">
        <v>5.5486335881451201E-3</v>
      </c>
      <c r="AY245" s="11" t="s">
        <v>191</v>
      </c>
      <c r="AZ245" s="31">
        <v>0.18824461133228301</v>
      </c>
      <c r="BA245" s="31">
        <v>5.4633786391157001E-3</v>
      </c>
      <c r="BB245" t="s">
        <v>389</v>
      </c>
      <c r="BK245" s="25" t="s">
        <v>186</v>
      </c>
      <c r="BL245" s="11" t="s">
        <v>428</v>
      </c>
    </row>
    <row r="246" spans="2:64" ht="28.8" x14ac:dyDescent="0.3">
      <c r="B246" s="11" t="s">
        <v>171</v>
      </c>
      <c r="C246" s="4" t="s">
        <v>192</v>
      </c>
      <c r="D246" s="4"/>
      <c r="E246" s="4"/>
      <c r="F246" s="55" t="s">
        <v>258</v>
      </c>
      <c r="G246" s="4">
        <v>695.2</v>
      </c>
      <c r="H246" s="48">
        <f t="shared" si="14"/>
        <v>0</v>
      </c>
      <c r="I246" s="4" t="s">
        <v>436</v>
      </c>
      <c r="J246" s="4"/>
      <c r="K246" s="4"/>
      <c r="L246" s="4" t="e">
        <f t="shared" si="12"/>
        <v>#DIV/0!</v>
      </c>
      <c r="M246" t="s">
        <v>189</v>
      </c>
      <c r="O246" s="4" t="s">
        <v>266</v>
      </c>
      <c r="P246" s="4" t="s">
        <v>435</v>
      </c>
      <c r="Q246" s="4" t="s">
        <v>435</v>
      </c>
      <c r="R246" s="4" t="s">
        <v>425</v>
      </c>
      <c r="S246" t="s">
        <v>432</v>
      </c>
      <c r="T246" s="4" t="s">
        <v>433</v>
      </c>
      <c r="U246" s="4" t="s">
        <v>431</v>
      </c>
      <c r="X246" s="4" t="s">
        <v>423</v>
      </c>
      <c r="Y246" s="4" t="s">
        <v>376</v>
      </c>
      <c r="Z246" s="4">
        <v>300</v>
      </c>
      <c r="AA246" s="4" t="s">
        <v>424</v>
      </c>
      <c r="AB246" s="4" t="s">
        <v>384</v>
      </c>
      <c r="AE246" s="4" t="s">
        <v>429</v>
      </c>
      <c r="AU246" s="22" t="e">
        <f t="shared" si="13"/>
        <v>#DIV/0!</v>
      </c>
      <c r="AV246" s="11" t="s">
        <v>166</v>
      </c>
      <c r="AW246" s="31">
        <v>194.116451775336</v>
      </c>
      <c r="AX246" s="31">
        <v>1.9013837040719701E-2</v>
      </c>
      <c r="AY246" s="11" t="s">
        <v>191</v>
      </c>
      <c r="AZ246" s="31">
        <v>0.51873034311008004</v>
      </c>
      <c r="BA246" s="31">
        <v>0.28101266078746001</v>
      </c>
      <c r="BB246" t="s">
        <v>389</v>
      </c>
      <c r="BK246" s="25" t="s">
        <v>186</v>
      </c>
      <c r="BL246" s="11" t="s">
        <v>428</v>
      </c>
    </row>
    <row r="247" spans="2:64" ht="28.8" x14ac:dyDescent="0.3">
      <c r="B247" s="11" t="s">
        <v>171</v>
      </c>
      <c r="C247" s="4" t="s">
        <v>192</v>
      </c>
      <c r="D247" s="4"/>
      <c r="E247" s="4"/>
      <c r="F247" s="55" t="s">
        <v>258</v>
      </c>
      <c r="G247" s="4">
        <v>695.2</v>
      </c>
      <c r="H247" s="48">
        <f t="shared" si="14"/>
        <v>0</v>
      </c>
      <c r="I247" s="4" t="s">
        <v>436</v>
      </c>
      <c r="J247" s="4"/>
      <c r="K247" s="4"/>
      <c r="L247" s="4" t="e">
        <f t="shared" si="12"/>
        <v>#DIV/0!</v>
      </c>
      <c r="M247" t="s">
        <v>189</v>
      </c>
      <c r="O247" s="4" t="s">
        <v>266</v>
      </c>
      <c r="P247" s="4" t="s">
        <v>435</v>
      </c>
      <c r="Q247" s="4" t="s">
        <v>435</v>
      </c>
      <c r="R247" s="4" t="s">
        <v>425</v>
      </c>
      <c r="S247" t="s">
        <v>432</v>
      </c>
      <c r="T247" s="4" t="s">
        <v>433</v>
      </c>
      <c r="U247" s="4" t="s">
        <v>431</v>
      </c>
      <c r="X247" s="4" t="s">
        <v>423</v>
      </c>
      <c r="Y247" s="4" t="s">
        <v>376</v>
      </c>
      <c r="Z247" s="4">
        <v>300</v>
      </c>
      <c r="AA247" s="4" t="s">
        <v>424</v>
      </c>
      <c r="AB247" s="4" t="s">
        <v>384</v>
      </c>
      <c r="AE247" s="4" t="s">
        <v>429</v>
      </c>
      <c r="AU247" s="22" t="e">
        <f t="shared" si="13"/>
        <v>#DIV/0!</v>
      </c>
      <c r="AV247" s="11" t="s">
        <v>166</v>
      </c>
      <c r="AW247" s="31">
        <v>132.23527887122199</v>
      </c>
      <c r="AX247" s="31">
        <v>0.29182082376440899</v>
      </c>
      <c r="AY247" s="11" t="s">
        <v>191</v>
      </c>
      <c r="AZ247" s="31">
        <v>0.32968165712151598</v>
      </c>
      <c r="BA247" s="31">
        <v>0.148493536141559</v>
      </c>
      <c r="BB247" t="s">
        <v>389</v>
      </c>
      <c r="BK247" s="25" t="s">
        <v>186</v>
      </c>
      <c r="BL247" s="11" t="s">
        <v>428</v>
      </c>
    </row>
    <row r="248" spans="2:64" ht="28.8" x14ac:dyDescent="0.3">
      <c r="B248" s="11" t="s">
        <v>171</v>
      </c>
      <c r="C248" s="4" t="s">
        <v>192</v>
      </c>
      <c r="D248" s="4"/>
      <c r="E248" s="4"/>
      <c r="F248" s="55" t="s">
        <v>258</v>
      </c>
      <c r="G248" s="4">
        <v>695.2</v>
      </c>
      <c r="H248" s="48">
        <f t="shared" si="14"/>
        <v>0</v>
      </c>
      <c r="I248" s="4" t="s">
        <v>436</v>
      </c>
      <c r="J248" s="4"/>
      <c r="K248" s="4"/>
      <c r="L248" s="4" t="e">
        <f t="shared" si="12"/>
        <v>#DIV/0!</v>
      </c>
      <c r="M248" t="s">
        <v>189</v>
      </c>
      <c r="O248" s="4" t="s">
        <v>266</v>
      </c>
      <c r="P248" s="4" t="s">
        <v>435</v>
      </c>
      <c r="Q248" s="4" t="s">
        <v>435</v>
      </c>
      <c r="R248" s="4" t="s">
        <v>425</v>
      </c>
      <c r="S248" t="s">
        <v>432</v>
      </c>
      <c r="T248" s="4" t="s">
        <v>433</v>
      </c>
      <c r="U248" s="4" t="s">
        <v>431</v>
      </c>
      <c r="X248" s="4" t="s">
        <v>423</v>
      </c>
      <c r="Y248" s="4" t="s">
        <v>376</v>
      </c>
      <c r="Z248" s="4">
        <v>300</v>
      </c>
      <c r="AA248" s="4" t="s">
        <v>424</v>
      </c>
      <c r="AB248" s="4" t="s">
        <v>384</v>
      </c>
      <c r="AE248" s="4" t="s">
        <v>429</v>
      </c>
      <c r="AU248" s="22" t="e">
        <f t="shared" si="13"/>
        <v>#DIV/0!</v>
      </c>
      <c r="AV248" s="11" t="s">
        <v>166</v>
      </c>
      <c r="AW248" s="31">
        <v>46.552120531297099</v>
      </c>
      <c r="AX248" s="31">
        <v>2.23273514877729</v>
      </c>
      <c r="AY248" s="11" t="s">
        <v>191</v>
      </c>
      <c r="AZ248" s="31">
        <v>0.24768162265302901</v>
      </c>
      <c r="BA248" s="31">
        <v>0.29724369126266598</v>
      </c>
      <c r="BB248" t="s">
        <v>389</v>
      </c>
      <c r="BK248" s="25" t="s">
        <v>186</v>
      </c>
      <c r="BL248" s="11" t="s">
        <v>428</v>
      </c>
    </row>
    <row r="249" spans="2:64" ht="28.8" x14ac:dyDescent="0.3">
      <c r="B249" s="11" t="s">
        <v>171</v>
      </c>
      <c r="C249" s="4" t="s">
        <v>192</v>
      </c>
      <c r="D249" s="4"/>
      <c r="E249" s="4"/>
      <c r="F249" s="55" t="s">
        <v>258</v>
      </c>
      <c r="G249" s="4">
        <v>695.2</v>
      </c>
      <c r="H249" s="48">
        <f t="shared" si="14"/>
        <v>0</v>
      </c>
      <c r="I249" s="4" t="s">
        <v>436</v>
      </c>
      <c r="J249" s="4"/>
      <c r="K249" s="4"/>
      <c r="L249" s="4" t="e">
        <f t="shared" si="12"/>
        <v>#DIV/0!</v>
      </c>
      <c r="M249" t="s">
        <v>189</v>
      </c>
      <c r="O249" s="4" t="s">
        <v>266</v>
      </c>
      <c r="P249" s="4" t="s">
        <v>435</v>
      </c>
      <c r="Q249" s="4" t="s">
        <v>435</v>
      </c>
      <c r="R249" s="4" t="s">
        <v>425</v>
      </c>
      <c r="S249" t="s">
        <v>432</v>
      </c>
      <c r="T249" s="4" t="s">
        <v>433</v>
      </c>
      <c r="U249" s="4" t="s">
        <v>431</v>
      </c>
      <c r="X249" s="4" t="s">
        <v>423</v>
      </c>
      <c r="Y249" s="4" t="s">
        <v>376</v>
      </c>
      <c r="Z249" s="4">
        <v>300</v>
      </c>
      <c r="AA249" s="4" t="s">
        <v>424</v>
      </c>
      <c r="AB249" s="4" t="s">
        <v>384</v>
      </c>
      <c r="AE249" s="4" t="s">
        <v>429</v>
      </c>
      <c r="AU249" s="22" t="e">
        <f t="shared" si="13"/>
        <v>#DIV/0!</v>
      </c>
      <c r="AV249" s="11" t="s">
        <v>166</v>
      </c>
      <c r="AW249" s="31">
        <v>61.189530073279201</v>
      </c>
      <c r="AX249" s="31">
        <v>3.81412874828324</v>
      </c>
      <c r="AY249" s="11" t="s">
        <v>191</v>
      </c>
      <c r="AZ249" s="31">
        <v>0.41115287755890101</v>
      </c>
      <c r="BA249" s="31">
        <v>2.1317925457273499</v>
      </c>
      <c r="BB249" t="s">
        <v>389</v>
      </c>
      <c r="BK249" s="25" t="s">
        <v>186</v>
      </c>
      <c r="BL249" s="11" t="s">
        <v>428</v>
      </c>
    </row>
    <row r="250" spans="2:64" ht="28.8" x14ac:dyDescent="0.3">
      <c r="B250" s="11" t="s">
        <v>171</v>
      </c>
      <c r="C250" s="4" t="s">
        <v>192</v>
      </c>
      <c r="D250" s="4"/>
      <c r="E250" s="4"/>
      <c r="F250" s="55" t="s">
        <v>258</v>
      </c>
      <c r="G250" s="4">
        <v>695.2</v>
      </c>
      <c r="H250" s="48">
        <f t="shared" si="14"/>
        <v>0</v>
      </c>
      <c r="I250" s="4" t="s">
        <v>436</v>
      </c>
      <c r="J250" s="4"/>
      <c r="K250" s="4"/>
      <c r="L250" s="4" t="e">
        <f t="shared" si="12"/>
        <v>#DIV/0!</v>
      </c>
      <c r="M250" t="s">
        <v>189</v>
      </c>
      <c r="O250" s="4" t="s">
        <v>266</v>
      </c>
      <c r="P250" s="4" t="s">
        <v>435</v>
      </c>
      <c r="Q250" s="4" t="s">
        <v>435</v>
      </c>
      <c r="R250" s="4" t="s">
        <v>425</v>
      </c>
      <c r="S250" t="s">
        <v>432</v>
      </c>
      <c r="T250" s="4" t="s">
        <v>433</v>
      </c>
      <c r="U250" s="4" t="s">
        <v>431</v>
      </c>
      <c r="X250" s="4" t="s">
        <v>423</v>
      </c>
      <c r="Y250" s="4" t="s">
        <v>376</v>
      </c>
      <c r="Z250" s="4">
        <v>300</v>
      </c>
      <c r="AA250" s="4" t="s">
        <v>424</v>
      </c>
      <c r="AB250" s="4" t="s">
        <v>384</v>
      </c>
      <c r="AE250" s="4" t="s">
        <v>429</v>
      </c>
      <c r="AU250" s="22" t="e">
        <f t="shared" si="13"/>
        <v>#DIV/0!</v>
      </c>
      <c r="AV250" s="11" t="s">
        <v>166</v>
      </c>
      <c r="AW250" s="31">
        <v>96.175633520431504</v>
      </c>
      <c r="AX250" s="31">
        <v>0.27660527949178998</v>
      </c>
      <c r="AY250" s="11" t="s">
        <v>191</v>
      </c>
      <c r="AZ250" s="31">
        <v>1.209405783075</v>
      </c>
      <c r="BA250" s="31">
        <v>3.6175843908524699</v>
      </c>
      <c r="BB250" t="s">
        <v>389</v>
      </c>
      <c r="BK250" s="25" t="s">
        <v>186</v>
      </c>
      <c r="BL250" s="11" t="s">
        <v>428</v>
      </c>
    </row>
    <row r="251" spans="2:64" ht="149.4" customHeight="1" x14ac:dyDescent="0.3">
      <c r="B251" s="11" t="s">
        <v>172</v>
      </c>
      <c r="C251" s="4" t="s">
        <v>193</v>
      </c>
      <c r="D251" s="4"/>
      <c r="E251" s="4" t="e" vm="7">
        <v>#VALUE!</v>
      </c>
      <c r="F251" s="55"/>
      <c r="G251" s="4"/>
      <c r="H251" s="48" t="e">
        <f t="shared" si="14"/>
        <v>#DIV/0!</v>
      </c>
      <c r="I251" s="4" t="s">
        <v>436</v>
      </c>
      <c r="J251" s="4"/>
      <c r="K251" s="4"/>
      <c r="L251" s="4" t="e">
        <f t="shared" si="12"/>
        <v>#DIV/0!</v>
      </c>
      <c r="M251" t="s">
        <v>189</v>
      </c>
      <c r="O251" s="4" t="s">
        <v>266</v>
      </c>
      <c r="P251" s="4" t="s">
        <v>435</v>
      </c>
      <c r="Q251" s="4" t="s">
        <v>435</v>
      </c>
      <c r="R251" s="4" t="s">
        <v>425</v>
      </c>
      <c r="T251" s="4" t="s">
        <v>434</v>
      </c>
      <c r="X251" s="4" t="s">
        <v>423</v>
      </c>
      <c r="Y251" s="4" t="s">
        <v>376</v>
      </c>
      <c r="Z251" s="4">
        <v>300</v>
      </c>
      <c r="AA251" s="4" t="s">
        <v>424</v>
      </c>
      <c r="AB251" s="4" t="s">
        <v>384</v>
      </c>
      <c r="AU251" s="22" t="e">
        <f t="shared" si="13"/>
        <v>#DIV/0!</v>
      </c>
      <c r="AV251" s="11" t="s">
        <v>166</v>
      </c>
      <c r="AW251" s="31">
        <v>1302.1335325909999</v>
      </c>
      <c r="AX251" s="31">
        <v>1.9013837040719901E-5</v>
      </c>
      <c r="AY251" s="11" t="s">
        <v>191</v>
      </c>
      <c r="AZ251" s="29">
        <v>3.37037340020281E-3</v>
      </c>
      <c r="BA251" s="29">
        <v>1.9520805647145299E-5</v>
      </c>
      <c r="BB251" t="s">
        <v>389</v>
      </c>
      <c r="BK251" s="25" t="s">
        <v>186</v>
      </c>
      <c r="BL251" s="11" t="s">
        <v>428</v>
      </c>
    </row>
    <row r="252" spans="2:64" ht="15.6" x14ac:dyDescent="0.3">
      <c r="B252" s="11" t="s">
        <v>172</v>
      </c>
      <c r="C252" s="4" t="s">
        <v>193</v>
      </c>
      <c r="D252" s="4"/>
      <c r="E252" s="4"/>
      <c r="F252" s="55"/>
      <c r="G252" s="4"/>
      <c r="H252" s="48" t="e">
        <f t="shared" si="14"/>
        <v>#DIV/0!</v>
      </c>
      <c r="I252" s="4" t="s">
        <v>436</v>
      </c>
      <c r="J252" s="4"/>
      <c r="K252" s="4"/>
      <c r="L252" s="4" t="e">
        <f t="shared" si="12"/>
        <v>#DIV/0!</v>
      </c>
      <c r="M252" t="s">
        <v>189</v>
      </c>
      <c r="O252" s="4" t="s">
        <v>266</v>
      </c>
      <c r="P252" s="4" t="s">
        <v>435</v>
      </c>
      <c r="Q252" s="4" t="s">
        <v>435</v>
      </c>
      <c r="R252" s="4" t="s">
        <v>425</v>
      </c>
      <c r="T252" s="4" t="s">
        <v>434</v>
      </c>
      <c r="X252" s="4" t="s">
        <v>423</v>
      </c>
      <c r="Y252" s="4" t="s">
        <v>376</v>
      </c>
      <c r="Z252" s="4">
        <v>300</v>
      </c>
      <c r="AA252" s="4" t="s">
        <v>424</v>
      </c>
      <c r="AB252" s="4" t="s">
        <v>384</v>
      </c>
      <c r="AU252" s="22" t="e">
        <f t="shared" si="13"/>
        <v>#DIV/0!</v>
      </c>
      <c r="AV252" s="11" t="s">
        <v>166</v>
      </c>
      <c r="AW252" s="31">
        <v>401.33724461173398</v>
      </c>
      <c r="AX252" s="31">
        <v>4.9851062445855398E-3</v>
      </c>
      <c r="AY252" s="11" t="s">
        <v>191</v>
      </c>
      <c r="AZ252" s="29">
        <v>8.0221632943835303E-2</v>
      </c>
      <c r="BA252" s="29">
        <v>5.7814740493460099E-3</v>
      </c>
      <c r="BB252" t="s">
        <v>389</v>
      </c>
      <c r="BK252" s="25" t="s">
        <v>186</v>
      </c>
      <c r="BL252" s="11" t="s">
        <v>428</v>
      </c>
    </row>
    <row r="253" spans="2:64" ht="15.6" x14ac:dyDescent="0.3">
      <c r="B253" s="11" t="s">
        <v>172</v>
      </c>
      <c r="C253" s="4" t="s">
        <v>193</v>
      </c>
      <c r="D253" s="4"/>
      <c r="E253" s="4"/>
      <c r="F253" s="55"/>
      <c r="G253" s="4"/>
      <c r="H253" s="48" t="e">
        <f t="shared" si="14"/>
        <v>#DIV/0!</v>
      </c>
      <c r="I253" s="4" t="s">
        <v>436</v>
      </c>
      <c r="J253" s="4"/>
      <c r="K253" s="4"/>
      <c r="L253" s="4" t="e">
        <f t="shared" si="12"/>
        <v>#DIV/0!</v>
      </c>
      <c r="M253" t="s">
        <v>189</v>
      </c>
      <c r="O253" s="4" t="s">
        <v>266</v>
      </c>
      <c r="P253" s="4" t="s">
        <v>435</v>
      </c>
      <c r="Q253" s="4" t="s">
        <v>435</v>
      </c>
      <c r="R253" s="4" t="s">
        <v>425</v>
      </c>
      <c r="T253" s="4" t="s">
        <v>434</v>
      </c>
      <c r="X253" s="4" t="s">
        <v>423</v>
      </c>
      <c r="Y253" s="4" t="s">
        <v>376</v>
      </c>
      <c r="Z253" s="4">
        <v>300</v>
      </c>
      <c r="AA253" s="4" t="s">
        <v>424</v>
      </c>
      <c r="AB253" s="4" t="s">
        <v>384</v>
      </c>
      <c r="AU253" s="22" t="e">
        <f t="shared" si="13"/>
        <v>#DIV/0!</v>
      </c>
      <c r="AV253" s="11" t="s">
        <v>166</v>
      </c>
      <c r="AW253" s="31">
        <v>367.10277748572298</v>
      </c>
      <c r="AX253" s="31">
        <v>3.0787334695491601E-2</v>
      </c>
      <c r="AY253" s="11" t="s">
        <v>191</v>
      </c>
      <c r="AZ253" s="29">
        <v>7.9926559150170703E-2</v>
      </c>
      <c r="BA253" s="29">
        <v>2.5715377438104502E-2</v>
      </c>
      <c r="BB253" t="s">
        <v>389</v>
      </c>
      <c r="BK253" s="25" t="s">
        <v>186</v>
      </c>
      <c r="BL253" s="11" t="s">
        <v>428</v>
      </c>
    </row>
    <row r="254" spans="2:64" ht="15.6" x14ac:dyDescent="0.3">
      <c r="B254" s="11" t="s">
        <v>172</v>
      </c>
      <c r="C254" s="4" t="s">
        <v>193</v>
      </c>
      <c r="D254" s="4"/>
      <c r="E254" s="4"/>
      <c r="F254" s="55"/>
      <c r="G254" s="4"/>
      <c r="H254" s="48" t="e">
        <f t="shared" si="14"/>
        <v>#DIV/0!</v>
      </c>
      <c r="I254" s="4" t="s">
        <v>436</v>
      </c>
      <c r="J254" s="4"/>
      <c r="K254" s="4"/>
      <c r="L254" s="4" t="e">
        <f t="shared" si="12"/>
        <v>#DIV/0!</v>
      </c>
      <c r="M254" t="s">
        <v>189</v>
      </c>
      <c r="O254" s="4" t="s">
        <v>266</v>
      </c>
      <c r="P254" s="4" t="s">
        <v>435</v>
      </c>
      <c r="Q254" s="4" t="s">
        <v>435</v>
      </c>
      <c r="R254" s="4" t="s">
        <v>425</v>
      </c>
      <c r="T254" s="4" t="s">
        <v>434</v>
      </c>
      <c r="X254" s="4" t="s">
        <v>423</v>
      </c>
      <c r="Y254" s="4" t="s">
        <v>376</v>
      </c>
      <c r="Z254" s="4">
        <v>300</v>
      </c>
      <c r="AA254" s="4" t="s">
        <v>424</v>
      </c>
      <c r="AB254" s="4" t="s">
        <v>384</v>
      </c>
      <c r="AU254" s="22" t="e">
        <f t="shared" si="13"/>
        <v>#DIV/0!</v>
      </c>
      <c r="AV254" s="11" t="s">
        <v>166</v>
      </c>
      <c r="AW254" s="31">
        <v>185.53499940997401</v>
      </c>
      <c r="AX254" s="31">
        <v>2.48512842698058E-2</v>
      </c>
      <c r="AY254" s="11" t="s">
        <v>191</v>
      </c>
      <c r="AZ254" s="29">
        <v>0.46560345500613998</v>
      </c>
      <c r="BA254" s="29">
        <v>2.8414273493488101E-2</v>
      </c>
      <c r="BB254" t="s">
        <v>389</v>
      </c>
      <c r="BK254" s="25" t="s">
        <v>186</v>
      </c>
      <c r="BL254" s="11" t="s">
        <v>428</v>
      </c>
    </row>
    <row r="255" spans="2:64" ht="83.4" customHeight="1" x14ac:dyDescent="0.3">
      <c r="B255" s="11" t="s">
        <v>173</v>
      </c>
      <c r="C255" s="4" t="s">
        <v>167</v>
      </c>
      <c r="D255" s="4" t="s">
        <v>91</v>
      </c>
      <c r="E255" s="4" t="e" vm="5">
        <v>#VALUE!</v>
      </c>
      <c r="F255" s="55"/>
      <c r="G255" s="4"/>
      <c r="H255" s="48" t="e">
        <f t="shared" si="14"/>
        <v>#DIV/0!</v>
      </c>
      <c r="I255" s="4" t="s">
        <v>437</v>
      </c>
      <c r="J255" s="4"/>
      <c r="K255" s="4"/>
      <c r="L255" s="4" t="e">
        <f t="shared" si="12"/>
        <v>#DIV/0!</v>
      </c>
      <c r="M255" t="s">
        <v>194</v>
      </c>
      <c r="O255" s="4" t="s">
        <v>266</v>
      </c>
      <c r="Q255" s="4" t="s">
        <v>435</v>
      </c>
      <c r="R255" s="4" t="s">
        <v>408</v>
      </c>
      <c r="X255" s="4" t="s">
        <v>423</v>
      </c>
      <c r="Y255" s="4" t="s">
        <v>376</v>
      </c>
      <c r="Z255" s="4">
        <v>300</v>
      </c>
      <c r="AA255" s="4" t="s">
        <v>424</v>
      </c>
      <c r="AB255" s="4" t="s">
        <v>384</v>
      </c>
      <c r="AE255" t="s">
        <v>430</v>
      </c>
      <c r="AU255" s="22" t="e">
        <f t="shared" si="13"/>
        <v>#DIV/0!</v>
      </c>
      <c r="AV255" s="11" t="s">
        <v>166</v>
      </c>
      <c r="AW255" s="39">
        <v>668.27439921797395</v>
      </c>
      <c r="AX255" s="39">
        <v>1.0421768821862699E-3</v>
      </c>
      <c r="AY255" s="11" t="s">
        <v>191</v>
      </c>
      <c r="AZ255" s="11">
        <v>3.8475737160407399E-2</v>
      </c>
      <c r="BA255" s="11">
        <v>9.9857526661406202E-4</v>
      </c>
      <c r="BB255" s="11">
        <v>80</v>
      </c>
      <c r="BK255" s="25" t="s">
        <v>186</v>
      </c>
      <c r="BL255" s="11" t="s">
        <v>428</v>
      </c>
    </row>
    <row r="256" spans="2:64" ht="15.6" x14ac:dyDescent="0.3">
      <c r="B256" s="11" t="s">
        <v>173</v>
      </c>
      <c r="C256" s="4" t="s">
        <v>167</v>
      </c>
      <c r="D256" s="4" t="s">
        <v>91</v>
      </c>
      <c r="E256" s="4"/>
      <c r="F256" s="55"/>
      <c r="G256" s="4"/>
      <c r="H256" s="48" t="e">
        <f t="shared" si="14"/>
        <v>#DIV/0!</v>
      </c>
      <c r="I256" s="4" t="s">
        <v>437</v>
      </c>
      <c r="J256" s="4"/>
      <c r="K256" s="4"/>
      <c r="L256" s="4" t="e">
        <f t="shared" si="12"/>
        <v>#DIV/0!</v>
      </c>
      <c r="M256" t="s">
        <v>194</v>
      </c>
      <c r="O256" s="4" t="s">
        <v>266</v>
      </c>
      <c r="Q256" s="4" t="s">
        <v>435</v>
      </c>
      <c r="R256" s="4" t="s">
        <v>408</v>
      </c>
      <c r="X256" s="4" t="s">
        <v>423</v>
      </c>
      <c r="Y256" s="4" t="s">
        <v>376</v>
      </c>
      <c r="Z256" s="4">
        <v>300</v>
      </c>
      <c r="AA256" s="4" t="s">
        <v>424</v>
      </c>
      <c r="AB256" s="4" t="s">
        <v>384</v>
      </c>
      <c r="AE256" t="s">
        <v>430</v>
      </c>
      <c r="AU256" s="22" t="e">
        <f t="shared" si="13"/>
        <v>#DIV/0!</v>
      </c>
      <c r="AV256" s="11" t="s">
        <v>166</v>
      </c>
      <c r="AW256" s="39">
        <v>169.769965246727</v>
      </c>
      <c r="AX256" s="39">
        <v>0.107275967539467</v>
      </c>
      <c r="AY256" s="11" t="s">
        <v>191</v>
      </c>
      <c r="AZ256" s="11">
        <v>0.262931621499156</v>
      </c>
      <c r="BA256" s="11">
        <v>9.1992680710288197E-2</v>
      </c>
      <c r="BB256" s="11">
        <v>80</v>
      </c>
      <c r="BK256" s="25" t="s">
        <v>186</v>
      </c>
      <c r="BL256" s="11" t="s">
        <v>428</v>
      </c>
    </row>
    <row r="257" spans="2:64" ht="15.6" x14ac:dyDescent="0.3">
      <c r="B257" s="11" t="s">
        <v>173</v>
      </c>
      <c r="C257" s="4" t="s">
        <v>167</v>
      </c>
      <c r="D257" s="4" t="s">
        <v>91</v>
      </c>
      <c r="E257" s="4"/>
      <c r="F257" s="55"/>
      <c r="G257" s="4"/>
      <c r="H257" s="48" t="e">
        <f t="shared" si="14"/>
        <v>#DIV/0!</v>
      </c>
      <c r="I257" s="4" t="s">
        <v>437</v>
      </c>
      <c r="J257" s="4"/>
      <c r="K257" s="4"/>
      <c r="L257" s="4" t="e">
        <f t="shared" si="12"/>
        <v>#DIV/0!</v>
      </c>
      <c r="M257" t="s">
        <v>194</v>
      </c>
      <c r="O257" s="4" t="s">
        <v>266</v>
      </c>
      <c r="Q257" s="4" t="s">
        <v>435</v>
      </c>
      <c r="R257" s="4" t="s">
        <v>408</v>
      </c>
      <c r="X257" s="4" t="s">
        <v>423</v>
      </c>
      <c r="Y257" s="4" t="s">
        <v>376</v>
      </c>
      <c r="Z257" s="4">
        <v>300</v>
      </c>
      <c r="AA257" s="4" t="s">
        <v>424</v>
      </c>
      <c r="AB257" s="4" t="s">
        <v>384</v>
      </c>
      <c r="AE257" t="s">
        <v>430</v>
      </c>
      <c r="AU257" s="22" t="e">
        <f t="shared" si="13"/>
        <v>#DIV/0!</v>
      </c>
      <c r="AV257" s="11" t="s">
        <v>166</v>
      </c>
      <c r="AW257" s="39">
        <v>141.421356237309</v>
      </c>
      <c r="AX257" s="39">
        <v>0.18269259207060801</v>
      </c>
      <c r="AY257" s="11" t="s">
        <v>191</v>
      </c>
      <c r="AZ257" s="11">
        <v>0.311378683628242</v>
      </c>
      <c r="BA257" s="11">
        <v>0.165234049872206</v>
      </c>
      <c r="BB257" s="11">
        <v>80</v>
      </c>
      <c r="BK257" s="25" t="s">
        <v>186</v>
      </c>
      <c r="BL257" s="11" t="s">
        <v>428</v>
      </c>
    </row>
    <row r="258" spans="2:64" ht="15.6" x14ac:dyDescent="0.3">
      <c r="B258" s="11" t="s">
        <v>173</v>
      </c>
      <c r="C258" s="4" t="s">
        <v>167</v>
      </c>
      <c r="D258" s="4" t="s">
        <v>91</v>
      </c>
      <c r="E258" s="4"/>
      <c r="F258" s="55"/>
      <c r="G258" s="4"/>
      <c r="H258" s="48" t="e">
        <f t="shared" si="14"/>
        <v>#DIV/0!</v>
      </c>
      <c r="I258" s="4" t="s">
        <v>437</v>
      </c>
      <c r="J258" s="4"/>
      <c r="K258" s="4"/>
      <c r="L258" s="4" t="e">
        <f t="shared" si="12"/>
        <v>#DIV/0!</v>
      </c>
      <c r="M258" t="s">
        <v>194</v>
      </c>
      <c r="O258" s="4" t="s">
        <v>266</v>
      </c>
      <c r="Q258" s="4" t="s">
        <v>435</v>
      </c>
      <c r="R258" s="4" t="s">
        <v>408</v>
      </c>
      <c r="X258" s="4" t="s">
        <v>423</v>
      </c>
      <c r="Y258" s="4" t="s">
        <v>376</v>
      </c>
      <c r="Z258" s="4">
        <v>300</v>
      </c>
      <c r="AA258" s="4" t="s">
        <v>424</v>
      </c>
      <c r="AB258" s="4" t="s">
        <v>384</v>
      </c>
      <c r="AE258" t="s">
        <v>430</v>
      </c>
      <c r="AU258" s="22" t="e">
        <f t="shared" si="13"/>
        <v>#DIV/0!</v>
      </c>
      <c r="AV258" s="11" t="s">
        <v>166</v>
      </c>
      <c r="AW258" s="39">
        <v>132.05665719883899</v>
      </c>
      <c r="AX258" s="39">
        <v>0.26535905183087899</v>
      </c>
      <c r="AY258" s="11" t="s">
        <v>191</v>
      </c>
      <c r="AZ258" s="11">
        <v>0.41343182610046503</v>
      </c>
      <c r="BA258" s="11">
        <v>0.22725500437542501</v>
      </c>
      <c r="BB258" s="11">
        <v>80</v>
      </c>
      <c r="BK258" s="25" t="s">
        <v>186</v>
      </c>
      <c r="BL258" s="11" t="s">
        <v>428</v>
      </c>
    </row>
    <row r="259" spans="2:64" ht="15.6" x14ac:dyDescent="0.3">
      <c r="B259" s="11" t="s">
        <v>173</v>
      </c>
      <c r="C259" s="4" t="s">
        <v>167</v>
      </c>
      <c r="D259" s="4" t="s">
        <v>91</v>
      </c>
      <c r="E259" s="4"/>
      <c r="F259" s="55"/>
      <c r="G259" s="4"/>
      <c r="H259" s="48" t="e">
        <f t="shared" si="14"/>
        <v>#DIV/0!</v>
      </c>
      <c r="I259" s="4" t="s">
        <v>437</v>
      </c>
      <c r="J259" s="4"/>
      <c r="K259" s="4"/>
      <c r="L259" s="4" t="e">
        <f t="shared" si="12"/>
        <v>#DIV/0!</v>
      </c>
      <c r="M259" t="s">
        <v>194</v>
      </c>
      <c r="O259" s="4" t="s">
        <v>266</v>
      </c>
      <c r="Q259" s="4" t="s">
        <v>435</v>
      </c>
      <c r="R259" s="4" t="s">
        <v>408</v>
      </c>
      <c r="X259" s="4" t="s">
        <v>423</v>
      </c>
      <c r="Y259" s="4" t="s">
        <v>376</v>
      </c>
      <c r="Z259" s="4">
        <v>300</v>
      </c>
      <c r="AA259" s="4" t="s">
        <v>424</v>
      </c>
      <c r="AB259" s="4" t="s">
        <v>384</v>
      </c>
      <c r="AE259" t="s">
        <v>430</v>
      </c>
      <c r="AU259" s="22" t="e">
        <f t="shared" si="13"/>
        <v>#DIV/0!</v>
      </c>
      <c r="AV259" s="11" t="s">
        <v>166</v>
      </c>
      <c r="AW259" s="39">
        <v>98.134852487214999</v>
      </c>
      <c r="AX259" s="39">
        <v>0.32759798912898003</v>
      </c>
      <c r="AY259" s="11" t="s">
        <v>191</v>
      </c>
      <c r="AZ259" s="11">
        <v>0.27754545967892802</v>
      </c>
      <c r="BA259" s="11">
        <v>0.28169150859120401</v>
      </c>
      <c r="BB259" s="11">
        <v>80</v>
      </c>
      <c r="BK259" s="25" t="s">
        <v>186</v>
      </c>
      <c r="BL259" s="11" t="s">
        <v>428</v>
      </c>
    </row>
    <row r="260" spans="2:64" ht="15.6" x14ac:dyDescent="0.3">
      <c r="B260" s="11" t="s">
        <v>173</v>
      </c>
      <c r="C260" s="4" t="s">
        <v>167</v>
      </c>
      <c r="D260" s="4" t="s">
        <v>91</v>
      </c>
      <c r="E260" s="4"/>
      <c r="F260" s="55"/>
      <c r="G260" s="4"/>
      <c r="H260" s="48" t="e">
        <f t="shared" si="14"/>
        <v>#DIV/0!</v>
      </c>
      <c r="I260" s="4" t="s">
        <v>437</v>
      </c>
      <c r="J260" s="4"/>
      <c r="K260" s="4"/>
      <c r="L260" s="4" t="e">
        <f t="shared" si="12"/>
        <v>#DIV/0!</v>
      </c>
      <c r="M260" t="s">
        <v>194</v>
      </c>
      <c r="O260" s="4" t="s">
        <v>266</v>
      </c>
      <c r="Q260" s="4" t="s">
        <v>435</v>
      </c>
      <c r="R260" s="4" t="s">
        <v>408</v>
      </c>
      <c r="X260" s="4" t="s">
        <v>423</v>
      </c>
      <c r="Y260" s="4" t="s">
        <v>376</v>
      </c>
      <c r="Z260" s="4">
        <v>300</v>
      </c>
      <c r="AA260" s="4" t="s">
        <v>424</v>
      </c>
      <c r="AB260" s="4" t="s">
        <v>384</v>
      </c>
      <c r="AE260" t="s">
        <v>430</v>
      </c>
      <c r="AU260" s="22" t="e">
        <f t="shared" si="13"/>
        <v>#DIV/0!</v>
      </c>
      <c r="AV260" s="11" t="s">
        <v>166</v>
      </c>
      <c r="AW260" s="39">
        <v>102.721118456894</v>
      </c>
      <c r="AX260" s="39">
        <v>0.55919052593857599</v>
      </c>
      <c r="AY260" s="11" t="s">
        <v>191</v>
      </c>
      <c r="AZ260" s="11">
        <v>0.51797992886253597</v>
      </c>
      <c r="BA260" s="11">
        <v>0.50507740720441696</v>
      </c>
      <c r="BB260" s="11">
        <v>80</v>
      </c>
      <c r="BK260" s="25" t="s">
        <v>186</v>
      </c>
      <c r="BL260" s="11" t="s">
        <v>428</v>
      </c>
    </row>
    <row r="261" spans="2:64" ht="15.6" x14ac:dyDescent="0.3">
      <c r="B261" s="11" t="s">
        <v>173</v>
      </c>
      <c r="C261" s="4" t="s">
        <v>167</v>
      </c>
      <c r="D261" s="4" t="s">
        <v>91</v>
      </c>
      <c r="E261" s="4"/>
      <c r="F261" s="55"/>
      <c r="G261" s="4"/>
      <c r="H261" s="48" t="e">
        <f t="shared" si="14"/>
        <v>#DIV/0!</v>
      </c>
      <c r="I261" s="4" t="s">
        <v>437</v>
      </c>
      <c r="J261" s="4"/>
      <c r="K261" s="4"/>
      <c r="L261" s="4" t="e">
        <f t="shared" ref="L261:L324" si="15">J261/K261</f>
        <v>#DIV/0!</v>
      </c>
      <c r="M261" t="s">
        <v>194</v>
      </c>
      <c r="O261" s="4" t="s">
        <v>266</v>
      </c>
      <c r="Q261" s="4" t="s">
        <v>435</v>
      </c>
      <c r="R261" s="4" t="s">
        <v>408</v>
      </c>
      <c r="X261" s="4" t="s">
        <v>423</v>
      </c>
      <c r="Y261" s="4" t="s">
        <v>376</v>
      </c>
      <c r="Z261" s="4">
        <v>300</v>
      </c>
      <c r="AA261" s="4" t="s">
        <v>424</v>
      </c>
      <c r="AB261" s="4" t="s">
        <v>384</v>
      </c>
      <c r="AE261" t="s">
        <v>430</v>
      </c>
      <c r="AU261" s="22" t="e">
        <f t="shared" si="13"/>
        <v>#DIV/0!</v>
      </c>
      <c r="AV261" s="11" t="s">
        <v>166</v>
      </c>
      <c r="AW261" s="39">
        <v>66.560000633209498</v>
      </c>
      <c r="AX261" s="39">
        <v>19.961079058040301</v>
      </c>
      <c r="AY261" s="11" t="s">
        <v>191</v>
      </c>
      <c r="AZ261" s="11">
        <v>0.31080549451128803</v>
      </c>
      <c r="BA261" s="11">
        <v>0.34847907776883302</v>
      </c>
      <c r="BB261" s="11">
        <v>80</v>
      </c>
      <c r="BK261" s="25" t="s">
        <v>186</v>
      </c>
      <c r="BL261" s="11" t="s">
        <v>428</v>
      </c>
    </row>
    <row r="262" spans="2:64" ht="15.6" x14ac:dyDescent="0.3">
      <c r="B262" s="11" t="s">
        <v>173</v>
      </c>
      <c r="C262" s="4" t="s">
        <v>167</v>
      </c>
      <c r="D262" s="4" t="s">
        <v>91</v>
      </c>
      <c r="E262" s="4"/>
      <c r="F262" s="55"/>
      <c r="G262" s="4"/>
      <c r="H262" s="48" t="e">
        <f t="shared" si="14"/>
        <v>#DIV/0!</v>
      </c>
      <c r="I262" s="4" t="s">
        <v>437</v>
      </c>
      <c r="J262" s="4"/>
      <c r="K262" s="4"/>
      <c r="L262" s="4" t="e">
        <f t="shared" si="15"/>
        <v>#DIV/0!</v>
      </c>
      <c r="M262" t="s">
        <v>194</v>
      </c>
      <c r="O262" s="4" t="s">
        <v>266</v>
      </c>
      <c r="Q262" s="4" t="s">
        <v>435</v>
      </c>
      <c r="R262" s="4" t="s">
        <v>408</v>
      </c>
      <c r="X262" s="4" t="s">
        <v>423</v>
      </c>
      <c r="Y262" s="4" t="s">
        <v>376</v>
      </c>
      <c r="Z262" s="4">
        <v>300</v>
      </c>
      <c r="AA262" s="4" t="s">
        <v>424</v>
      </c>
      <c r="AB262" s="4" t="s">
        <v>384</v>
      </c>
      <c r="AE262" t="s">
        <v>430</v>
      </c>
      <c r="AU262" s="22" t="e">
        <f t="shared" si="13"/>
        <v>#DIV/0!</v>
      </c>
      <c r="AV262" s="11" t="s">
        <v>166</v>
      </c>
      <c r="AW262" s="39">
        <v>62.152502427037497</v>
      </c>
      <c r="AX262" s="39">
        <v>30.584320767779399</v>
      </c>
      <c r="AY262" s="11" t="s">
        <v>191</v>
      </c>
      <c r="AZ262" s="11">
        <v>7.4319476777766402</v>
      </c>
      <c r="BA262" s="11">
        <v>15.978082113506</v>
      </c>
      <c r="BB262" s="11">
        <v>80</v>
      </c>
      <c r="BK262" s="25" t="s">
        <v>186</v>
      </c>
      <c r="BL262" s="11" t="s">
        <v>428</v>
      </c>
    </row>
    <row r="263" spans="2:64" ht="15.6" x14ac:dyDescent="0.3">
      <c r="B263" s="11" t="s">
        <v>173</v>
      </c>
      <c r="C263" s="4" t="s">
        <v>167</v>
      </c>
      <c r="D263" s="4" t="s">
        <v>91</v>
      </c>
      <c r="E263" s="4"/>
      <c r="F263" s="55"/>
      <c r="G263" s="4"/>
      <c r="H263" s="48" t="e">
        <f t="shared" si="14"/>
        <v>#DIV/0!</v>
      </c>
      <c r="I263" s="4" t="s">
        <v>437</v>
      </c>
      <c r="J263" s="4"/>
      <c r="K263" s="4"/>
      <c r="L263" s="4" t="e">
        <f t="shared" si="15"/>
        <v>#DIV/0!</v>
      </c>
      <c r="M263" t="s">
        <v>194</v>
      </c>
      <c r="O263" s="4" t="s">
        <v>266</v>
      </c>
      <c r="Q263" s="4" t="s">
        <v>435</v>
      </c>
      <c r="R263" s="4" t="s">
        <v>408</v>
      </c>
      <c r="X263" s="4" t="s">
        <v>423</v>
      </c>
      <c r="Y263" s="4" t="s">
        <v>376</v>
      </c>
      <c r="Z263" s="4">
        <v>300</v>
      </c>
      <c r="AA263" s="4" t="s">
        <v>424</v>
      </c>
      <c r="AB263" s="4" t="s">
        <v>384</v>
      </c>
      <c r="AE263" t="s">
        <v>430</v>
      </c>
      <c r="AU263" s="22" t="e">
        <f t="shared" si="13"/>
        <v>#DIV/0!</v>
      </c>
      <c r="AV263" s="11" t="s">
        <v>166</v>
      </c>
      <c r="AW263" s="39">
        <v>50.605127631827202</v>
      </c>
      <c r="AX263" s="39">
        <v>28.933229490387799</v>
      </c>
      <c r="AY263" s="11" t="s">
        <v>191</v>
      </c>
      <c r="AZ263" s="11">
        <v>7.42510412364211</v>
      </c>
      <c r="BA263" s="11">
        <v>23.204019904771201</v>
      </c>
      <c r="BB263" s="11">
        <v>80</v>
      </c>
      <c r="BK263" s="25" t="s">
        <v>186</v>
      </c>
      <c r="BL263" s="11" t="s">
        <v>428</v>
      </c>
    </row>
    <row r="264" spans="2:64" ht="15.6" x14ac:dyDescent="0.3">
      <c r="B264" s="11" t="s">
        <v>173</v>
      </c>
      <c r="C264" s="4" t="s">
        <v>167</v>
      </c>
      <c r="D264" s="4" t="s">
        <v>91</v>
      </c>
      <c r="E264" s="4"/>
      <c r="F264" s="55"/>
      <c r="G264" s="4"/>
      <c r="H264" s="48" t="e">
        <f t="shared" si="14"/>
        <v>#DIV/0!</v>
      </c>
      <c r="I264" s="4" t="s">
        <v>437</v>
      </c>
      <c r="J264" s="4"/>
      <c r="K264" s="4"/>
      <c r="L264" s="4" t="e">
        <f t="shared" si="15"/>
        <v>#DIV/0!</v>
      </c>
      <c r="M264" t="s">
        <v>194</v>
      </c>
      <c r="O264" s="4" t="s">
        <v>266</v>
      </c>
      <c r="Q264" s="4" t="s">
        <v>435</v>
      </c>
      <c r="R264" s="4" t="s">
        <v>408</v>
      </c>
      <c r="X264" s="4" t="s">
        <v>423</v>
      </c>
      <c r="Y264" s="4" t="s">
        <v>376</v>
      </c>
      <c r="Z264" s="4">
        <v>300</v>
      </c>
      <c r="AA264" s="4" t="s">
        <v>424</v>
      </c>
      <c r="AB264" s="4" t="s">
        <v>384</v>
      </c>
      <c r="AE264" t="s">
        <v>430</v>
      </c>
      <c r="AU264" s="22" t="e">
        <f t="shared" si="13"/>
        <v>#DIV/0!</v>
      </c>
      <c r="AV264" s="11" t="s">
        <v>166</v>
      </c>
      <c r="AW264" s="39">
        <v>66.360000633209495</v>
      </c>
      <c r="AX264" s="39">
        <v>19.8610790580403</v>
      </c>
      <c r="AY264" s="11" t="s">
        <v>191</v>
      </c>
      <c r="AZ264" s="11">
        <v>11.698252232330599</v>
      </c>
      <c r="BA264" s="11">
        <v>25.769018687038098</v>
      </c>
      <c r="BB264" s="11">
        <v>80</v>
      </c>
      <c r="BK264" s="25" t="s">
        <v>186</v>
      </c>
      <c r="BL264" s="11" t="s">
        <v>428</v>
      </c>
    </row>
    <row r="265" spans="2:64" ht="116.4" customHeight="1" x14ac:dyDescent="0.3">
      <c r="B265" s="11" t="s">
        <v>174</v>
      </c>
      <c r="C265" s="4" t="s">
        <v>192</v>
      </c>
      <c r="D265" s="4"/>
      <c r="E265" s="4" t="e" vm="6">
        <v>#VALUE!</v>
      </c>
      <c r="F265" s="55"/>
      <c r="G265" s="4"/>
      <c r="H265" s="48" t="e">
        <f t="shared" si="14"/>
        <v>#DIV/0!</v>
      </c>
      <c r="I265" s="4" t="s">
        <v>437</v>
      </c>
      <c r="J265" s="4"/>
      <c r="K265" s="4"/>
      <c r="L265" s="4" t="e">
        <f t="shared" si="15"/>
        <v>#DIV/0!</v>
      </c>
      <c r="M265" t="s">
        <v>194</v>
      </c>
      <c r="O265" s="4" t="s">
        <v>266</v>
      </c>
      <c r="Q265" s="4" t="s">
        <v>435</v>
      </c>
      <c r="R265" s="4" t="s">
        <v>408</v>
      </c>
      <c r="X265" s="4" t="s">
        <v>423</v>
      </c>
      <c r="Y265" s="4" t="s">
        <v>376</v>
      </c>
      <c r="Z265" s="4">
        <v>300</v>
      </c>
      <c r="AA265" s="4" t="s">
        <v>424</v>
      </c>
      <c r="AB265" s="4" t="s">
        <v>384</v>
      </c>
      <c r="AE265" t="s">
        <v>430</v>
      </c>
      <c r="AU265" s="22" t="e">
        <f t="shared" si="13"/>
        <v>#DIV/0!</v>
      </c>
      <c r="AV265" s="11" t="s">
        <v>166</v>
      </c>
      <c r="AW265" s="31">
        <v>668.27439921797395</v>
      </c>
      <c r="AX265" s="31">
        <v>1.0421768821862699E-3</v>
      </c>
      <c r="AY265" s="11" t="s">
        <v>191</v>
      </c>
      <c r="AZ265" s="11">
        <v>0.10652797751979</v>
      </c>
      <c r="BA265" s="11">
        <v>7.5388329494507998E-3</v>
      </c>
      <c r="BB265" s="11">
        <v>80</v>
      </c>
      <c r="BK265" s="25" t="s">
        <v>186</v>
      </c>
      <c r="BL265" s="11" t="s">
        <v>428</v>
      </c>
    </row>
    <row r="266" spans="2:64" ht="15.6" x14ac:dyDescent="0.3">
      <c r="B266" s="11" t="s">
        <v>174</v>
      </c>
      <c r="C266" s="4" t="s">
        <v>192</v>
      </c>
      <c r="D266" s="4"/>
      <c r="E266" s="4"/>
      <c r="F266" s="55"/>
      <c r="G266" s="4"/>
      <c r="H266" s="48" t="e">
        <f t="shared" si="14"/>
        <v>#DIV/0!</v>
      </c>
      <c r="I266" s="4" t="s">
        <v>437</v>
      </c>
      <c r="J266" s="4"/>
      <c r="K266" s="4"/>
      <c r="L266" s="4" t="e">
        <f t="shared" si="15"/>
        <v>#DIV/0!</v>
      </c>
      <c r="M266" t="s">
        <v>194</v>
      </c>
      <c r="O266" s="4" t="s">
        <v>266</v>
      </c>
      <c r="Q266" s="4" t="s">
        <v>435</v>
      </c>
      <c r="R266" s="4" t="s">
        <v>408</v>
      </c>
      <c r="X266" s="4" t="s">
        <v>423</v>
      </c>
      <c r="Y266" s="4" t="s">
        <v>376</v>
      </c>
      <c r="Z266" s="4">
        <v>300</v>
      </c>
      <c r="AA266" s="4" t="s">
        <v>424</v>
      </c>
      <c r="AB266" s="4" t="s">
        <v>384</v>
      </c>
      <c r="AE266" t="s">
        <v>430</v>
      </c>
      <c r="AU266" s="22" t="e">
        <f t="shared" si="13"/>
        <v>#DIV/0!</v>
      </c>
      <c r="AV266" s="11" t="s">
        <v>166</v>
      </c>
      <c r="AW266" s="31">
        <v>169.769965246727</v>
      </c>
      <c r="AX266" s="31">
        <v>0.107275967539467</v>
      </c>
      <c r="AY266" s="11" t="s">
        <v>191</v>
      </c>
      <c r="AZ266" s="11">
        <v>0.112730377709949</v>
      </c>
      <c r="BA266" s="11">
        <v>8.3850488401250797E-3</v>
      </c>
      <c r="BB266" s="11">
        <v>80</v>
      </c>
      <c r="BK266" s="25" t="s">
        <v>186</v>
      </c>
      <c r="BL266" s="11" t="s">
        <v>428</v>
      </c>
    </row>
    <row r="267" spans="2:64" ht="15.6" x14ac:dyDescent="0.3">
      <c r="B267" s="11" t="s">
        <v>174</v>
      </c>
      <c r="C267" s="4" t="s">
        <v>192</v>
      </c>
      <c r="D267" s="4"/>
      <c r="E267" s="4"/>
      <c r="F267" s="55"/>
      <c r="G267" s="4"/>
      <c r="H267" s="48" t="e">
        <f t="shared" si="14"/>
        <v>#DIV/0!</v>
      </c>
      <c r="I267" s="4" t="s">
        <v>437</v>
      </c>
      <c r="J267" s="4"/>
      <c r="K267" s="4"/>
      <c r="L267" s="4" t="e">
        <f t="shared" si="15"/>
        <v>#DIV/0!</v>
      </c>
      <c r="M267" t="s">
        <v>194</v>
      </c>
      <c r="O267" s="4" t="s">
        <v>266</v>
      </c>
      <c r="Q267" s="4" t="s">
        <v>435</v>
      </c>
      <c r="R267" s="4" t="s">
        <v>408</v>
      </c>
      <c r="X267" s="4" t="s">
        <v>423</v>
      </c>
      <c r="Y267" s="4" t="s">
        <v>376</v>
      </c>
      <c r="Z267" s="4">
        <v>300</v>
      </c>
      <c r="AA267" s="4" t="s">
        <v>424</v>
      </c>
      <c r="AB267" s="4" t="s">
        <v>384</v>
      </c>
      <c r="AE267" t="s">
        <v>430</v>
      </c>
      <c r="AU267" s="22" t="e">
        <f t="shared" si="13"/>
        <v>#DIV/0!</v>
      </c>
      <c r="AV267" s="11" t="s">
        <v>166</v>
      </c>
      <c r="AW267" s="31">
        <v>141.421356237309</v>
      </c>
      <c r="AX267" s="31">
        <v>0.18269259207060801</v>
      </c>
      <c r="AY267" s="11" t="s">
        <v>191</v>
      </c>
      <c r="AZ267" s="11">
        <v>0.198942819493069</v>
      </c>
      <c r="BA267" s="11">
        <v>1.03549132159732E-2</v>
      </c>
      <c r="BB267" s="11">
        <v>80</v>
      </c>
      <c r="BK267" s="25" t="s">
        <v>186</v>
      </c>
      <c r="BL267" s="11" t="s">
        <v>428</v>
      </c>
    </row>
    <row r="268" spans="2:64" ht="15.6" x14ac:dyDescent="0.3">
      <c r="B268" s="11" t="s">
        <v>174</v>
      </c>
      <c r="C268" s="4" t="s">
        <v>192</v>
      </c>
      <c r="D268" s="4"/>
      <c r="E268" s="4"/>
      <c r="F268" s="55"/>
      <c r="G268" s="4"/>
      <c r="H268" s="48" t="e">
        <f t="shared" si="14"/>
        <v>#DIV/0!</v>
      </c>
      <c r="I268" s="4" t="s">
        <v>437</v>
      </c>
      <c r="J268" s="4"/>
      <c r="K268" s="4"/>
      <c r="L268" s="4" t="e">
        <f t="shared" si="15"/>
        <v>#DIV/0!</v>
      </c>
      <c r="M268" t="s">
        <v>194</v>
      </c>
      <c r="O268" s="4" t="s">
        <v>266</v>
      </c>
      <c r="Q268" s="4" t="s">
        <v>435</v>
      </c>
      <c r="R268" s="4" t="s">
        <v>408</v>
      </c>
      <c r="X268" s="4" t="s">
        <v>423</v>
      </c>
      <c r="Y268" s="4" t="s">
        <v>376</v>
      </c>
      <c r="Z268" s="4">
        <v>300</v>
      </c>
      <c r="AA268" s="4" t="s">
        <v>424</v>
      </c>
      <c r="AB268" s="4" t="s">
        <v>384</v>
      </c>
      <c r="AE268" t="s">
        <v>430</v>
      </c>
      <c r="AU268" s="22" t="e">
        <f t="shared" si="13"/>
        <v>#DIV/0!</v>
      </c>
      <c r="AV268" s="11" t="s">
        <v>166</v>
      </c>
      <c r="AW268" s="31">
        <v>132.05665719883899</v>
      </c>
      <c r="AX268" s="31">
        <v>0.26535905183087899</v>
      </c>
      <c r="AY268" s="11" t="s">
        <v>191</v>
      </c>
      <c r="AZ268" s="11">
        <v>0.19878578714788001</v>
      </c>
      <c r="BA268" s="11">
        <v>1.4257279887190799E-2</v>
      </c>
      <c r="BB268" s="11">
        <v>80</v>
      </c>
      <c r="BK268" s="25" t="s">
        <v>186</v>
      </c>
      <c r="BL268" s="11" t="s">
        <v>428</v>
      </c>
    </row>
    <row r="269" spans="2:64" ht="15.6" x14ac:dyDescent="0.3">
      <c r="B269" s="11" t="s">
        <v>174</v>
      </c>
      <c r="C269" s="4" t="s">
        <v>192</v>
      </c>
      <c r="D269" s="4"/>
      <c r="E269" s="4"/>
      <c r="F269" s="55"/>
      <c r="G269" s="4"/>
      <c r="H269" s="48" t="e">
        <f t="shared" si="14"/>
        <v>#DIV/0!</v>
      </c>
      <c r="I269" s="4" t="s">
        <v>437</v>
      </c>
      <c r="J269" s="4"/>
      <c r="K269" s="4"/>
      <c r="L269" s="4" t="e">
        <f t="shared" si="15"/>
        <v>#DIV/0!</v>
      </c>
      <c r="M269" t="s">
        <v>194</v>
      </c>
      <c r="O269" s="4" t="s">
        <v>266</v>
      </c>
      <c r="Q269" s="4" t="s">
        <v>435</v>
      </c>
      <c r="R269" s="4" t="s">
        <v>408</v>
      </c>
      <c r="X269" s="4" t="s">
        <v>423</v>
      </c>
      <c r="Y269" s="4" t="s">
        <v>376</v>
      </c>
      <c r="Z269" s="4">
        <v>300</v>
      </c>
      <c r="AA269" s="4" t="s">
        <v>424</v>
      </c>
      <c r="AB269" s="4" t="s">
        <v>384</v>
      </c>
      <c r="AE269" t="s">
        <v>430</v>
      </c>
      <c r="AU269" s="22" t="e">
        <f t="shared" ref="AU269:AU332" si="16">(AS269*AT269)/(AG269)</f>
        <v>#DIV/0!</v>
      </c>
      <c r="AV269" s="11" t="s">
        <v>166</v>
      </c>
      <c r="AW269" s="31">
        <v>98.134852487214999</v>
      </c>
      <c r="AX269" s="31">
        <v>0.32759798912898003</v>
      </c>
      <c r="AY269" s="11" t="s">
        <v>191</v>
      </c>
      <c r="AZ269" s="11">
        <v>0.26348586574135202</v>
      </c>
      <c r="BA269" s="11">
        <v>3.9208423101731997E-2</v>
      </c>
      <c r="BB269" s="11">
        <v>80</v>
      </c>
      <c r="BK269" s="25" t="s">
        <v>186</v>
      </c>
      <c r="BL269" s="11" t="s">
        <v>428</v>
      </c>
    </row>
    <row r="270" spans="2:64" ht="15.6" x14ac:dyDescent="0.3">
      <c r="B270" s="11" t="s">
        <v>174</v>
      </c>
      <c r="C270" s="4" t="s">
        <v>192</v>
      </c>
      <c r="D270" s="4"/>
      <c r="E270" s="4"/>
      <c r="F270" s="55"/>
      <c r="G270" s="4"/>
      <c r="H270" s="48" t="e">
        <f t="shared" si="14"/>
        <v>#DIV/0!</v>
      </c>
      <c r="I270" s="4" t="s">
        <v>437</v>
      </c>
      <c r="J270" s="4"/>
      <c r="K270" s="4"/>
      <c r="L270" s="4" t="e">
        <f t="shared" si="15"/>
        <v>#DIV/0!</v>
      </c>
      <c r="M270" t="s">
        <v>194</v>
      </c>
      <c r="O270" s="4" t="s">
        <v>266</v>
      </c>
      <c r="Q270" s="4" t="s">
        <v>435</v>
      </c>
      <c r="R270" s="4" t="s">
        <v>408</v>
      </c>
      <c r="X270" s="4" t="s">
        <v>423</v>
      </c>
      <c r="Y270" s="4" t="s">
        <v>376</v>
      </c>
      <c r="Z270" s="4">
        <v>300</v>
      </c>
      <c r="AA270" s="4" t="s">
        <v>424</v>
      </c>
      <c r="AB270" s="4" t="s">
        <v>384</v>
      </c>
      <c r="AE270" t="s">
        <v>430</v>
      </c>
      <c r="AU270" s="22" t="e">
        <f t="shared" si="16"/>
        <v>#DIV/0!</v>
      </c>
      <c r="AV270" s="11" t="s">
        <v>166</v>
      </c>
      <c r="AW270" s="31">
        <v>66.560000633209498</v>
      </c>
      <c r="AX270" s="31">
        <v>19.961079058040301</v>
      </c>
      <c r="AY270" s="11" t="s">
        <v>191</v>
      </c>
      <c r="AZ270" s="11">
        <v>27.259804917029001</v>
      </c>
      <c r="BA270" s="11">
        <v>410.56709432751899</v>
      </c>
      <c r="BB270" s="11">
        <v>80</v>
      </c>
      <c r="BK270" s="25" t="s">
        <v>186</v>
      </c>
      <c r="BL270" s="11" t="s">
        <v>428</v>
      </c>
    </row>
    <row r="271" spans="2:64" ht="15.6" x14ac:dyDescent="0.3">
      <c r="B271" s="11" t="s">
        <v>174</v>
      </c>
      <c r="C271" s="4" t="s">
        <v>192</v>
      </c>
      <c r="D271" s="4"/>
      <c r="E271" s="4"/>
      <c r="F271" s="55"/>
      <c r="G271" s="4"/>
      <c r="H271" s="48" t="e">
        <f t="shared" si="14"/>
        <v>#DIV/0!</v>
      </c>
      <c r="I271" s="4" t="s">
        <v>437</v>
      </c>
      <c r="J271" s="4"/>
      <c r="K271" s="4"/>
      <c r="L271" s="4" t="e">
        <f t="shared" si="15"/>
        <v>#DIV/0!</v>
      </c>
      <c r="M271" t="s">
        <v>194</v>
      </c>
      <c r="O271" s="4" t="s">
        <v>266</v>
      </c>
      <c r="Q271" s="4" t="s">
        <v>435</v>
      </c>
      <c r="R271" s="4" t="s">
        <v>408</v>
      </c>
      <c r="X271" s="4" t="s">
        <v>423</v>
      </c>
      <c r="Y271" s="4" t="s">
        <v>376</v>
      </c>
      <c r="Z271" s="4">
        <v>300</v>
      </c>
      <c r="AA271" s="4" t="s">
        <v>424</v>
      </c>
      <c r="AB271" s="4" t="s">
        <v>384</v>
      </c>
      <c r="AE271" t="s">
        <v>430</v>
      </c>
      <c r="AU271" s="22" t="e">
        <f t="shared" si="16"/>
        <v>#DIV/0!</v>
      </c>
      <c r="AV271" s="11" t="s">
        <v>166</v>
      </c>
      <c r="AW271" s="31">
        <v>62.152502427037497</v>
      </c>
      <c r="AX271" s="31">
        <v>30.584320767779399</v>
      </c>
      <c r="AY271" s="11" t="s">
        <v>191</v>
      </c>
      <c r="AZ271" s="11">
        <v>22.967039906201201</v>
      </c>
      <c r="BA271" s="11">
        <v>565.66607503057298</v>
      </c>
      <c r="BB271" s="11">
        <v>80</v>
      </c>
      <c r="BK271" s="25" t="s">
        <v>186</v>
      </c>
      <c r="BL271" s="11" t="s">
        <v>428</v>
      </c>
    </row>
    <row r="272" spans="2:64" ht="15.6" x14ac:dyDescent="0.3">
      <c r="B272" s="11" t="s">
        <v>174</v>
      </c>
      <c r="C272" s="4" t="s">
        <v>192</v>
      </c>
      <c r="D272" s="4"/>
      <c r="E272" s="4"/>
      <c r="F272" s="55"/>
      <c r="G272" s="4"/>
      <c r="H272" s="48" t="e">
        <f t="shared" si="14"/>
        <v>#DIV/0!</v>
      </c>
      <c r="I272" s="4" t="s">
        <v>437</v>
      </c>
      <c r="J272" s="4"/>
      <c r="K272" s="4"/>
      <c r="L272" s="4" t="e">
        <f t="shared" si="15"/>
        <v>#DIV/0!</v>
      </c>
      <c r="M272" t="s">
        <v>194</v>
      </c>
      <c r="O272" s="4" t="s">
        <v>266</v>
      </c>
      <c r="Q272" s="4" t="s">
        <v>435</v>
      </c>
      <c r="R272" s="4" t="s">
        <v>408</v>
      </c>
      <c r="X272" s="4" t="s">
        <v>423</v>
      </c>
      <c r="Y272" s="4" t="s">
        <v>376</v>
      </c>
      <c r="Z272" s="4">
        <v>300</v>
      </c>
      <c r="AA272" s="4" t="s">
        <v>424</v>
      </c>
      <c r="AB272" s="4" t="s">
        <v>384</v>
      </c>
      <c r="AE272" t="s">
        <v>430</v>
      </c>
      <c r="AU272" s="22" t="e">
        <f t="shared" si="16"/>
        <v>#DIV/0!</v>
      </c>
      <c r="AV272" s="11" t="s">
        <v>166</v>
      </c>
      <c r="AW272" s="31">
        <v>50.605127631827202</v>
      </c>
      <c r="AX272" s="31">
        <v>28.933229490387799</v>
      </c>
      <c r="AY272" s="11" t="s">
        <v>191</v>
      </c>
      <c r="AZ272" s="11">
        <v>0.17734978812565499</v>
      </c>
      <c r="BA272" s="11">
        <v>1.6736795239173201E-2</v>
      </c>
      <c r="BB272" s="11">
        <v>80</v>
      </c>
      <c r="BK272" s="25" t="s">
        <v>186</v>
      </c>
      <c r="BL272" s="11" t="s">
        <v>428</v>
      </c>
    </row>
    <row r="273" spans="2:63" ht="15.6" x14ac:dyDescent="0.3">
      <c r="B273" s="11" t="s">
        <v>175</v>
      </c>
      <c r="C273" s="4" t="s">
        <v>198</v>
      </c>
      <c r="D273" s="4"/>
      <c r="E273" s="4"/>
      <c r="F273" s="55"/>
      <c r="G273" s="4"/>
      <c r="H273" s="48" t="e">
        <f t="shared" si="14"/>
        <v>#DIV/0!</v>
      </c>
      <c r="I273" s="4"/>
      <c r="J273" s="4"/>
      <c r="K273" s="4"/>
      <c r="L273" s="4" t="e">
        <f t="shared" si="15"/>
        <v>#DIV/0!</v>
      </c>
      <c r="O273" t="s">
        <v>197</v>
      </c>
      <c r="AU273" s="22" t="e">
        <f t="shared" si="16"/>
        <v>#DIV/0!</v>
      </c>
      <c r="AV273" s="11" t="s">
        <v>166</v>
      </c>
      <c r="AW273" s="38">
        <v>773.37985813773298</v>
      </c>
      <c r="AX273" s="38">
        <v>5.9078379115879104E-4</v>
      </c>
      <c r="AY273" s="11" t="s">
        <v>191</v>
      </c>
      <c r="AZ273" s="43">
        <v>9.2150361107903198E-11</v>
      </c>
      <c r="BA273" s="43">
        <v>6.7160102484519002E-3</v>
      </c>
      <c r="BK273" s="25" t="s">
        <v>195</v>
      </c>
    </row>
    <row r="274" spans="2:63" ht="15.6" x14ac:dyDescent="0.3">
      <c r="B274" s="11" t="s">
        <v>175</v>
      </c>
      <c r="C274" s="4" t="s">
        <v>198</v>
      </c>
      <c r="D274" s="4"/>
      <c r="E274" s="4"/>
      <c r="F274" s="55"/>
      <c r="G274" s="4"/>
      <c r="H274" s="48" t="e">
        <f t="shared" si="14"/>
        <v>#DIV/0!</v>
      </c>
      <c r="I274" s="4"/>
      <c r="J274" s="4"/>
      <c r="K274" s="4"/>
      <c r="L274" s="4" t="e">
        <f t="shared" si="15"/>
        <v>#DIV/0!</v>
      </c>
      <c r="O274" t="s">
        <v>197</v>
      </c>
      <c r="AU274" s="22" t="e">
        <f t="shared" si="16"/>
        <v>#DIV/0!</v>
      </c>
      <c r="AV274" s="11" t="s">
        <v>166</v>
      </c>
      <c r="AW274" s="38">
        <v>705.04085813783797</v>
      </c>
      <c r="AX274" s="38">
        <v>3.3073527641255401E-3</v>
      </c>
      <c r="AY274" s="11" t="s">
        <v>191</v>
      </c>
      <c r="AZ274" s="43">
        <v>2.66707668535019E-10</v>
      </c>
      <c r="BA274" s="43">
        <v>1.9599555195680601E-2</v>
      </c>
      <c r="BK274" s="25" t="s">
        <v>195</v>
      </c>
    </row>
    <row r="275" spans="2:63" ht="15.6" x14ac:dyDescent="0.3">
      <c r="B275" s="11" t="s">
        <v>175</v>
      </c>
      <c r="C275" s="4" t="s">
        <v>198</v>
      </c>
      <c r="D275" s="4"/>
      <c r="E275" s="4"/>
      <c r="F275" s="55"/>
      <c r="G275" s="4"/>
      <c r="H275" s="48" t="e">
        <f t="shared" si="14"/>
        <v>#DIV/0!</v>
      </c>
      <c r="I275" s="4"/>
      <c r="J275" s="4"/>
      <c r="K275" s="4"/>
      <c r="L275" s="4" t="e">
        <f t="shared" si="15"/>
        <v>#DIV/0!</v>
      </c>
      <c r="O275" t="s">
        <v>197</v>
      </c>
      <c r="AU275" s="22" t="e">
        <f t="shared" si="16"/>
        <v>#DIV/0!</v>
      </c>
      <c r="AV275" s="11" t="s">
        <v>166</v>
      </c>
      <c r="AW275" s="38">
        <v>623.22211685237596</v>
      </c>
      <c r="AX275" s="38">
        <v>9.0332526231612E-3</v>
      </c>
      <c r="AY275" s="11" t="s">
        <v>191</v>
      </c>
      <c r="AZ275" s="43">
        <v>3.5992583242811199E-8</v>
      </c>
      <c r="BA275" s="43">
        <v>5.2812752133101295E-4</v>
      </c>
      <c r="BK275" s="25" t="s">
        <v>195</v>
      </c>
    </row>
    <row r="276" spans="2:63" ht="15.6" x14ac:dyDescent="0.3">
      <c r="B276" s="11" t="s">
        <v>175</v>
      </c>
      <c r="C276" s="4" t="s">
        <v>198</v>
      </c>
      <c r="D276" s="4"/>
      <c r="E276" s="4"/>
      <c r="F276" s="55"/>
      <c r="G276" s="4"/>
      <c r="H276" s="48" t="e">
        <f t="shared" si="14"/>
        <v>#DIV/0!</v>
      </c>
      <c r="I276" s="4"/>
      <c r="J276" s="4"/>
      <c r="K276" s="4"/>
      <c r="L276" s="4" t="e">
        <f t="shared" si="15"/>
        <v>#DIV/0!</v>
      </c>
      <c r="O276" t="s">
        <v>197</v>
      </c>
      <c r="AU276" s="22" t="e">
        <f t="shared" si="16"/>
        <v>#DIV/0!</v>
      </c>
      <c r="AV276" s="11" t="s">
        <v>166</v>
      </c>
      <c r="AW276" s="38">
        <v>604.29639023813195</v>
      </c>
      <c r="AX276" s="38">
        <v>3.2876313785268202E-2</v>
      </c>
      <c r="AY276" s="11" t="s">
        <v>191</v>
      </c>
      <c r="AZ276" s="43">
        <v>1.7012542798525899E-7</v>
      </c>
      <c r="BA276" s="43">
        <v>3.6374166724743601E-3</v>
      </c>
      <c r="BK276" s="25" t="s">
        <v>195</v>
      </c>
    </row>
    <row r="277" spans="2:63" ht="15.6" x14ac:dyDescent="0.3">
      <c r="B277" s="11" t="s">
        <v>175</v>
      </c>
      <c r="C277" s="4" t="s">
        <v>198</v>
      </c>
      <c r="D277" s="4"/>
      <c r="E277" s="4"/>
      <c r="F277" s="55"/>
      <c r="G277" s="4"/>
      <c r="H277" s="48" t="e">
        <f t="shared" si="14"/>
        <v>#DIV/0!</v>
      </c>
      <c r="I277" s="4"/>
      <c r="J277" s="4"/>
      <c r="K277" s="4"/>
      <c r="L277" s="4" t="e">
        <f t="shared" si="15"/>
        <v>#DIV/0!</v>
      </c>
      <c r="O277" t="s">
        <v>197</v>
      </c>
      <c r="AU277" s="22" t="e">
        <f t="shared" si="16"/>
        <v>#DIV/0!</v>
      </c>
      <c r="AV277" s="11" t="s">
        <v>166</v>
      </c>
      <c r="AW277" s="38">
        <v>550.89829539782704</v>
      </c>
      <c r="AX277" s="38">
        <v>0.111366160430208</v>
      </c>
      <c r="AY277" s="11" t="s">
        <v>191</v>
      </c>
      <c r="AZ277" s="43">
        <v>3.01501821907994E-7</v>
      </c>
      <c r="BA277" s="43">
        <v>7.9865493446930804E-3</v>
      </c>
      <c r="BK277" s="25" t="s">
        <v>195</v>
      </c>
    </row>
    <row r="278" spans="2:63" ht="15.6" x14ac:dyDescent="0.3">
      <c r="B278" s="11" t="s">
        <v>175</v>
      </c>
      <c r="C278" s="4" t="s">
        <v>198</v>
      </c>
      <c r="D278" s="4"/>
      <c r="E278" s="4"/>
      <c r="F278" s="55"/>
      <c r="G278" s="4"/>
      <c r="H278" s="48" t="e">
        <f t="shared" si="14"/>
        <v>#DIV/0!</v>
      </c>
      <c r="I278" s="4"/>
      <c r="J278" s="4"/>
      <c r="K278" s="4"/>
      <c r="L278" s="4" t="e">
        <f t="shared" si="15"/>
        <v>#DIV/0!</v>
      </c>
      <c r="O278" t="s">
        <v>197</v>
      </c>
      <c r="AU278" s="22" t="e">
        <f t="shared" si="16"/>
        <v>#DIV/0!</v>
      </c>
      <c r="AV278" s="11" t="s">
        <v>166</v>
      </c>
      <c r="AW278" s="38">
        <v>486.967525165864</v>
      </c>
      <c r="AX278" s="38">
        <v>0.40531456255041898</v>
      </c>
      <c r="AY278" s="11" t="s">
        <v>191</v>
      </c>
      <c r="AZ278" s="43">
        <v>1.4251026703029899E-6</v>
      </c>
      <c r="BA278" s="43">
        <v>3.0978671070718299E-2</v>
      </c>
      <c r="BK278" s="25" t="s">
        <v>195</v>
      </c>
    </row>
    <row r="279" spans="2:63" ht="15.6" x14ac:dyDescent="0.3">
      <c r="B279" s="11" t="s">
        <v>175</v>
      </c>
      <c r="C279" s="4" t="s">
        <v>198</v>
      </c>
      <c r="D279" s="4"/>
      <c r="E279" s="4"/>
      <c r="F279" s="55"/>
      <c r="G279" s="4"/>
      <c r="H279" s="48" t="e">
        <f t="shared" si="14"/>
        <v>#DIV/0!</v>
      </c>
      <c r="I279" s="4"/>
      <c r="J279" s="4"/>
      <c r="K279" s="4"/>
      <c r="L279" s="4" t="e">
        <f t="shared" si="15"/>
        <v>#DIV/0!</v>
      </c>
      <c r="O279" t="s">
        <v>197</v>
      </c>
      <c r="AU279" s="22" t="e">
        <f t="shared" si="16"/>
        <v>#DIV/0!</v>
      </c>
      <c r="AV279" s="11" t="s">
        <v>166</v>
      </c>
      <c r="AW279" s="38">
        <v>443.93708759745601</v>
      </c>
      <c r="AX279" s="38">
        <v>2.1119096016108898</v>
      </c>
      <c r="AY279" s="11" t="s">
        <v>191</v>
      </c>
      <c r="AZ279" s="43">
        <v>3.80085810619542E-6</v>
      </c>
      <c r="BA279" s="43">
        <v>9.7174185836287799E-2</v>
      </c>
      <c r="BK279" s="25" t="s">
        <v>195</v>
      </c>
    </row>
    <row r="280" spans="2:63" ht="15.6" x14ac:dyDescent="0.3">
      <c r="B280" s="11" t="s">
        <v>175</v>
      </c>
      <c r="C280" s="4" t="s">
        <v>198</v>
      </c>
      <c r="D280" s="4"/>
      <c r="E280" s="4"/>
      <c r="F280" s="55"/>
      <c r="G280" s="4"/>
      <c r="H280" s="48" t="e">
        <f t="shared" si="14"/>
        <v>#DIV/0!</v>
      </c>
      <c r="I280" s="4"/>
      <c r="J280" s="4"/>
      <c r="K280" s="4"/>
      <c r="L280" s="4" t="e">
        <f t="shared" si="15"/>
        <v>#DIV/0!</v>
      </c>
      <c r="O280" t="s">
        <v>197</v>
      </c>
      <c r="AU280" s="22" t="e">
        <f t="shared" si="16"/>
        <v>#DIV/0!</v>
      </c>
      <c r="AV280" s="11" t="s">
        <v>166</v>
      </c>
      <c r="AW280" s="38">
        <v>392.41897584845299</v>
      </c>
      <c r="AX280" s="38">
        <v>5.3687122798864397</v>
      </c>
      <c r="AY280" s="11" t="s">
        <v>191</v>
      </c>
      <c r="AZ280" s="43">
        <v>1.46446997937971E-8</v>
      </c>
      <c r="BA280" s="43">
        <v>1.0682272293769901</v>
      </c>
      <c r="BK280" s="25" t="s">
        <v>195</v>
      </c>
    </row>
    <row r="281" spans="2:63" ht="15.6" x14ac:dyDescent="0.3">
      <c r="B281" s="11" t="s">
        <v>175</v>
      </c>
      <c r="C281" s="4" t="s">
        <v>198</v>
      </c>
      <c r="D281" s="4"/>
      <c r="E281" s="4"/>
      <c r="F281" s="55"/>
      <c r="G281" s="4"/>
      <c r="H281" s="48" t="e">
        <f t="shared" si="14"/>
        <v>#DIV/0!</v>
      </c>
      <c r="I281" s="4"/>
      <c r="J281" s="4"/>
      <c r="K281" s="4"/>
      <c r="L281" s="4" t="e">
        <f t="shared" si="15"/>
        <v>#DIV/0!</v>
      </c>
      <c r="O281" t="s">
        <v>197</v>
      </c>
      <c r="AU281" s="22" t="e">
        <f t="shared" si="16"/>
        <v>#DIV/0!</v>
      </c>
      <c r="AV281" s="11" t="s">
        <v>166</v>
      </c>
      <c r="AW281" s="38">
        <v>346.87944960701998</v>
      </c>
      <c r="AX281" s="38">
        <v>14.663369088209199</v>
      </c>
      <c r="AY281" s="11" t="s">
        <v>191</v>
      </c>
      <c r="AZ281" s="43">
        <v>8.8459720358308704E-8</v>
      </c>
      <c r="BA281" s="43">
        <v>9.1132041264093804</v>
      </c>
      <c r="BK281" s="25" t="s">
        <v>195</v>
      </c>
    </row>
    <row r="282" spans="2:63" ht="15.6" x14ac:dyDescent="0.3">
      <c r="B282" s="11" t="s">
        <v>175</v>
      </c>
      <c r="C282" s="4" t="s">
        <v>198</v>
      </c>
      <c r="D282" s="4"/>
      <c r="E282" s="4"/>
      <c r="F282" s="55"/>
      <c r="G282" s="4"/>
      <c r="H282" s="48" t="e">
        <f t="shared" si="14"/>
        <v>#DIV/0!</v>
      </c>
      <c r="I282" s="4"/>
      <c r="J282" s="4"/>
      <c r="K282" s="4"/>
      <c r="L282" s="4" t="e">
        <f t="shared" si="15"/>
        <v>#DIV/0!</v>
      </c>
      <c r="O282" t="s">
        <v>197</v>
      </c>
      <c r="AU282" s="22" t="e">
        <f t="shared" si="16"/>
        <v>#DIV/0!</v>
      </c>
      <c r="AV282" s="11" t="s">
        <v>166</v>
      </c>
      <c r="AW282" s="38">
        <v>297.31326465101398</v>
      </c>
      <c r="AX282" s="38">
        <v>26.036608663423898</v>
      </c>
      <c r="AY282" s="11" t="s">
        <v>191</v>
      </c>
      <c r="AZ282" s="43">
        <v>1.10006948616164E-5</v>
      </c>
      <c r="BA282" s="43">
        <v>0.37788625934321901</v>
      </c>
      <c r="BK282" s="25" t="s">
        <v>195</v>
      </c>
    </row>
    <row r="283" spans="2:63" ht="15.6" x14ac:dyDescent="0.3">
      <c r="B283" s="11" t="s">
        <v>175</v>
      </c>
      <c r="C283" s="4" t="s">
        <v>198</v>
      </c>
      <c r="D283" s="4"/>
      <c r="E283" s="4"/>
      <c r="F283" s="55"/>
      <c r="G283" s="4"/>
      <c r="H283" s="48" t="e">
        <f t="shared" si="14"/>
        <v>#DIV/0!</v>
      </c>
      <c r="I283" s="4"/>
      <c r="J283" s="4"/>
      <c r="K283" s="4"/>
      <c r="L283" s="4" t="e">
        <f t="shared" si="15"/>
        <v>#DIV/0!</v>
      </c>
      <c r="O283" t="s">
        <v>197</v>
      </c>
      <c r="AU283" s="22" t="e">
        <f t="shared" si="16"/>
        <v>#DIV/0!</v>
      </c>
      <c r="AV283" s="11" t="s">
        <v>166</v>
      </c>
      <c r="AW283" s="38">
        <v>232.31188491403</v>
      </c>
      <c r="AX283" s="38">
        <v>46.231189204490697</v>
      </c>
      <c r="AY283" s="11" t="s">
        <v>191</v>
      </c>
      <c r="AZ283" s="43">
        <v>5.1996765801508397E-5</v>
      </c>
      <c r="BA283" s="43">
        <v>1.9531699287072799</v>
      </c>
      <c r="BK283" s="25" t="s">
        <v>195</v>
      </c>
    </row>
    <row r="284" spans="2:63" ht="15.6" x14ac:dyDescent="0.3">
      <c r="B284" s="11" t="s">
        <v>175</v>
      </c>
      <c r="C284" s="4" t="s">
        <v>198</v>
      </c>
      <c r="D284" s="4"/>
      <c r="E284" s="4"/>
      <c r="F284" s="55"/>
      <c r="G284" s="4"/>
      <c r="H284" s="48" t="e">
        <f t="shared" si="14"/>
        <v>#DIV/0!</v>
      </c>
      <c r="I284" s="4"/>
      <c r="J284" s="4"/>
      <c r="K284" s="4"/>
      <c r="L284" s="4" t="e">
        <f t="shared" si="15"/>
        <v>#DIV/0!</v>
      </c>
      <c r="O284" t="s">
        <v>197</v>
      </c>
      <c r="AU284" s="22" t="e">
        <f t="shared" si="16"/>
        <v>#DIV/0!</v>
      </c>
      <c r="AV284" s="11" t="s">
        <v>166</v>
      </c>
      <c r="AW284" s="38">
        <v>218.41663618286799</v>
      </c>
      <c r="AX284" s="38">
        <v>71.112844707171703</v>
      </c>
      <c r="AY284" s="11" t="s">
        <v>191</v>
      </c>
      <c r="AZ284" s="43">
        <v>8.49168905231679E-5</v>
      </c>
      <c r="BA284" s="43">
        <v>4.2903288952385301</v>
      </c>
      <c r="BK284" s="25" t="s">
        <v>195</v>
      </c>
    </row>
    <row r="285" spans="2:63" ht="15.6" x14ac:dyDescent="0.3">
      <c r="B285" s="11" t="s">
        <v>175</v>
      </c>
      <c r="C285" s="4" t="s">
        <v>198</v>
      </c>
      <c r="D285" s="4"/>
      <c r="E285" s="4"/>
      <c r="F285" s="55"/>
      <c r="G285" s="4"/>
      <c r="H285" s="48" t="e">
        <f t="shared" si="14"/>
        <v>#DIV/0!</v>
      </c>
      <c r="I285" s="4"/>
      <c r="J285" s="4"/>
      <c r="K285" s="4"/>
      <c r="L285" s="4" t="e">
        <f t="shared" si="15"/>
        <v>#DIV/0!</v>
      </c>
      <c r="O285" t="s">
        <v>197</v>
      </c>
      <c r="AU285" s="22" t="e">
        <f t="shared" si="16"/>
        <v>#DIV/0!</v>
      </c>
      <c r="AV285" s="11" t="s">
        <v>166</v>
      </c>
      <c r="AW285" s="38">
        <v>176.00933994510501</v>
      </c>
      <c r="AX285" s="38">
        <v>94.759634434247104</v>
      </c>
      <c r="AY285" s="11" t="s">
        <v>191</v>
      </c>
      <c r="AZ285" s="43">
        <v>1.9231965384489201E-4</v>
      </c>
      <c r="BA285" s="43">
        <v>13.4693790706995</v>
      </c>
      <c r="BK285" s="25" t="s">
        <v>195</v>
      </c>
    </row>
    <row r="286" spans="2:63" ht="15.6" x14ac:dyDescent="0.3">
      <c r="B286" s="11" t="s">
        <v>175</v>
      </c>
      <c r="C286" s="4" t="s">
        <v>198</v>
      </c>
      <c r="D286" s="4"/>
      <c r="E286" s="4"/>
      <c r="F286" s="55"/>
      <c r="G286" s="4"/>
      <c r="H286" s="48" t="e">
        <f t="shared" si="14"/>
        <v>#DIV/0!</v>
      </c>
      <c r="I286" s="4"/>
      <c r="J286" s="4"/>
      <c r="K286" s="4"/>
      <c r="L286" s="4" t="e">
        <f t="shared" si="15"/>
        <v>#DIV/0!</v>
      </c>
      <c r="O286" t="s">
        <v>197</v>
      </c>
      <c r="AU286" s="22" t="e">
        <f t="shared" si="16"/>
        <v>#DIV/0!</v>
      </c>
      <c r="AV286" s="11" t="s">
        <v>166</v>
      </c>
      <c r="AW286" s="38">
        <v>110.82630582794501</v>
      </c>
      <c r="AX286" s="38">
        <v>117.524894534586</v>
      </c>
      <c r="AY286" s="11" t="s">
        <v>191</v>
      </c>
      <c r="AZ286" s="43">
        <v>2.2647985890677499E-4</v>
      </c>
      <c r="BA286" s="43">
        <v>20.701017886469501</v>
      </c>
      <c r="BK286" s="25" t="s">
        <v>195</v>
      </c>
    </row>
    <row r="287" spans="2:63" ht="15.6" x14ac:dyDescent="0.3">
      <c r="B287" s="11" t="s">
        <v>175</v>
      </c>
      <c r="C287" s="4" t="s">
        <v>198</v>
      </c>
      <c r="D287" s="4"/>
      <c r="E287" s="4"/>
      <c r="F287" s="55"/>
      <c r="G287" s="4"/>
      <c r="H287" s="48" t="e">
        <f t="shared" ref="H287:H350" si="17">((J287)*1000)/G287</f>
        <v>#DIV/0!</v>
      </c>
      <c r="I287" s="4"/>
      <c r="J287" s="4"/>
      <c r="K287" s="4"/>
      <c r="L287" s="4" t="e">
        <f t="shared" si="15"/>
        <v>#DIV/0!</v>
      </c>
      <c r="O287" t="s">
        <v>197</v>
      </c>
      <c r="AU287" s="22" t="e">
        <f t="shared" si="16"/>
        <v>#DIV/0!</v>
      </c>
      <c r="AV287" s="11" t="s">
        <v>166</v>
      </c>
      <c r="AW287" s="38">
        <v>94.990149552668001</v>
      </c>
      <c r="AX287" s="38">
        <v>126.26956993616599</v>
      </c>
      <c r="AY287" s="11" t="s">
        <v>191</v>
      </c>
      <c r="AZ287" s="43">
        <v>2.6670766853501801E-4</v>
      </c>
      <c r="BA287" s="43">
        <v>36.725988005980199</v>
      </c>
      <c r="BK287" s="25" t="s">
        <v>195</v>
      </c>
    </row>
    <row r="288" spans="2:63" ht="15.6" x14ac:dyDescent="0.3">
      <c r="B288" s="11" t="s">
        <v>175</v>
      </c>
      <c r="C288" s="4" t="s">
        <v>198</v>
      </c>
      <c r="D288" s="4"/>
      <c r="E288" s="4"/>
      <c r="F288" s="55"/>
      <c r="G288" s="4"/>
      <c r="H288" s="48" t="e">
        <f t="shared" si="17"/>
        <v>#DIV/0!</v>
      </c>
      <c r="I288" s="4"/>
      <c r="J288" s="4"/>
      <c r="K288" s="4"/>
      <c r="L288" s="4" t="e">
        <f t="shared" si="15"/>
        <v>#DIV/0!</v>
      </c>
      <c r="O288" t="s">
        <v>197</v>
      </c>
      <c r="AU288" s="22" t="e">
        <f t="shared" si="16"/>
        <v>#DIV/0!</v>
      </c>
      <c r="AV288" s="11" t="s">
        <v>166</v>
      </c>
      <c r="AW288" s="38">
        <v>74.222523225623902</v>
      </c>
      <c r="AX288" s="38">
        <v>156.604845283283</v>
      </c>
      <c r="AY288" s="11" t="s">
        <v>191</v>
      </c>
      <c r="AZ288" s="43">
        <v>4.3556528067790801E-4</v>
      </c>
      <c r="BA288" s="43">
        <v>65.045544220646704</v>
      </c>
      <c r="BK288" s="25" t="s">
        <v>195</v>
      </c>
    </row>
    <row r="289" spans="2:63" ht="15.6" x14ac:dyDescent="0.3">
      <c r="B289" s="11" t="s">
        <v>175</v>
      </c>
      <c r="C289" s="4" t="s">
        <v>198</v>
      </c>
      <c r="D289" s="4"/>
      <c r="E289" s="4"/>
      <c r="F289" s="55"/>
      <c r="G289" s="4"/>
      <c r="H289" s="48" t="e">
        <f t="shared" si="17"/>
        <v>#DIV/0!</v>
      </c>
      <c r="I289" s="4"/>
      <c r="J289" s="4"/>
      <c r="K289" s="4"/>
      <c r="L289" s="4" t="e">
        <f t="shared" si="15"/>
        <v>#DIV/0!</v>
      </c>
      <c r="O289" t="s">
        <v>197</v>
      </c>
      <c r="AU289" s="22" t="e">
        <f t="shared" si="16"/>
        <v>#DIV/0!</v>
      </c>
      <c r="AV289" s="11" t="s">
        <v>166</v>
      </c>
      <c r="AW289" s="38">
        <v>65.609131029615398</v>
      </c>
      <c r="AX289" s="38">
        <v>194.22793297386801</v>
      </c>
      <c r="AY289" s="11" t="s">
        <v>191</v>
      </c>
      <c r="AZ289" s="43">
        <v>3.4083515150935698E-4</v>
      </c>
      <c r="BA289" s="43">
        <v>80.7750690691838</v>
      </c>
      <c r="BK289" s="25" t="s">
        <v>195</v>
      </c>
    </row>
    <row r="290" spans="2:63" ht="15.6" x14ac:dyDescent="0.3">
      <c r="B290" s="11" t="s">
        <v>175</v>
      </c>
      <c r="C290" s="4" t="s">
        <v>198</v>
      </c>
      <c r="D290" s="4"/>
      <c r="E290" s="4"/>
      <c r="F290" s="55"/>
      <c r="G290" s="4"/>
      <c r="H290" s="48" t="e">
        <f t="shared" si="17"/>
        <v>#DIV/0!</v>
      </c>
      <c r="I290" s="4"/>
      <c r="J290" s="4"/>
      <c r="K290" s="4"/>
      <c r="L290" s="4" t="e">
        <f t="shared" si="15"/>
        <v>#DIV/0!</v>
      </c>
      <c r="O290" t="s">
        <v>197</v>
      </c>
      <c r="AU290" s="22" t="e">
        <f t="shared" si="16"/>
        <v>#DIV/0!</v>
      </c>
      <c r="AV290" s="11" t="s">
        <v>166</v>
      </c>
      <c r="AW290" s="38">
        <v>63.616742692154297</v>
      </c>
      <c r="AX290" s="38">
        <v>224.20709447806101</v>
      </c>
      <c r="AY290" s="11" t="s">
        <v>191</v>
      </c>
      <c r="AZ290" s="43">
        <v>1.92319653844891E-4</v>
      </c>
      <c r="BA290" s="43">
        <v>100.47889451204</v>
      </c>
      <c r="BK290" s="25" t="s">
        <v>195</v>
      </c>
    </row>
    <row r="291" spans="2:63" ht="15.6" x14ac:dyDescent="0.3">
      <c r="B291" s="11" t="s">
        <v>175</v>
      </c>
      <c r="C291" s="4" t="s">
        <v>198</v>
      </c>
      <c r="D291" s="4"/>
      <c r="E291" s="4"/>
      <c r="F291" s="55"/>
      <c r="G291" s="4"/>
      <c r="H291" s="48" t="e">
        <f t="shared" si="17"/>
        <v>#DIV/0!</v>
      </c>
      <c r="I291" s="4"/>
      <c r="J291" s="4"/>
      <c r="K291" s="4"/>
      <c r="L291" s="4" t="e">
        <f t="shared" si="15"/>
        <v>#DIV/0!</v>
      </c>
      <c r="O291" t="s">
        <v>197</v>
      </c>
      <c r="AU291" s="22" t="e">
        <f t="shared" si="16"/>
        <v>#DIV/0!</v>
      </c>
      <c r="AV291" s="11" t="s">
        <v>166</v>
      </c>
      <c r="AW291" s="38">
        <v>54.526439884794698</v>
      </c>
      <c r="AX291" s="38">
        <v>258.81355191612499</v>
      </c>
      <c r="AY291" s="11" t="s">
        <v>191</v>
      </c>
      <c r="AZ291" s="43">
        <v>1.0851829422882701E-4</v>
      </c>
      <c r="BA291" s="43">
        <v>116.33316055965</v>
      </c>
      <c r="BK291" s="25" t="s">
        <v>195</v>
      </c>
    </row>
    <row r="292" spans="2:63" ht="15.6" x14ac:dyDescent="0.3">
      <c r="B292" s="11" t="s">
        <v>175</v>
      </c>
      <c r="C292" s="4" t="s">
        <v>198</v>
      </c>
      <c r="D292" s="4"/>
      <c r="E292" s="4"/>
      <c r="F292" s="55"/>
      <c r="G292" s="4"/>
      <c r="H292" s="48" t="e">
        <f t="shared" si="17"/>
        <v>#DIV/0!</v>
      </c>
      <c r="I292" s="4"/>
      <c r="J292" s="4"/>
      <c r="K292" s="4"/>
      <c r="L292" s="4" t="e">
        <f t="shared" si="15"/>
        <v>#DIV/0!</v>
      </c>
      <c r="O292" t="s">
        <v>197</v>
      </c>
      <c r="AU292" s="22" t="e">
        <f t="shared" si="16"/>
        <v>#DIV/0!</v>
      </c>
      <c r="AV292" s="11" t="s">
        <v>166</v>
      </c>
      <c r="AW292" s="38">
        <v>46.735065655551097</v>
      </c>
      <c r="AX292" s="38">
        <v>298.76153032256599</v>
      </c>
      <c r="AY292" s="11" t="s">
        <v>191</v>
      </c>
      <c r="AZ292" s="43">
        <v>9.2150361107902603E-5</v>
      </c>
      <c r="BA292" s="43">
        <v>155.14854741011499</v>
      </c>
      <c r="BK292" s="25" t="s">
        <v>195</v>
      </c>
    </row>
    <row r="293" spans="2:63" ht="15.6" x14ac:dyDescent="0.3">
      <c r="B293" s="11" t="s">
        <v>175</v>
      </c>
      <c r="C293" s="4" t="s">
        <v>198</v>
      </c>
      <c r="D293" s="4"/>
      <c r="E293" s="4"/>
      <c r="F293" s="55"/>
      <c r="G293" s="4"/>
      <c r="H293" s="48" t="e">
        <f t="shared" si="17"/>
        <v>#DIV/0!</v>
      </c>
      <c r="I293" s="4"/>
      <c r="J293" s="4"/>
      <c r="K293" s="4"/>
      <c r="L293" s="4" t="e">
        <f t="shared" si="15"/>
        <v>#DIV/0!</v>
      </c>
      <c r="O293" t="s">
        <v>197</v>
      </c>
      <c r="AU293" s="22" t="e">
        <f t="shared" si="16"/>
        <v>#DIV/0!</v>
      </c>
      <c r="AV293" s="11" t="s">
        <v>166</v>
      </c>
      <c r="AW293" s="38">
        <v>43.939705607607898</v>
      </c>
      <c r="AX293" s="38">
        <v>298.76153032256599</v>
      </c>
      <c r="AY293" s="11" t="s">
        <v>191</v>
      </c>
      <c r="AZ293" s="43">
        <v>8.49168905231679E-5</v>
      </c>
      <c r="BA293" s="43">
        <v>222.216498784621</v>
      </c>
      <c r="BK293" s="25" t="s">
        <v>195</v>
      </c>
    </row>
    <row r="294" spans="2:63" ht="15.6" x14ac:dyDescent="0.3">
      <c r="B294" s="11" t="s">
        <v>175</v>
      </c>
      <c r="C294" s="4" t="s">
        <v>198</v>
      </c>
      <c r="D294" s="4"/>
      <c r="E294" s="4"/>
      <c r="F294" s="55"/>
      <c r="G294" s="4"/>
      <c r="H294" s="48" t="e">
        <f t="shared" si="17"/>
        <v>#DIV/0!</v>
      </c>
      <c r="I294" s="4"/>
      <c r="J294" s="4"/>
      <c r="K294" s="4"/>
      <c r="L294" s="4" t="e">
        <f t="shared" si="15"/>
        <v>#DIV/0!</v>
      </c>
      <c r="O294" t="s">
        <v>197</v>
      </c>
      <c r="AU294" s="22" t="e">
        <f t="shared" si="16"/>
        <v>#DIV/0!</v>
      </c>
      <c r="AV294" s="11" t="s">
        <v>166</v>
      </c>
      <c r="AW294" s="38">
        <v>45.3158363760081</v>
      </c>
      <c r="AX294" s="38">
        <v>706.88806531775106</v>
      </c>
      <c r="AY294" s="11" t="s">
        <v>191</v>
      </c>
      <c r="AZ294" s="43">
        <v>6.6448503889293705E-5</v>
      </c>
      <c r="BA294" s="43">
        <v>275.953614543551</v>
      </c>
      <c r="BK294" s="25" t="s">
        <v>195</v>
      </c>
    </row>
    <row r="295" spans="2:63" ht="15.6" x14ac:dyDescent="0.3">
      <c r="B295" s="11" t="s">
        <v>175</v>
      </c>
      <c r="C295" s="4" t="s">
        <v>198</v>
      </c>
      <c r="D295" s="4"/>
      <c r="E295" s="4"/>
      <c r="F295" s="55"/>
      <c r="G295" s="4"/>
      <c r="H295" s="48" t="e">
        <f t="shared" si="17"/>
        <v>#DIV/0!</v>
      </c>
      <c r="I295" s="4"/>
      <c r="J295" s="4"/>
      <c r="K295" s="4"/>
      <c r="L295" s="4" t="e">
        <f t="shared" si="15"/>
        <v>#DIV/0!</v>
      </c>
      <c r="O295" t="s">
        <v>197</v>
      </c>
      <c r="AU295" s="22" t="e">
        <f t="shared" si="16"/>
        <v>#DIV/0!</v>
      </c>
      <c r="AV295" s="11" t="s">
        <v>166</v>
      </c>
      <c r="AW295" s="38">
        <v>56.234132519034901</v>
      </c>
      <c r="AX295" s="38">
        <v>612.36870354251403</v>
      </c>
      <c r="AY295" s="11" t="s">
        <v>191</v>
      </c>
      <c r="AZ295" s="43">
        <v>4.4154036691254999E-5</v>
      </c>
      <c r="BA295" s="43">
        <v>491.03097742895699</v>
      </c>
      <c r="BK295" s="25" t="s">
        <v>195</v>
      </c>
    </row>
    <row r="296" spans="2:63" ht="15.6" x14ac:dyDescent="0.3">
      <c r="B296" s="11" t="s">
        <v>175</v>
      </c>
      <c r="C296" s="4" t="s">
        <v>198</v>
      </c>
      <c r="D296" s="4"/>
      <c r="E296" s="4"/>
      <c r="F296" s="55"/>
      <c r="G296" s="4"/>
      <c r="H296" s="48" t="e">
        <f t="shared" si="17"/>
        <v>#DIV/0!</v>
      </c>
      <c r="I296" s="4"/>
      <c r="J296" s="4"/>
      <c r="K296" s="4"/>
      <c r="L296" s="4" t="e">
        <f t="shared" si="15"/>
        <v>#DIV/0!</v>
      </c>
      <c r="O296" t="s">
        <v>197</v>
      </c>
      <c r="AU296" s="22" t="e">
        <f t="shared" si="16"/>
        <v>#DIV/0!</v>
      </c>
      <c r="AV296" s="11" t="s">
        <v>166</v>
      </c>
      <c r="AW296" s="38">
        <v>78.944418222720302</v>
      </c>
      <c r="AX296" s="38">
        <v>1168.2410634298301</v>
      </c>
      <c r="AY296" s="11" t="s">
        <v>191</v>
      </c>
      <c r="AZ296" s="43">
        <v>4.4154036691254999E-5</v>
      </c>
      <c r="BA296" s="43">
        <v>608.99732444194501</v>
      </c>
      <c r="BK296" s="25" t="s">
        <v>195</v>
      </c>
    </row>
    <row r="297" spans="2:63" ht="15.6" x14ac:dyDescent="0.3">
      <c r="B297" s="11" t="s">
        <v>175</v>
      </c>
      <c r="C297" s="4" t="s">
        <v>198</v>
      </c>
      <c r="D297" s="4"/>
      <c r="E297" s="4"/>
      <c r="F297" s="55"/>
      <c r="G297" s="4"/>
      <c r="H297" s="48" t="e">
        <f t="shared" si="17"/>
        <v>#DIV/0!</v>
      </c>
      <c r="I297" s="4"/>
      <c r="J297" s="4"/>
      <c r="K297" s="4"/>
      <c r="L297" s="4" t="e">
        <f t="shared" si="15"/>
        <v>#DIV/0!</v>
      </c>
      <c r="O297" t="s">
        <v>197</v>
      </c>
      <c r="AU297" s="22" t="e">
        <f t="shared" si="16"/>
        <v>#DIV/0!</v>
      </c>
      <c r="AV297" s="11" t="s">
        <v>166</v>
      </c>
      <c r="AW297" s="38">
        <v>74.222523225623803</v>
      </c>
      <c r="AX297" s="38">
        <v>657.93322465756501</v>
      </c>
      <c r="AY297" s="11" t="s">
        <v>191</v>
      </c>
      <c r="AZ297" s="43">
        <v>6.6448503889293502E-5</v>
      </c>
      <c r="BA297" s="43">
        <v>526.44810593146599</v>
      </c>
      <c r="BK297" s="25" t="s">
        <v>195</v>
      </c>
    </row>
    <row r="298" spans="2:63" ht="15.6" x14ac:dyDescent="0.3">
      <c r="B298" s="11" t="s">
        <v>175</v>
      </c>
      <c r="C298" s="4" t="s">
        <v>198</v>
      </c>
      <c r="D298" s="4"/>
      <c r="E298" s="4"/>
      <c r="F298" s="55"/>
      <c r="G298" s="4"/>
      <c r="H298" s="48" t="e">
        <f t="shared" si="17"/>
        <v>#DIV/0!</v>
      </c>
      <c r="I298" s="4"/>
      <c r="J298" s="4"/>
      <c r="K298" s="4"/>
      <c r="L298" s="4" t="e">
        <f t="shared" si="15"/>
        <v>#DIV/0!</v>
      </c>
      <c r="O298" t="s">
        <v>197</v>
      </c>
      <c r="AU298" s="22" t="e">
        <f t="shared" si="16"/>
        <v>#DIV/0!</v>
      </c>
      <c r="AV298" s="11" t="s">
        <v>166</v>
      </c>
      <c r="AW298" s="38">
        <v>69.783058485986501</v>
      </c>
      <c r="AX298" s="38">
        <v>569.95970871285499</v>
      </c>
      <c r="AY298" s="11" t="s">
        <v>191</v>
      </c>
      <c r="AZ298" s="43">
        <v>1.6331186991000199E-4</v>
      </c>
      <c r="BA298" s="43">
        <v>562.98348899966595</v>
      </c>
      <c r="BK298" s="25" t="s">
        <v>195</v>
      </c>
    </row>
    <row r="299" spans="2:63" ht="15.6" x14ac:dyDescent="0.3">
      <c r="B299" s="11" t="s">
        <v>175</v>
      </c>
      <c r="C299" s="4" t="s">
        <v>198</v>
      </c>
      <c r="D299" s="4"/>
      <c r="E299" s="4"/>
      <c r="F299" s="55"/>
      <c r="G299" s="4"/>
      <c r="H299" s="48" t="e">
        <f t="shared" si="17"/>
        <v>#DIV/0!</v>
      </c>
      <c r="I299" s="4"/>
      <c r="J299" s="4"/>
      <c r="K299" s="4"/>
      <c r="L299" s="4" t="e">
        <f t="shared" si="15"/>
        <v>#DIV/0!</v>
      </c>
      <c r="O299" t="s">
        <v>197</v>
      </c>
      <c r="AU299" s="22" t="e">
        <f t="shared" si="16"/>
        <v>#DIV/0!</v>
      </c>
      <c r="AV299" s="11" t="s">
        <v>166</v>
      </c>
      <c r="AW299" s="38">
        <v>54.526439884794698</v>
      </c>
      <c r="AX299" s="38">
        <v>1796.98914853258</v>
      </c>
      <c r="AY299" s="11" t="s">
        <v>191</v>
      </c>
      <c r="AZ299" s="43">
        <v>2.6670766853501698E-4</v>
      </c>
      <c r="BA299" s="43">
        <v>1533.7434068698401</v>
      </c>
      <c r="BK299" s="25" t="s">
        <v>195</v>
      </c>
    </row>
    <row r="300" spans="2:63" ht="15.6" x14ac:dyDescent="0.3">
      <c r="B300" s="11" t="s">
        <v>175</v>
      </c>
      <c r="C300" s="4" t="s">
        <v>198</v>
      </c>
      <c r="D300" s="4"/>
      <c r="E300" s="4"/>
      <c r="F300" s="55"/>
      <c r="G300" s="4"/>
      <c r="H300" s="48" t="e">
        <f t="shared" si="17"/>
        <v>#DIV/0!</v>
      </c>
      <c r="I300" s="4"/>
      <c r="J300" s="4"/>
      <c r="K300" s="4"/>
      <c r="L300" s="4" t="e">
        <f t="shared" si="15"/>
        <v>#DIV/0!</v>
      </c>
      <c r="O300" t="s">
        <v>197</v>
      </c>
      <c r="AU300" s="22" t="e">
        <f t="shared" si="16"/>
        <v>#DIV/0!</v>
      </c>
      <c r="AV300" s="11" t="s">
        <v>166</v>
      </c>
      <c r="AW300" s="38">
        <v>41.311544164995098</v>
      </c>
      <c r="AX300" s="38">
        <v>1796.98914853259</v>
      </c>
      <c r="AY300" s="11" t="s">
        <v>191</v>
      </c>
      <c r="AZ300" s="43">
        <v>3.4083515150935698E-4</v>
      </c>
      <c r="BA300" s="43">
        <v>485.84542471909498</v>
      </c>
      <c r="BK300" s="25" t="s">
        <v>195</v>
      </c>
    </row>
    <row r="301" spans="2:63" ht="15.6" x14ac:dyDescent="0.3">
      <c r="B301" s="11" t="s">
        <v>175</v>
      </c>
      <c r="C301" s="4" t="s">
        <v>198</v>
      </c>
      <c r="D301" s="4"/>
      <c r="E301" s="4"/>
      <c r="F301" s="55"/>
      <c r="G301" s="4"/>
      <c r="H301" s="48" t="e">
        <f t="shared" si="17"/>
        <v>#DIV/0!</v>
      </c>
      <c r="I301" s="4"/>
      <c r="J301" s="4"/>
      <c r="K301" s="4"/>
      <c r="L301" s="4" t="e">
        <f t="shared" si="15"/>
        <v>#DIV/0!</v>
      </c>
      <c r="O301" t="s">
        <v>197</v>
      </c>
      <c r="AU301" s="22" t="e">
        <f t="shared" si="16"/>
        <v>#DIV/0!</v>
      </c>
      <c r="AV301" s="11" t="s">
        <v>166</v>
      </c>
      <c r="AW301" s="38">
        <v>40.057013926518103</v>
      </c>
      <c r="AX301" s="38">
        <v>298.76153032256599</v>
      </c>
      <c r="AY301" s="11" t="s">
        <v>191</v>
      </c>
      <c r="AZ301" s="43">
        <v>5.1293126490432601E-4</v>
      </c>
      <c r="BA301" s="43">
        <v>993.72055715292902</v>
      </c>
      <c r="BK301" s="25" t="s">
        <v>195</v>
      </c>
    </row>
    <row r="302" spans="2:63" ht="15.6" x14ac:dyDescent="0.3">
      <c r="B302" s="11" t="s">
        <v>175</v>
      </c>
      <c r="C302" s="4" t="s">
        <v>198</v>
      </c>
      <c r="D302" s="4"/>
      <c r="E302" s="4"/>
      <c r="F302" s="55"/>
      <c r="G302" s="4"/>
      <c r="H302" s="48" t="e">
        <f t="shared" si="17"/>
        <v>#DIV/0!</v>
      </c>
      <c r="I302" s="4"/>
      <c r="J302" s="4"/>
      <c r="K302" s="4"/>
      <c r="L302" s="4" t="e">
        <f t="shared" si="15"/>
        <v>#DIV/0!</v>
      </c>
      <c r="O302" t="s">
        <v>197</v>
      </c>
      <c r="AU302" s="22" t="e">
        <f t="shared" si="16"/>
        <v>#DIV/0!</v>
      </c>
      <c r="AV302" s="11" t="s">
        <v>166</v>
      </c>
      <c r="AW302" s="38">
        <v>35.408468496430203</v>
      </c>
      <c r="AX302" s="38">
        <v>657.93322465757001</v>
      </c>
      <c r="AY302" s="11" t="s">
        <v>191</v>
      </c>
      <c r="AZ302" s="43">
        <v>4.7266801284467198E-4</v>
      </c>
      <c r="BA302" s="43">
        <v>1765.2220937341399</v>
      </c>
      <c r="BK302" s="25" t="s">
        <v>195</v>
      </c>
    </row>
    <row r="303" spans="2:63" ht="15.6" x14ac:dyDescent="0.3">
      <c r="B303" s="11" t="s">
        <v>175</v>
      </c>
      <c r="C303" s="4" t="s">
        <v>198</v>
      </c>
      <c r="D303" s="4"/>
      <c r="E303" s="4"/>
      <c r="F303" s="55"/>
      <c r="G303" s="4"/>
      <c r="H303" s="48" t="e">
        <f t="shared" si="17"/>
        <v>#DIV/0!</v>
      </c>
      <c r="I303" s="4"/>
      <c r="J303" s="4"/>
      <c r="K303" s="4"/>
      <c r="L303" s="4" t="e">
        <f t="shared" si="15"/>
        <v>#DIV/0!</v>
      </c>
      <c r="O303" t="s">
        <v>197</v>
      </c>
      <c r="AU303" s="22" t="e">
        <f t="shared" si="16"/>
        <v>#DIV/0!</v>
      </c>
      <c r="AV303" s="11" t="s">
        <v>166</v>
      </c>
      <c r="AW303" s="38">
        <v>29.427271762092801</v>
      </c>
      <c r="AX303" s="38">
        <v>530.48770728612305</v>
      </c>
      <c r="AY303" s="11" t="s">
        <v>191</v>
      </c>
      <c r="AZ303" s="43">
        <v>8.4916890523168198E-5</v>
      </c>
      <c r="BA303" s="43">
        <v>206.82711279297001</v>
      </c>
      <c r="BK303" s="25" t="s">
        <v>195</v>
      </c>
    </row>
    <row r="304" spans="2:63" ht="15.6" x14ac:dyDescent="0.3">
      <c r="B304" s="11" t="s">
        <v>175</v>
      </c>
      <c r="C304" s="4" t="s">
        <v>198</v>
      </c>
      <c r="D304" s="4"/>
      <c r="E304" s="4"/>
      <c r="F304" s="55"/>
      <c r="G304" s="4"/>
      <c r="H304" s="48" t="e">
        <f t="shared" si="17"/>
        <v>#DIV/0!</v>
      </c>
      <c r="I304" s="4"/>
      <c r="J304" s="4"/>
      <c r="K304" s="4"/>
      <c r="L304" s="4" t="e">
        <f t="shared" si="15"/>
        <v>#DIV/0!</v>
      </c>
      <c r="O304" t="s">
        <v>197</v>
      </c>
      <c r="AU304" s="22" t="e">
        <f t="shared" si="16"/>
        <v>#DIV/0!</v>
      </c>
      <c r="AV304" s="11" t="s">
        <v>166</v>
      </c>
      <c r="AW304" s="38">
        <v>9.4018709487762795</v>
      </c>
      <c r="AX304" s="38">
        <v>10.2421141165779</v>
      </c>
      <c r="AY304" s="11" t="s">
        <v>191</v>
      </c>
      <c r="AZ304" s="43">
        <v>6.1232536284783101E-5</v>
      </c>
      <c r="BA304" s="43">
        <v>565.85978422611902</v>
      </c>
      <c r="BK304" s="25" t="s">
        <v>195</v>
      </c>
    </row>
    <row r="305" spans="2:63" ht="15.6" x14ac:dyDescent="0.3">
      <c r="B305" s="11" t="s">
        <v>175</v>
      </c>
      <c r="C305" s="4" t="s">
        <v>198</v>
      </c>
      <c r="D305" s="4"/>
      <c r="E305" s="4"/>
      <c r="F305" s="55"/>
      <c r="G305" s="4"/>
      <c r="H305" s="48" t="e">
        <f t="shared" si="17"/>
        <v>#DIV/0!</v>
      </c>
      <c r="I305" s="4"/>
      <c r="J305" s="4"/>
      <c r="K305" s="4"/>
      <c r="L305" s="4" t="e">
        <f t="shared" si="15"/>
        <v>#DIV/0!</v>
      </c>
      <c r="O305" t="s">
        <v>197</v>
      </c>
      <c r="AU305" s="22" t="e">
        <f t="shared" si="16"/>
        <v>#DIV/0!</v>
      </c>
      <c r="AV305" s="11" t="s">
        <v>166</v>
      </c>
      <c r="AW305" s="38">
        <v>11.3128343663202</v>
      </c>
      <c r="AX305" s="38">
        <v>1.10702096101685</v>
      </c>
      <c r="AY305" s="11" t="s">
        <v>191</v>
      </c>
      <c r="AZ305" s="43">
        <v>1.3867936178281701E-4</v>
      </c>
      <c r="BA305" s="43">
        <v>698.829152170886</v>
      </c>
      <c r="BK305" s="25" t="s">
        <v>195</v>
      </c>
    </row>
    <row r="306" spans="2:63" ht="15.6" x14ac:dyDescent="0.3">
      <c r="B306" s="11" t="s">
        <v>175</v>
      </c>
      <c r="C306" s="4" t="s">
        <v>198</v>
      </c>
      <c r="D306" s="4"/>
      <c r="E306" s="4"/>
      <c r="F306" s="55"/>
      <c r="G306" s="4"/>
      <c r="H306" s="48" t="e">
        <f t="shared" si="17"/>
        <v>#DIV/0!</v>
      </c>
      <c r="I306" s="4"/>
      <c r="J306" s="4"/>
      <c r="K306" s="4"/>
      <c r="L306" s="4" t="e">
        <f t="shared" si="15"/>
        <v>#DIV/0!</v>
      </c>
      <c r="O306" t="s">
        <v>197</v>
      </c>
      <c r="AU306" s="22" t="e">
        <f t="shared" si="16"/>
        <v>#DIV/0!</v>
      </c>
      <c r="AV306" s="11" t="s">
        <v>166</v>
      </c>
      <c r="AW306" s="38">
        <v>12.7980221399795</v>
      </c>
      <c r="AX306" s="38">
        <v>1.7233109056134999E-2</v>
      </c>
      <c r="AY306" s="11" t="s">
        <v>191</v>
      </c>
      <c r="AZ306" s="43">
        <v>2.26479858906776E-4</v>
      </c>
      <c r="BA306" s="43">
        <v>562.02797657098199</v>
      </c>
      <c r="BK306" s="25" t="s">
        <v>195</v>
      </c>
    </row>
    <row r="307" spans="2:63" ht="15.6" x14ac:dyDescent="0.3">
      <c r="B307" s="11" t="s">
        <v>175</v>
      </c>
      <c r="C307" s="4" t="s">
        <v>198</v>
      </c>
      <c r="D307" s="4"/>
      <c r="E307" s="4"/>
      <c r="F307" s="55"/>
      <c r="G307" s="4"/>
      <c r="H307" s="48" t="e">
        <f t="shared" si="17"/>
        <v>#DIV/0!</v>
      </c>
      <c r="I307" s="4"/>
      <c r="J307" s="4"/>
      <c r="K307" s="4"/>
      <c r="L307" s="4" t="e">
        <f t="shared" si="15"/>
        <v>#DIV/0!</v>
      </c>
      <c r="O307" t="s">
        <v>197</v>
      </c>
      <c r="AU307" s="22" t="e">
        <f t="shared" si="16"/>
        <v>#DIV/0!</v>
      </c>
      <c r="AV307" s="11" t="s">
        <v>166</v>
      </c>
      <c r="AW307" s="38">
        <v>13.198838481326201</v>
      </c>
      <c r="AX307" s="38">
        <v>5.4659082531868797E-3</v>
      </c>
      <c r="AY307" s="11" t="s">
        <v>191</v>
      </c>
      <c r="AZ307" s="43">
        <v>2.26469858906776E-4</v>
      </c>
      <c r="BA307" s="43">
        <v>562.02767657098195</v>
      </c>
      <c r="BK307" s="25" t="s">
        <v>195</v>
      </c>
    </row>
    <row r="308" spans="2:63" ht="15.6" x14ac:dyDescent="0.3">
      <c r="B308" s="11" t="s">
        <v>176</v>
      </c>
      <c r="C308" s="4" t="s">
        <v>199</v>
      </c>
      <c r="D308" s="4"/>
      <c r="E308" s="4"/>
      <c r="F308" s="55"/>
      <c r="G308" s="4"/>
      <c r="H308" s="48" t="e">
        <f t="shared" si="17"/>
        <v>#DIV/0!</v>
      </c>
      <c r="I308" s="4"/>
      <c r="J308" s="4"/>
      <c r="K308" s="4"/>
      <c r="L308" s="4" t="e">
        <f t="shared" si="15"/>
        <v>#DIV/0!</v>
      </c>
      <c r="O308" t="s">
        <v>197</v>
      </c>
      <c r="AU308" s="22" t="e">
        <f t="shared" si="16"/>
        <v>#DIV/0!</v>
      </c>
      <c r="AV308" s="11" t="s">
        <v>166</v>
      </c>
      <c r="AW308" s="38">
        <v>336.34557179068298</v>
      </c>
      <c r="AX308" s="38">
        <v>7.9670712535580094E-6</v>
      </c>
      <c r="AY308" s="11" t="s">
        <v>191</v>
      </c>
      <c r="AZ308" s="41">
        <v>9.2150361107902798E-11</v>
      </c>
      <c r="BA308" s="41">
        <v>7.3463630873108299E-6</v>
      </c>
      <c r="BK308" s="25" t="s">
        <v>195</v>
      </c>
    </row>
    <row r="309" spans="2:63" ht="15.6" x14ac:dyDescent="0.3">
      <c r="B309" s="11" t="s">
        <v>176</v>
      </c>
      <c r="C309" s="4" t="s">
        <v>199</v>
      </c>
      <c r="D309" s="4"/>
      <c r="E309" s="4"/>
      <c r="F309" s="55"/>
      <c r="G309" s="4"/>
      <c r="H309" s="48" t="e">
        <f t="shared" si="17"/>
        <v>#DIV/0!</v>
      </c>
      <c r="I309" s="4"/>
      <c r="J309" s="4"/>
      <c r="K309" s="4"/>
      <c r="L309" s="4" t="e">
        <f t="shared" si="15"/>
        <v>#DIV/0!</v>
      </c>
      <c r="O309" t="s">
        <v>197</v>
      </c>
      <c r="AU309" s="22" t="e">
        <f t="shared" si="16"/>
        <v>#DIV/0!</v>
      </c>
      <c r="AV309" s="11" t="s">
        <v>166</v>
      </c>
      <c r="AW309" s="38">
        <v>430.45580744612403</v>
      </c>
      <c r="AX309" s="38">
        <v>2.0253193243252899E-5</v>
      </c>
      <c r="AY309" s="11" t="s">
        <v>191</v>
      </c>
      <c r="AZ309" s="41">
        <v>3.6986849255019202E-10</v>
      </c>
      <c r="BA309" s="41">
        <v>1.85409451075115E-5</v>
      </c>
      <c r="BK309" s="25" t="s">
        <v>195</v>
      </c>
    </row>
    <row r="310" spans="2:63" ht="15.6" x14ac:dyDescent="0.3">
      <c r="B310" s="11" t="s">
        <v>176</v>
      </c>
      <c r="C310" s="4" t="s">
        <v>199</v>
      </c>
      <c r="D310" s="4"/>
      <c r="E310" s="4"/>
      <c r="F310" s="55"/>
      <c r="G310" s="4"/>
      <c r="H310" s="48" t="e">
        <f t="shared" si="17"/>
        <v>#DIV/0!</v>
      </c>
      <c r="I310" s="4"/>
      <c r="J310" s="4"/>
      <c r="K310" s="4"/>
      <c r="L310" s="4" t="e">
        <f t="shared" si="15"/>
        <v>#DIV/0!</v>
      </c>
      <c r="O310" t="s">
        <v>197</v>
      </c>
      <c r="AU310" s="22" t="e">
        <f t="shared" si="16"/>
        <v>#DIV/0!</v>
      </c>
      <c r="AV310" s="11" t="s">
        <v>166</v>
      </c>
      <c r="AW310" s="38">
        <v>517.94746792312105</v>
      </c>
      <c r="AX310" s="38">
        <v>2.17601726918124E-5</v>
      </c>
      <c r="AY310" s="11" t="s">
        <v>191</v>
      </c>
      <c r="AZ310" s="41">
        <v>6.0403915139165999E-10</v>
      </c>
      <c r="BA310" s="41">
        <v>2.1348282676774501E-5</v>
      </c>
      <c r="BK310" s="25" t="s">
        <v>195</v>
      </c>
    </row>
    <row r="311" spans="2:63" ht="15.6" x14ac:dyDescent="0.3">
      <c r="B311" s="11" t="s">
        <v>176</v>
      </c>
      <c r="C311" s="4" t="s">
        <v>199</v>
      </c>
      <c r="D311" s="4"/>
      <c r="E311" s="4"/>
      <c r="F311" s="55"/>
      <c r="G311" s="4"/>
      <c r="H311" s="48" t="e">
        <f t="shared" si="17"/>
        <v>#DIV/0!</v>
      </c>
      <c r="I311" s="4"/>
      <c r="J311" s="4"/>
      <c r="K311" s="4"/>
      <c r="L311" s="4" t="e">
        <f t="shared" si="15"/>
        <v>#DIV/0!</v>
      </c>
      <c r="O311" t="s">
        <v>197</v>
      </c>
      <c r="AU311" s="22" t="e">
        <f t="shared" si="16"/>
        <v>#DIV/0!</v>
      </c>
      <c r="AV311" s="11" t="s">
        <v>166</v>
      </c>
      <c r="AW311" s="38">
        <v>550.89829539782704</v>
      </c>
      <c r="AX311" s="38">
        <v>2.89959713746939E-5</v>
      </c>
      <c r="AY311" s="11" t="s">
        <v>191</v>
      </c>
      <c r="AZ311" s="41">
        <v>9.0903348613840197E-10</v>
      </c>
      <c r="BA311" s="41">
        <v>3.0498954062984599E-5</v>
      </c>
      <c r="BK311" s="25" t="s">
        <v>195</v>
      </c>
    </row>
    <row r="312" spans="2:63" ht="15.6" x14ac:dyDescent="0.3">
      <c r="B312" s="11" t="s">
        <v>176</v>
      </c>
      <c r="C312" s="4" t="s">
        <v>199</v>
      </c>
      <c r="D312" s="4"/>
      <c r="E312" s="4"/>
      <c r="F312" s="55"/>
      <c r="G312" s="4"/>
      <c r="H312" s="48" t="e">
        <f t="shared" si="17"/>
        <v>#DIV/0!</v>
      </c>
      <c r="I312" s="4"/>
      <c r="J312" s="4"/>
      <c r="K312" s="4"/>
      <c r="L312" s="4" t="e">
        <f t="shared" si="15"/>
        <v>#DIV/0!</v>
      </c>
      <c r="O312" t="s">
        <v>197</v>
      </c>
      <c r="AU312" s="22" t="e">
        <f t="shared" si="16"/>
        <v>#DIV/0!</v>
      </c>
      <c r="AV312" s="11" t="s">
        <v>166</v>
      </c>
      <c r="AW312" s="38">
        <v>502.21867410566</v>
      </c>
      <c r="AX312" s="38">
        <v>3.3471511506863597E-5</v>
      </c>
      <c r="AY312" s="11" t="s">
        <v>191</v>
      </c>
      <c r="AZ312" s="41">
        <v>8.3767764006829501E-10</v>
      </c>
      <c r="BA312" s="41">
        <v>2.8398836384688299E-5</v>
      </c>
      <c r="BK312" s="25" t="s">
        <v>195</v>
      </c>
    </row>
    <row r="313" spans="2:63" ht="15.6" x14ac:dyDescent="0.3">
      <c r="B313" s="11" t="s">
        <v>176</v>
      </c>
      <c r="C313" s="4" t="s">
        <v>199</v>
      </c>
      <c r="D313" s="4"/>
      <c r="E313" s="4"/>
      <c r="F313" s="55"/>
      <c r="G313" s="4"/>
      <c r="H313" s="48" t="e">
        <f t="shared" si="17"/>
        <v>#DIV/0!</v>
      </c>
      <c r="I313" s="4"/>
      <c r="J313" s="4"/>
      <c r="K313" s="4"/>
      <c r="L313" s="4" t="e">
        <f t="shared" si="15"/>
        <v>#DIV/0!</v>
      </c>
      <c r="O313" t="s">
        <v>197</v>
      </c>
      <c r="AU313" s="22" t="e">
        <f t="shared" si="16"/>
        <v>#DIV/0!</v>
      </c>
      <c r="AV313" s="11" t="s">
        <v>166</v>
      </c>
      <c r="AW313" s="38">
        <v>902.31285120382199</v>
      </c>
      <c r="AX313" s="38">
        <v>3.59620264270166E-5</v>
      </c>
      <c r="AY313" s="11" t="s">
        <v>191</v>
      </c>
      <c r="AZ313" s="41">
        <v>1.07049784858807E-9</v>
      </c>
      <c r="BA313" s="41">
        <v>3.7793975519232602E-5</v>
      </c>
      <c r="BK313" s="25" t="s">
        <v>195</v>
      </c>
    </row>
    <row r="314" spans="2:63" ht="15.6" x14ac:dyDescent="0.3">
      <c r="B314" s="11" t="s">
        <v>176</v>
      </c>
      <c r="C314" s="4" t="s">
        <v>199</v>
      </c>
      <c r="D314" s="4"/>
      <c r="E314" s="4"/>
      <c r="F314" s="55"/>
      <c r="G314" s="4"/>
      <c r="H314" s="48" t="e">
        <f t="shared" si="17"/>
        <v>#DIV/0!</v>
      </c>
      <c r="I314" s="4"/>
      <c r="J314" s="4"/>
      <c r="K314" s="4"/>
      <c r="L314" s="4" t="e">
        <f t="shared" si="15"/>
        <v>#DIV/0!</v>
      </c>
      <c r="O314" t="s">
        <v>197</v>
      </c>
      <c r="AU314" s="22" t="e">
        <f t="shared" si="16"/>
        <v>#DIV/0!</v>
      </c>
      <c r="AV314" s="11" t="s">
        <v>166</v>
      </c>
      <c r="AW314" s="38">
        <v>930.57204092969801</v>
      </c>
      <c r="AX314" s="38">
        <v>5.5316811976172101E-5</v>
      </c>
      <c r="AY314" s="11" t="s">
        <v>191</v>
      </c>
      <c r="AZ314" s="41">
        <v>1.6110187377154E-9</v>
      </c>
      <c r="BA314" s="41">
        <v>4.6774259005139903E-5</v>
      </c>
      <c r="BK314" s="25" t="s">
        <v>195</v>
      </c>
    </row>
    <row r="315" spans="2:63" ht="15.6" x14ac:dyDescent="0.3">
      <c r="B315" s="11" t="s">
        <v>176</v>
      </c>
      <c r="C315" s="4" t="s">
        <v>199</v>
      </c>
      <c r="D315" s="4"/>
      <c r="E315" s="4"/>
      <c r="F315" s="55"/>
      <c r="G315" s="4"/>
      <c r="H315" s="48" t="e">
        <f t="shared" si="17"/>
        <v>#DIV/0!</v>
      </c>
      <c r="I315" s="4"/>
      <c r="J315" s="4"/>
      <c r="K315" s="4"/>
      <c r="L315" s="4" t="e">
        <f t="shared" si="15"/>
        <v>#DIV/0!</v>
      </c>
      <c r="O315" t="s">
        <v>197</v>
      </c>
      <c r="AU315" s="22" t="e">
        <f t="shared" si="16"/>
        <v>#DIV/0!</v>
      </c>
      <c r="AV315" s="11" t="s">
        <v>166</v>
      </c>
      <c r="AW315" s="38">
        <v>472.17951620069499</v>
      </c>
      <c r="AX315" s="38">
        <v>5.14859003382658E-5</v>
      </c>
      <c r="AY315" s="11" t="s">
        <v>191</v>
      </c>
      <c r="AZ315" s="41">
        <v>1.3680270178135199E-9</v>
      </c>
      <c r="BA315" s="41">
        <v>6.7022393598087197E-5</v>
      </c>
      <c r="BK315" s="25" t="s">
        <v>195</v>
      </c>
    </row>
    <row r="316" spans="2:63" ht="15.6" x14ac:dyDescent="0.3">
      <c r="B316" s="11" t="s">
        <v>176</v>
      </c>
      <c r="C316" s="4" t="s">
        <v>199</v>
      </c>
      <c r="D316" s="4"/>
      <c r="E316" s="4"/>
      <c r="F316" s="55"/>
      <c r="G316" s="4"/>
      <c r="H316" s="48" t="e">
        <f t="shared" si="17"/>
        <v>#DIV/0!</v>
      </c>
      <c r="I316" s="4"/>
      <c r="J316" s="4"/>
      <c r="K316" s="4"/>
      <c r="L316" s="4" t="e">
        <f t="shared" si="15"/>
        <v>#DIV/0!</v>
      </c>
      <c r="O316" t="s">
        <v>197</v>
      </c>
      <c r="AU316" s="22" t="e">
        <f t="shared" si="16"/>
        <v>#DIV/0!</v>
      </c>
      <c r="AV316" s="11" t="s">
        <v>166</v>
      </c>
      <c r="AW316" s="38">
        <v>443.93708759745601</v>
      </c>
      <c r="AX316" s="38">
        <v>5.5316811976172101E-5</v>
      </c>
      <c r="AY316" s="11" t="s">
        <v>191</v>
      </c>
      <c r="AZ316" s="41">
        <v>9.8646763312623193E-10</v>
      </c>
      <c r="BA316" s="41">
        <v>7.2131753336653398E-5</v>
      </c>
      <c r="BK316" s="25" t="s">
        <v>195</v>
      </c>
    </row>
    <row r="317" spans="2:63" ht="15.6" x14ac:dyDescent="0.3">
      <c r="B317" s="11" t="s">
        <v>176</v>
      </c>
      <c r="C317" s="4" t="s">
        <v>199</v>
      </c>
      <c r="D317" s="4"/>
      <c r="E317" s="4"/>
      <c r="F317" s="55"/>
      <c r="G317" s="4"/>
      <c r="H317" s="48" t="e">
        <f t="shared" si="17"/>
        <v>#DIV/0!</v>
      </c>
      <c r="I317" s="4"/>
      <c r="J317" s="4"/>
      <c r="K317" s="4"/>
      <c r="L317" s="4" t="e">
        <f t="shared" si="15"/>
        <v>#DIV/0!</v>
      </c>
      <c r="O317" t="s">
        <v>197</v>
      </c>
      <c r="AU317" s="22" t="e">
        <f t="shared" si="16"/>
        <v>#DIV/0!</v>
      </c>
      <c r="AV317" s="11" t="s">
        <v>166</v>
      </c>
      <c r="AW317" s="38">
        <v>430.45580744612403</v>
      </c>
      <c r="AX317" s="38">
        <v>6.8606242861777794E-5</v>
      </c>
      <c r="AY317" s="11" t="s">
        <v>191</v>
      </c>
      <c r="AZ317" s="41">
        <v>2.6309848251635698E-9</v>
      </c>
      <c r="BA317" s="41">
        <v>7.1765103817494994E-5</v>
      </c>
      <c r="BK317" s="25" t="s">
        <v>195</v>
      </c>
    </row>
    <row r="318" spans="2:63" ht="15.6" x14ac:dyDescent="0.3">
      <c r="B318" s="11" t="s">
        <v>176</v>
      </c>
      <c r="C318" s="4" t="s">
        <v>199</v>
      </c>
      <c r="D318" s="4"/>
      <c r="E318" s="4"/>
      <c r="F318" s="55"/>
      <c r="G318" s="4"/>
      <c r="H318" s="48" t="e">
        <f t="shared" si="17"/>
        <v>#DIV/0!</v>
      </c>
      <c r="I318" s="4"/>
      <c r="J318" s="4"/>
      <c r="K318" s="4"/>
      <c r="L318" s="4" t="e">
        <f t="shared" si="15"/>
        <v>#DIV/0!</v>
      </c>
      <c r="O318" t="s">
        <v>197</v>
      </c>
      <c r="AU318" s="22" t="e">
        <f t="shared" si="16"/>
        <v>#DIV/0!</v>
      </c>
      <c r="AV318" s="11" t="s">
        <v>166</v>
      </c>
      <c r="AW318" s="38">
        <v>404.708995075975</v>
      </c>
      <c r="AX318" s="38">
        <v>7.9195644723073705E-5</v>
      </c>
      <c r="AY318" s="11" t="s">
        <v>191</v>
      </c>
      <c r="AZ318" s="41">
        <v>5.4909181555364097E-9</v>
      </c>
      <c r="BA318" s="41">
        <v>4.9935486229459597E-5</v>
      </c>
      <c r="BK318" s="25" t="s">
        <v>195</v>
      </c>
    </row>
    <row r="319" spans="2:63" ht="15.6" x14ac:dyDescent="0.3">
      <c r="B319" s="11" t="s">
        <v>176</v>
      </c>
      <c r="C319" s="4" t="s">
        <v>199</v>
      </c>
      <c r="D319" s="4"/>
      <c r="E319" s="4"/>
      <c r="F319" s="55"/>
      <c r="G319" s="4"/>
      <c r="H319" s="48" t="e">
        <f t="shared" si="17"/>
        <v>#DIV/0!</v>
      </c>
      <c r="I319" s="4"/>
      <c r="J319" s="4"/>
      <c r="K319" s="4"/>
      <c r="L319" s="4" t="e">
        <f t="shared" si="15"/>
        <v>#DIV/0!</v>
      </c>
      <c r="O319" t="s">
        <v>197</v>
      </c>
      <c r="AU319" s="22" t="e">
        <f t="shared" si="16"/>
        <v>#DIV/0!</v>
      </c>
      <c r="AV319" s="11" t="s">
        <v>166</v>
      </c>
      <c r="AW319" s="38">
        <v>357.743233897994</v>
      </c>
      <c r="AX319" s="38">
        <v>8.5088355446743906E-5</v>
      </c>
      <c r="AY319" s="11" t="s">
        <v>191</v>
      </c>
      <c r="AZ319" s="41">
        <v>3.9594342553549501E-9</v>
      </c>
      <c r="BA319" s="41">
        <v>8.8817318299369406E-5</v>
      </c>
      <c r="BK319" s="25" t="s">
        <v>195</v>
      </c>
    </row>
    <row r="320" spans="2:63" ht="15.6" x14ac:dyDescent="0.3">
      <c r="B320" s="11" t="s">
        <v>176</v>
      </c>
      <c r="C320" s="4" t="s">
        <v>199</v>
      </c>
      <c r="D320" s="4"/>
      <c r="E320" s="4"/>
      <c r="F320" s="55"/>
      <c r="G320" s="4"/>
      <c r="H320" s="48" t="e">
        <f t="shared" si="17"/>
        <v>#DIV/0!</v>
      </c>
      <c r="I320" s="4"/>
      <c r="J320" s="4"/>
      <c r="K320" s="4"/>
      <c r="L320" s="4" t="e">
        <f t="shared" si="15"/>
        <v>#DIV/0!</v>
      </c>
      <c r="O320" t="s">
        <v>197</v>
      </c>
      <c r="AU320" s="22" t="e">
        <f t="shared" si="16"/>
        <v>#DIV/0!</v>
      </c>
      <c r="AV320" s="11" t="s">
        <v>166</v>
      </c>
      <c r="AW320" s="38">
        <v>568.15166758302803</v>
      </c>
      <c r="AX320" s="38">
        <v>6.8606242861777794E-5</v>
      </c>
      <c r="AY320" s="11" t="s">
        <v>191</v>
      </c>
      <c r="AZ320" s="41">
        <v>7.0170382867038598E-9</v>
      </c>
      <c r="BA320" s="41">
        <v>1.2678001398962901E-4</v>
      </c>
      <c r="BK320" s="25" t="s">
        <v>195</v>
      </c>
    </row>
    <row r="321" spans="2:63" ht="15.6" x14ac:dyDescent="0.3">
      <c r="B321" s="11" t="s">
        <v>176</v>
      </c>
      <c r="C321" s="4" t="s">
        <v>199</v>
      </c>
      <c r="D321" s="4"/>
      <c r="E321" s="4"/>
      <c r="F321" s="55"/>
      <c r="G321" s="4"/>
      <c r="H321" s="48" t="e">
        <f t="shared" si="17"/>
        <v>#DIV/0!</v>
      </c>
      <c r="I321" s="4"/>
      <c r="J321" s="4"/>
      <c r="K321" s="4"/>
      <c r="L321" s="4" t="e">
        <f t="shared" si="15"/>
        <v>#DIV/0!</v>
      </c>
      <c r="O321" t="s">
        <v>197</v>
      </c>
      <c r="AU321" s="22" t="e">
        <f t="shared" si="16"/>
        <v>#DIV/0!</v>
      </c>
      <c r="AV321" s="11" t="s">
        <v>166</v>
      </c>
      <c r="AW321" s="38">
        <v>550.89829539782704</v>
      </c>
      <c r="AX321" s="38">
        <v>1.13382350121784E-4</v>
      </c>
      <c r="AY321" s="11" t="s">
        <v>191</v>
      </c>
      <c r="AZ321" s="41">
        <v>2.0587777568216E-9</v>
      </c>
      <c r="BA321" s="41">
        <v>1.8266755487957999E-4</v>
      </c>
      <c r="BK321" s="25" t="s">
        <v>195</v>
      </c>
    </row>
    <row r="322" spans="2:63" ht="15.6" x14ac:dyDescent="0.3">
      <c r="B322" s="11" t="s">
        <v>176</v>
      </c>
      <c r="C322" s="4" t="s">
        <v>199</v>
      </c>
      <c r="D322" s="4"/>
      <c r="E322" s="4"/>
      <c r="F322" s="55"/>
      <c r="G322" s="4"/>
      <c r="H322" s="48" t="e">
        <f t="shared" si="17"/>
        <v>#DIV/0!</v>
      </c>
      <c r="I322" s="4"/>
      <c r="J322" s="4"/>
      <c r="K322" s="4"/>
      <c r="L322" s="4" t="e">
        <f t="shared" si="15"/>
        <v>#DIV/0!</v>
      </c>
      <c r="O322" t="s">
        <v>197</v>
      </c>
      <c r="AU322" s="22" t="e">
        <f t="shared" si="16"/>
        <v>#DIV/0!</v>
      </c>
      <c r="AV322" s="11" t="s">
        <v>166</v>
      </c>
      <c r="AW322" s="38">
        <v>705.04085813783797</v>
      </c>
      <c r="AX322" s="38">
        <v>1.21818791201011E-4</v>
      </c>
      <c r="AY322" s="11" t="s">
        <v>191</v>
      </c>
      <c r="AZ322" s="41">
        <v>3.64863296413956E-9</v>
      </c>
      <c r="BA322" s="41">
        <v>1.6951243703729901E-4</v>
      </c>
      <c r="BK322" s="25" t="s">
        <v>195</v>
      </c>
    </row>
    <row r="323" spans="2:63" ht="15.6" x14ac:dyDescent="0.3">
      <c r="B323" s="11" t="s">
        <v>176</v>
      </c>
      <c r="C323" s="4" t="s">
        <v>199</v>
      </c>
      <c r="D323" s="4"/>
      <c r="E323" s="4"/>
      <c r="F323" s="55"/>
      <c r="G323" s="4"/>
      <c r="H323" s="48" t="e">
        <f t="shared" si="17"/>
        <v>#DIV/0!</v>
      </c>
      <c r="I323" s="4"/>
      <c r="J323" s="4"/>
      <c r="K323" s="4"/>
      <c r="L323" s="4" t="e">
        <f t="shared" si="15"/>
        <v>#DIV/0!</v>
      </c>
      <c r="O323" t="s">
        <v>197</v>
      </c>
      <c r="AU323" s="22" t="e">
        <f t="shared" si="16"/>
        <v>#DIV/0!</v>
      </c>
      <c r="AV323" s="11" t="s">
        <v>166</v>
      </c>
      <c r="AW323" s="38">
        <v>642.74057103154098</v>
      </c>
      <c r="AX323" s="38">
        <v>2.1630419143595401E-4</v>
      </c>
      <c r="AY323" s="11" t="s">
        <v>191</v>
      </c>
      <c r="AZ323" s="41">
        <v>6.4662261202773599E-9</v>
      </c>
      <c r="BA323" s="41">
        <v>2.5997018186921998E-4</v>
      </c>
      <c r="BK323" s="25" t="s">
        <v>195</v>
      </c>
    </row>
    <row r="324" spans="2:63" ht="15.6" x14ac:dyDescent="0.3">
      <c r="B324" s="11" t="s">
        <v>176</v>
      </c>
      <c r="C324" s="4" t="s">
        <v>199</v>
      </c>
      <c r="D324" s="4"/>
      <c r="E324" s="4"/>
      <c r="F324" s="55"/>
      <c r="G324" s="4"/>
      <c r="H324" s="48" t="e">
        <f t="shared" si="17"/>
        <v>#DIV/0!</v>
      </c>
      <c r="I324" s="4"/>
      <c r="J324" s="4"/>
      <c r="K324" s="4"/>
      <c r="L324" s="4" t="e">
        <f t="shared" si="15"/>
        <v>#DIV/0!</v>
      </c>
      <c r="O324" t="s">
        <v>197</v>
      </c>
      <c r="AU324" s="22" t="e">
        <f t="shared" si="16"/>
        <v>#DIV/0!</v>
      </c>
      <c r="AV324" s="11" t="s">
        <v>166</v>
      </c>
      <c r="AW324" s="38">
        <v>585.94539150692106</v>
      </c>
      <c r="AX324" s="38">
        <v>1.87381742286038E-4</v>
      </c>
      <c r="AY324" s="11" t="s">
        <v>191</v>
      </c>
      <c r="AZ324" s="41">
        <v>8.2634187892093599E-9</v>
      </c>
      <c r="BA324" s="41">
        <v>2.5963918973265899E-4</v>
      </c>
      <c r="BK324" s="25" t="s">
        <v>195</v>
      </c>
    </row>
    <row r="325" spans="2:63" ht="15.6" x14ac:dyDescent="0.3">
      <c r="B325" s="11" t="s">
        <v>176</v>
      </c>
      <c r="C325" s="4" t="s">
        <v>199</v>
      </c>
      <c r="D325" s="4"/>
      <c r="E325" s="4"/>
      <c r="F325" s="55"/>
      <c r="G325" s="4"/>
      <c r="H325" s="48" t="e">
        <f t="shared" si="17"/>
        <v>#DIV/0!</v>
      </c>
      <c r="I325" s="4"/>
      <c r="J325" s="4"/>
      <c r="K325" s="4"/>
      <c r="L325" s="4" t="e">
        <f t="shared" ref="L325:L388" si="18">J325/K325</f>
        <v>#DIV/0!</v>
      </c>
      <c r="O325" t="s">
        <v>197</v>
      </c>
      <c r="AU325" s="22" t="e">
        <f t="shared" si="16"/>
        <v>#DIV/0!</v>
      </c>
      <c r="AV325" s="11" t="s">
        <v>166</v>
      </c>
      <c r="AW325" s="38">
        <v>568.15166758302803</v>
      </c>
      <c r="AX325" s="38">
        <v>1.74404803239659E-4</v>
      </c>
      <c r="AY325" s="11" t="s">
        <v>191</v>
      </c>
      <c r="AZ325" s="41">
        <v>4.2967105150230399E-9</v>
      </c>
      <c r="BA325" s="41">
        <v>2.6052277337131399E-4</v>
      </c>
      <c r="BK325" s="25" t="s">
        <v>195</v>
      </c>
    </row>
    <row r="326" spans="2:63" ht="15.6" x14ac:dyDescent="0.3">
      <c r="B326" s="11" t="s">
        <v>176</v>
      </c>
      <c r="C326" s="4" t="s">
        <v>199</v>
      </c>
      <c r="D326" s="4"/>
      <c r="E326" s="4"/>
      <c r="F326" s="55"/>
      <c r="G326" s="4"/>
      <c r="H326" s="48" t="e">
        <f t="shared" si="17"/>
        <v>#DIV/0!</v>
      </c>
      <c r="I326" s="4"/>
      <c r="J326" s="4"/>
      <c r="K326" s="4"/>
      <c r="L326" s="4" t="e">
        <f t="shared" si="18"/>
        <v>#DIV/0!</v>
      </c>
      <c r="O326" t="s">
        <v>197</v>
      </c>
      <c r="AU326" s="22" t="e">
        <f t="shared" si="16"/>
        <v>#DIV/0!</v>
      </c>
      <c r="AV326" s="11" t="s">
        <v>166</v>
      </c>
      <c r="AW326" s="38">
        <v>517.94746792312105</v>
      </c>
      <c r="AX326" s="38">
        <v>1.74404803239659E-4</v>
      </c>
      <c r="AY326" s="11" t="s">
        <v>191</v>
      </c>
      <c r="AZ326" s="41">
        <v>3.3622284519565698E-9</v>
      </c>
      <c r="BA326" s="41">
        <v>4.9764364927184796E-4</v>
      </c>
      <c r="BK326" s="25" t="s">
        <v>195</v>
      </c>
    </row>
    <row r="327" spans="2:63" ht="15.6" x14ac:dyDescent="0.3">
      <c r="B327" s="11" t="s">
        <v>176</v>
      </c>
      <c r="C327" s="4" t="s">
        <v>199</v>
      </c>
      <c r="D327" s="4"/>
      <c r="E327" s="4"/>
      <c r="F327" s="55"/>
      <c r="G327" s="4"/>
      <c r="H327" s="48" t="e">
        <f t="shared" si="17"/>
        <v>#DIV/0!</v>
      </c>
      <c r="I327" s="4"/>
      <c r="J327" s="4"/>
      <c r="K327" s="4"/>
      <c r="L327" s="4" t="e">
        <f t="shared" si="18"/>
        <v>#DIV/0!</v>
      </c>
      <c r="O327" t="s">
        <v>197</v>
      </c>
      <c r="AU327" s="22" t="e">
        <f t="shared" si="16"/>
        <v>#DIV/0!</v>
      </c>
      <c r="AV327" s="11" t="s">
        <v>166</v>
      </c>
      <c r="AW327" s="38">
        <v>472.17951620069499</v>
      </c>
      <c r="AX327" s="38">
        <v>1.87381742286037E-4</v>
      </c>
      <c r="AY327" s="11" t="s">
        <v>191</v>
      </c>
      <c r="AZ327" s="41">
        <v>1.26064183696882E-9</v>
      </c>
      <c r="BA327" s="41">
        <v>2.6218760538642799E-4</v>
      </c>
      <c r="BK327" s="25" t="s">
        <v>195</v>
      </c>
    </row>
    <row r="328" spans="2:63" ht="15.6" x14ac:dyDescent="0.3">
      <c r="B328" s="11" t="s">
        <v>176</v>
      </c>
      <c r="C328" s="4" t="s">
        <v>199</v>
      </c>
      <c r="D328" s="4"/>
      <c r="E328" s="4"/>
      <c r="F328" s="55"/>
      <c r="G328" s="4"/>
      <c r="H328" s="48" t="e">
        <f t="shared" si="17"/>
        <v>#DIV/0!</v>
      </c>
      <c r="I328" s="4"/>
      <c r="J328" s="4"/>
      <c r="K328" s="4"/>
      <c r="L328" s="4" t="e">
        <f t="shared" si="18"/>
        <v>#DIV/0!</v>
      </c>
      <c r="O328" t="s">
        <v>197</v>
      </c>
      <c r="AU328" s="22" t="e">
        <f t="shared" si="16"/>
        <v>#DIV/0!</v>
      </c>
      <c r="AV328" s="11" t="s">
        <v>166</v>
      </c>
      <c r="AW328" s="38">
        <v>486.96752516586298</v>
      </c>
      <c r="AX328" s="38">
        <v>2.3239873846447401E-4</v>
      </c>
      <c r="AY328" s="11" t="s">
        <v>191</v>
      </c>
      <c r="AZ328" s="41">
        <v>5.4909181555364304E-9</v>
      </c>
      <c r="BA328" s="41">
        <v>4.0022608156058099E-4</v>
      </c>
      <c r="BK328" s="25" t="s">
        <v>195</v>
      </c>
    </row>
    <row r="329" spans="2:63" ht="15.6" x14ac:dyDescent="0.3">
      <c r="B329" s="11" t="s">
        <v>176</v>
      </c>
      <c r="C329" s="4" t="s">
        <v>199</v>
      </c>
      <c r="D329" s="4"/>
      <c r="E329" s="4"/>
      <c r="F329" s="55"/>
      <c r="G329" s="4"/>
      <c r="H329" s="48" t="e">
        <f t="shared" si="17"/>
        <v>#DIV/0!</v>
      </c>
      <c r="I329" s="4"/>
      <c r="J329" s="4"/>
      <c r="K329" s="4"/>
      <c r="L329" s="4" t="e">
        <f t="shared" si="18"/>
        <v>#DIV/0!</v>
      </c>
      <c r="O329" t="s">
        <v>197</v>
      </c>
      <c r="AU329" s="22" t="e">
        <f t="shared" si="16"/>
        <v>#DIV/0!</v>
      </c>
      <c r="AV329" s="11" t="s">
        <v>166</v>
      </c>
      <c r="AW329" s="38">
        <v>430.45580744612403</v>
      </c>
      <c r="AX329" s="38">
        <v>2.4969083253234499E-4</v>
      </c>
      <c r="AY329" s="11" t="s">
        <v>191</v>
      </c>
      <c r="AZ329" s="41">
        <v>8.2634187892093599E-9</v>
      </c>
      <c r="BA329" s="41">
        <v>4.9532440401779101E-4</v>
      </c>
      <c r="BK329" s="25" t="s">
        <v>195</v>
      </c>
    </row>
    <row r="330" spans="2:63" ht="15.6" x14ac:dyDescent="0.3">
      <c r="B330" s="11" t="s">
        <v>176</v>
      </c>
      <c r="C330" s="4" t="s">
        <v>199</v>
      </c>
      <c r="D330" s="4"/>
      <c r="E330" s="4"/>
      <c r="F330" s="55"/>
      <c r="G330" s="4"/>
      <c r="H330" s="48" t="e">
        <f t="shared" si="17"/>
        <v>#DIV/0!</v>
      </c>
      <c r="I330" s="4"/>
      <c r="J330" s="4"/>
      <c r="K330" s="4"/>
      <c r="L330" s="4" t="e">
        <f t="shared" si="18"/>
        <v>#DIV/0!</v>
      </c>
      <c r="O330" t="s">
        <v>197</v>
      </c>
      <c r="AU330" s="22" t="e">
        <f t="shared" si="16"/>
        <v>#DIV/0!</v>
      </c>
      <c r="AV330" s="11" t="s">
        <v>166</v>
      </c>
      <c r="AW330" s="38">
        <v>417.38392069668799</v>
      </c>
      <c r="AX330" s="38">
        <v>2.8823071544203401E-4</v>
      </c>
      <c r="AY330" s="11" t="s">
        <v>191</v>
      </c>
      <c r="AZ330" s="41">
        <v>5.0599009084661797E-9</v>
      </c>
      <c r="BA330" s="41">
        <v>9.4736163202584699E-4</v>
      </c>
      <c r="BK330" s="25" t="s">
        <v>195</v>
      </c>
    </row>
    <row r="331" spans="2:63" ht="15.6" x14ac:dyDescent="0.3">
      <c r="B331" s="11" t="s">
        <v>176</v>
      </c>
      <c r="C331" s="4" t="s">
        <v>199</v>
      </c>
      <c r="D331" s="4"/>
      <c r="E331" s="4"/>
      <c r="F331" s="55"/>
      <c r="G331" s="4"/>
      <c r="H331" s="48" t="e">
        <f t="shared" si="17"/>
        <v>#DIV/0!</v>
      </c>
      <c r="I331" s="4"/>
      <c r="J331" s="4"/>
      <c r="K331" s="4"/>
      <c r="L331" s="4" t="e">
        <f t="shared" si="18"/>
        <v>#DIV/0!</v>
      </c>
      <c r="O331" t="s">
        <v>197</v>
      </c>
      <c r="AU331" s="22" t="e">
        <f t="shared" si="16"/>
        <v>#DIV/0!</v>
      </c>
      <c r="AV331" s="11" t="s">
        <v>166</v>
      </c>
      <c r="AW331" s="38">
        <v>392.41897584845299</v>
      </c>
      <c r="AX331" s="38">
        <v>3.84074597781543E-4</v>
      </c>
      <c r="AY331" s="11" t="s">
        <v>191</v>
      </c>
      <c r="AZ331" s="41">
        <v>8.2634187892093599E-9</v>
      </c>
      <c r="BA331" s="41">
        <v>3.4391266316371101E-3</v>
      </c>
      <c r="BK331" s="25" t="s">
        <v>195</v>
      </c>
    </row>
    <row r="332" spans="2:63" ht="15.6" x14ac:dyDescent="0.3">
      <c r="B332" s="11" t="s">
        <v>176</v>
      </c>
      <c r="C332" s="4" t="s">
        <v>199</v>
      </c>
      <c r="D332" s="4"/>
      <c r="E332" s="4"/>
      <c r="F332" s="55"/>
      <c r="G332" s="4"/>
      <c r="H332" s="48" t="e">
        <f t="shared" si="17"/>
        <v>#DIV/0!</v>
      </c>
      <c r="I332" s="4"/>
      <c r="J332" s="4"/>
      <c r="K332" s="4"/>
      <c r="L332" s="4" t="e">
        <f t="shared" si="18"/>
        <v>#DIV/0!</v>
      </c>
      <c r="O332" t="s">
        <v>197</v>
      </c>
      <c r="AU332" s="22" t="e">
        <f t="shared" si="16"/>
        <v>#DIV/0!</v>
      </c>
      <c r="AV332" s="11" t="s">
        <v>166</v>
      </c>
      <c r="AW332" s="38">
        <v>392.41897584845299</v>
      </c>
      <c r="AX332" s="38">
        <v>2.4969083253234499E-4</v>
      </c>
      <c r="AY332" s="11" t="s">
        <v>191</v>
      </c>
      <c r="AZ332" s="41">
        <v>1.3680270178135199E-9</v>
      </c>
      <c r="BA332" s="41">
        <v>4.9699246463663698E-3</v>
      </c>
      <c r="BK332" s="25" t="s">
        <v>195</v>
      </c>
    </row>
    <row r="333" spans="2:63" ht="15.6" x14ac:dyDescent="0.3">
      <c r="B333" s="11" t="s">
        <v>176</v>
      </c>
      <c r="C333" s="4" t="s">
        <v>199</v>
      </c>
      <c r="D333" s="4"/>
      <c r="E333" s="4"/>
      <c r="F333" s="55"/>
      <c r="G333" s="4"/>
      <c r="H333" s="48" t="e">
        <f t="shared" si="17"/>
        <v>#DIV/0!</v>
      </c>
      <c r="I333" s="4"/>
      <c r="J333" s="4"/>
      <c r="K333" s="4"/>
      <c r="L333" s="4" t="e">
        <f t="shared" si="18"/>
        <v>#DIV/0!</v>
      </c>
      <c r="O333" t="s">
        <v>197</v>
      </c>
      <c r="AU333" s="22" t="e">
        <f t="shared" ref="AU333:AU396" si="19">(AS333*AT333)/(AG333)</f>
        <v>#DIV/0!</v>
      </c>
      <c r="AV333" s="11" t="s">
        <v>166</v>
      </c>
      <c r="AW333" s="38">
        <v>316.22776601683699</v>
      </c>
      <c r="AX333" s="38">
        <v>2.1630419143595499E-4</v>
      </c>
      <c r="AY333" s="11" t="s">
        <v>191</v>
      </c>
      <c r="AZ333" s="41">
        <v>2.8164635950054399E-8</v>
      </c>
      <c r="BA333" s="41">
        <v>3.4172889550927099E-3</v>
      </c>
      <c r="BK333" s="25" t="s">
        <v>195</v>
      </c>
    </row>
    <row r="334" spans="2:63" ht="15.6" x14ac:dyDescent="0.3">
      <c r="B334" s="11" t="s">
        <v>176</v>
      </c>
      <c r="C334" s="4" t="s">
        <v>199</v>
      </c>
      <c r="D334" s="4"/>
      <c r="E334" s="4"/>
      <c r="F334" s="55"/>
      <c r="G334" s="4"/>
      <c r="H334" s="48" t="e">
        <f t="shared" si="17"/>
        <v>#DIV/0!</v>
      </c>
      <c r="I334" s="4"/>
      <c r="J334" s="4"/>
      <c r="K334" s="4"/>
      <c r="L334" s="4" t="e">
        <f t="shared" si="18"/>
        <v>#DIV/0!</v>
      </c>
      <c r="O334" t="s">
        <v>197</v>
      </c>
      <c r="AU334" s="22" t="e">
        <f t="shared" si="19"/>
        <v>#DIV/0!</v>
      </c>
      <c r="AV334" s="11" t="s">
        <v>166</v>
      </c>
      <c r="AW334" s="38">
        <v>662.87031618264405</v>
      </c>
      <c r="AX334" s="38">
        <v>5.4986963829670296E-4</v>
      </c>
      <c r="AY334" s="11" t="s">
        <v>191</v>
      </c>
      <c r="AZ334" s="41">
        <v>2.59538137327012E-8</v>
      </c>
      <c r="BA334" s="41">
        <v>4.9238826317067402E-4</v>
      </c>
      <c r="BK334" s="25" t="s">
        <v>195</v>
      </c>
    </row>
    <row r="335" spans="2:63" ht="15.6" x14ac:dyDescent="0.3">
      <c r="B335" s="11" t="s">
        <v>176</v>
      </c>
      <c r="C335" s="4" t="s">
        <v>199</v>
      </c>
      <c r="D335" s="4"/>
      <c r="E335" s="4"/>
      <c r="F335" s="55"/>
      <c r="G335" s="4"/>
      <c r="H335" s="48" t="e">
        <f t="shared" si="17"/>
        <v>#DIV/0!</v>
      </c>
      <c r="I335" s="4"/>
      <c r="J335" s="4"/>
      <c r="K335" s="4"/>
      <c r="L335" s="4" t="e">
        <f t="shared" si="18"/>
        <v>#DIV/0!</v>
      </c>
      <c r="O335" t="s">
        <v>197</v>
      </c>
      <c r="AU335" s="22" t="e">
        <f t="shared" si="19"/>
        <v>#DIV/0!</v>
      </c>
      <c r="AV335" s="11" t="s">
        <v>166</v>
      </c>
      <c r="AW335" s="38">
        <v>662.87031618264405</v>
      </c>
      <c r="AX335" s="38">
        <v>9.0874400419076195E-4</v>
      </c>
      <c r="AY335" s="11" t="s">
        <v>191</v>
      </c>
      <c r="AZ335" s="41">
        <v>4.23856585198335E-8</v>
      </c>
      <c r="BA335" s="41">
        <v>8.7207082190900599E-4</v>
      </c>
      <c r="BK335" s="25" t="s">
        <v>195</v>
      </c>
    </row>
    <row r="336" spans="2:63" ht="15.6" x14ac:dyDescent="0.3">
      <c r="B336" s="11" t="s">
        <v>176</v>
      </c>
      <c r="C336" s="4" t="s">
        <v>199</v>
      </c>
      <c r="D336" s="4"/>
      <c r="E336" s="4"/>
      <c r="F336" s="55"/>
      <c r="G336" s="4"/>
      <c r="H336" s="48" t="e">
        <f t="shared" si="17"/>
        <v>#DIV/0!</v>
      </c>
      <c r="I336" s="4"/>
      <c r="J336" s="4"/>
      <c r="K336" s="4"/>
      <c r="L336" s="4" t="e">
        <f t="shared" si="18"/>
        <v>#DIV/0!</v>
      </c>
      <c r="O336" t="s">
        <v>197</v>
      </c>
      <c r="AU336" s="22" t="e">
        <f t="shared" si="19"/>
        <v>#DIV/0!</v>
      </c>
      <c r="AV336" s="11" t="s">
        <v>166</v>
      </c>
      <c r="AW336" s="38">
        <v>392.41897584845299</v>
      </c>
      <c r="AX336" s="38">
        <v>6.3474224359270199E-4</v>
      </c>
      <c r="AY336" s="11" t="s">
        <v>191</v>
      </c>
      <c r="AZ336" s="41">
        <v>5.4166130365818798E-8</v>
      </c>
      <c r="BA336" s="41">
        <v>2.7459951242650802E-3</v>
      </c>
      <c r="BK336" s="25" t="s">
        <v>195</v>
      </c>
    </row>
    <row r="337" spans="2:63" ht="15.6" x14ac:dyDescent="0.3">
      <c r="B337" s="11" t="s">
        <v>176</v>
      </c>
      <c r="C337" s="4" t="s">
        <v>199</v>
      </c>
      <c r="D337" s="4"/>
      <c r="E337" s="4"/>
      <c r="F337" s="55"/>
      <c r="G337" s="4"/>
      <c r="H337" s="48" t="e">
        <f t="shared" si="17"/>
        <v>#DIV/0!</v>
      </c>
      <c r="I337" s="4"/>
      <c r="J337" s="4"/>
      <c r="K337" s="4"/>
      <c r="L337" s="4" t="e">
        <f t="shared" si="18"/>
        <v>#DIV/0!</v>
      </c>
      <c r="O337" t="s">
        <v>197</v>
      </c>
      <c r="AU337" s="22" t="e">
        <f t="shared" si="19"/>
        <v>#DIV/0!</v>
      </c>
      <c r="AV337" s="11" t="s">
        <v>166</v>
      </c>
      <c r="AW337" s="38">
        <v>254.82967479793399</v>
      </c>
      <c r="AX337" s="38">
        <v>5.4986963829670296E-4</v>
      </c>
      <c r="AY337" s="11" t="s">
        <v>191</v>
      </c>
      <c r="AZ337" s="41">
        <v>4.23856585198335E-8</v>
      </c>
      <c r="BA337" s="41">
        <v>2.55908212594276E-3</v>
      </c>
      <c r="BK337" s="25" t="s">
        <v>195</v>
      </c>
    </row>
    <row r="338" spans="2:63" ht="15.6" x14ac:dyDescent="0.3">
      <c r="B338" s="11" t="s">
        <v>176</v>
      </c>
      <c r="C338" s="4" t="s">
        <v>199</v>
      </c>
      <c r="D338" s="4"/>
      <c r="E338" s="4"/>
      <c r="F338" s="55"/>
      <c r="G338" s="4"/>
      <c r="H338" s="48" t="e">
        <f t="shared" si="17"/>
        <v>#DIV/0!</v>
      </c>
      <c r="I338" s="4"/>
      <c r="J338" s="4"/>
      <c r="K338" s="4"/>
      <c r="L338" s="4" t="e">
        <f t="shared" si="18"/>
        <v>#DIV/0!</v>
      </c>
      <c r="O338" t="s">
        <v>197</v>
      </c>
      <c r="AU338" s="22" t="e">
        <f t="shared" si="19"/>
        <v>#DIV/0!</v>
      </c>
      <c r="AV338" s="11" t="s">
        <v>166</v>
      </c>
      <c r="AW338" s="38">
        <v>225.25714294606399</v>
      </c>
      <c r="AX338" s="38">
        <v>2.6826957952797098E-4</v>
      </c>
      <c r="AY338" s="11" t="s">
        <v>191</v>
      </c>
      <c r="AZ338" s="41">
        <v>4.2385658519833401E-8</v>
      </c>
      <c r="BA338" s="41">
        <v>2.3818553995931802E-3</v>
      </c>
      <c r="BK338" s="25" t="s">
        <v>195</v>
      </c>
    </row>
    <row r="339" spans="2:63" ht="15.6" x14ac:dyDescent="0.3">
      <c r="B339" s="11" t="s">
        <v>176</v>
      </c>
      <c r="C339" s="4" t="s">
        <v>199</v>
      </c>
      <c r="D339" s="4"/>
      <c r="E339" s="4"/>
      <c r="F339" s="55"/>
      <c r="G339" s="4"/>
      <c r="H339" s="48" t="e">
        <f t="shared" si="17"/>
        <v>#DIV/0!</v>
      </c>
      <c r="I339" s="4"/>
      <c r="J339" s="4"/>
      <c r="K339" s="4"/>
      <c r="L339" s="4" t="e">
        <f t="shared" si="18"/>
        <v>#DIV/0!</v>
      </c>
      <c r="O339" t="s">
        <v>197</v>
      </c>
      <c r="AU339" s="22" t="e">
        <f t="shared" si="19"/>
        <v>#DIV/0!</v>
      </c>
      <c r="AV339" s="11" t="s">
        <v>166</v>
      </c>
      <c r="AW339" s="38">
        <v>193.06977288832499</v>
      </c>
      <c r="AX339" s="38">
        <v>1.1270626347294E-3</v>
      </c>
      <c r="AY339" s="11" t="s">
        <v>191</v>
      </c>
      <c r="AZ339" s="41">
        <v>2.59538137327012E-8</v>
      </c>
      <c r="BA339" s="41">
        <v>2.0563020718057799E-2</v>
      </c>
      <c r="BK339" s="25" t="s">
        <v>195</v>
      </c>
    </row>
    <row r="340" spans="2:63" ht="15.6" x14ac:dyDescent="0.3">
      <c r="B340" s="11" t="s">
        <v>176</v>
      </c>
      <c r="C340" s="4" t="s">
        <v>199</v>
      </c>
      <c r="D340" s="4"/>
      <c r="E340" s="4"/>
      <c r="F340" s="55"/>
      <c r="G340" s="4"/>
      <c r="H340" s="48" t="e">
        <f t="shared" si="17"/>
        <v>#DIV/0!</v>
      </c>
      <c r="I340" s="4"/>
      <c r="J340" s="4"/>
      <c r="K340" s="4"/>
      <c r="L340" s="4" t="e">
        <f t="shared" si="18"/>
        <v>#DIV/0!</v>
      </c>
      <c r="O340" t="s">
        <v>197</v>
      </c>
      <c r="AU340" s="22" t="e">
        <f t="shared" si="19"/>
        <v>#DIV/0!</v>
      </c>
      <c r="AV340" s="11" t="s">
        <v>166</v>
      </c>
      <c r="AW340" s="38">
        <v>150.859070860017</v>
      </c>
      <c r="AX340" s="38">
        <v>4.1019183654854999E-3</v>
      </c>
      <c r="AY340" s="11" t="s">
        <v>191</v>
      </c>
      <c r="AZ340" s="41">
        <v>2.59538137327012E-8</v>
      </c>
      <c r="BA340" s="41">
        <v>1.00322558978637E-2</v>
      </c>
      <c r="BK340" s="25" t="s">
        <v>195</v>
      </c>
    </row>
    <row r="341" spans="2:63" ht="15.6" x14ac:dyDescent="0.3">
      <c r="B341" s="11" t="s">
        <v>176</v>
      </c>
      <c r="C341" s="4" t="s">
        <v>199</v>
      </c>
      <c r="D341" s="4"/>
      <c r="E341" s="4"/>
      <c r="F341" s="55"/>
      <c r="G341" s="4"/>
      <c r="H341" s="48" t="e">
        <f t="shared" si="17"/>
        <v>#DIV/0!</v>
      </c>
      <c r="I341" s="4"/>
      <c r="J341" s="4"/>
      <c r="K341" s="4"/>
      <c r="L341" s="4" t="e">
        <f t="shared" si="18"/>
        <v>#DIV/0!</v>
      </c>
      <c r="O341" t="s">
        <v>197</v>
      </c>
      <c r="AU341" s="22" t="e">
        <f t="shared" si="19"/>
        <v>#DIV/0!</v>
      </c>
      <c r="AV341" s="11" t="s">
        <v>166</v>
      </c>
      <c r="AW341" s="38">
        <v>262.81058753600598</v>
      </c>
      <c r="AX341" s="38">
        <v>3.3073527641255501E-3</v>
      </c>
      <c r="AY341" s="11" t="s">
        <v>191</v>
      </c>
      <c r="AZ341" s="41">
        <v>7.5117243893765494E-8</v>
      </c>
      <c r="BA341" s="41">
        <v>1.6488563350264E-2</v>
      </c>
      <c r="BK341" s="25" t="s">
        <v>195</v>
      </c>
    </row>
    <row r="342" spans="2:63" ht="15.6" x14ac:dyDescent="0.3">
      <c r="B342" s="11" t="s">
        <v>176</v>
      </c>
      <c r="C342" s="4" t="s">
        <v>199</v>
      </c>
      <c r="D342" s="4"/>
      <c r="E342" s="4"/>
      <c r="F342" s="55"/>
      <c r="G342" s="4"/>
      <c r="H342" s="48" t="e">
        <f t="shared" si="17"/>
        <v>#DIV/0!</v>
      </c>
      <c r="I342" s="4"/>
      <c r="J342" s="4"/>
      <c r="K342" s="4"/>
      <c r="L342" s="4" t="e">
        <f t="shared" si="18"/>
        <v>#DIV/0!</v>
      </c>
      <c r="O342" t="s">
        <v>197</v>
      </c>
      <c r="AU342" s="22" t="e">
        <f t="shared" si="19"/>
        <v>#DIV/0!</v>
      </c>
      <c r="AV342" s="11" t="s">
        <v>166</v>
      </c>
      <c r="AW342" s="38">
        <v>430.45580744612403</v>
      </c>
      <c r="AX342" s="38">
        <v>2.4820195319590001E-3</v>
      </c>
      <c r="AY342" s="11" t="s">
        <v>191</v>
      </c>
      <c r="AZ342" s="41">
        <v>6.9220811502409398E-8</v>
      </c>
      <c r="BA342" s="41">
        <v>5.2319784853118497E-3</v>
      </c>
      <c r="BK342" s="25" t="s">
        <v>195</v>
      </c>
    </row>
    <row r="343" spans="2:63" ht="15.6" x14ac:dyDescent="0.3">
      <c r="B343" s="11" t="s">
        <v>176</v>
      </c>
      <c r="C343" s="4" t="s">
        <v>199</v>
      </c>
      <c r="D343" s="4"/>
      <c r="E343" s="4"/>
      <c r="F343" s="55"/>
      <c r="G343" s="4"/>
      <c r="H343" s="48" t="e">
        <f t="shared" si="17"/>
        <v>#DIV/0!</v>
      </c>
      <c r="I343" s="4"/>
      <c r="J343" s="4"/>
      <c r="K343" s="4"/>
      <c r="L343" s="4" t="e">
        <f t="shared" si="18"/>
        <v>#DIV/0!</v>
      </c>
      <c r="O343" t="s">
        <v>197</v>
      </c>
      <c r="AU343" s="22" t="e">
        <f t="shared" si="19"/>
        <v>#DIV/0!</v>
      </c>
      <c r="AV343" s="11" t="s">
        <v>166</v>
      </c>
      <c r="AW343" s="38">
        <v>517.94746792312105</v>
      </c>
      <c r="AX343" s="38">
        <v>4.7350511557749898E-3</v>
      </c>
      <c r="AY343" s="11" t="s">
        <v>191</v>
      </c>
      <c r="AZ343" s="41">
        <v>8.8459720358308902E-8</v>
      </c>
      <c r="BA343" s="41">
        <v>5.2253171685222302E-3</v>
      </c>
      <c r="BK343" s="25" t="s">
        <v>195</v>
      </c>
    </row>
    <row r="344" spans="2:63" ht="15.6" x14ac:dyDescent="0.3">
      <c r="B344" s="11" t="s">
        <v>176</v>
      </c>
      <c r="C344" s="4" t="s">
        <v>199</v>
      </c>
      <c r="D344" s="4"/>
      <c r="E344" s="4"/>
      <c r="F344" s="55"/>
      <c r="G344" s="4"/>
      <c r="H344" s="48" t="e">
        <f t="shared" si="17"/>
        <v>#DIV/0!</v>
      </c>
      <c r="I344" s="4"/>
      <c r="J344" s="4"/>
      <c r="K344" s="4"/>
      <c r="L344" s="4" t="e">
        <f t="shared" si="18"/>
        <v>#DIV/0!</v>
      </c>
      <c r="O344" t="s">
        <v>197</v>
      </c>
      <c r="AU344" s="22" t="e">
        <f t="shared" si="19"/>
        <v>#DIV/0!</v>
      </c>
      <c r="AV344" s="11" t="s">
        <v>166</v>
      </c>
      <c r="AW344" s="38">
        <v>392.41897584845299</v>
      </c>
      <c r="AX344" s="38">
        <v>1.1203420825541001E-2</v>
      </c>
      <c r="AY344" s="11" t="s">
        <v>191</v>
      </c>
      <c r="AZ344" s="41">
        <v>1.44465223434313E-7</v>
      </c>
      <c r="BA344" s="41">
        <v>4.8510666291952404E-3</v>
      </c>
      <c r="BK344" s="25" t="s">
        <v>195</v>
      </c>
    </row>
    <row r="345" spans="2:63" ht="15.6" x14ac:dyDescent="0.3">
      <c r="B345" s="11" t="s">
        <v>176</v>
      </c>
      <c r="C345" s="4" t="s">
        <v>199</v>
      </c>
      <c r="D345" s="4"/>
      <c r="E345" s="4"/>
      <c r="F345" s="55"/>
      <c r="G345" s="4"/>
      <c r="H345" s="48" t="e">
        <f t="shared" si="17"/>
        <v>#DIV/0!</v>
      </c>
      <c r="I345" s="4"/>
      <c r="J345" s="4"/>
      <c r="K345" s="4"/>
      <c r="L345" s="4" t="e">
        <f t="shared" si="18"/>
        <v>#DIV/0!</v>
      </c>
      <c r="O345" t="s">
        <v>197</v>
      </c>
      <c r="AU345" s="22" t="e">
        <f t="shared" si="19"/>
        <v>#DIV/0!</v>
      </c>
      <c r="AV345" s="11" t="s">
        <v>166</v>
      </c>
      <c r="AW345" s="38">
        <v>404.708995075975</v>
      </c>
      <c r="AX345" s="38">
        <v>3.3073527641255302E-3</v>
      </c>
      <c r="AY345" s="11" t="s">
        <v>191</v>
      </c>
      <c r="AZ345" s="41">
        <v>8.8459720358308505E-8</v>
      </c>
      <c r="BA345" s="41">
        <v>6.9628651016716099E-3</v>
      </c>
      <c r="BK345" s="25" t="s">
        <v>195</v>
      </c>
    </row>
    <row r="346" spans="2:63" ht="15.6" x14ac:dyDescent="0.3">
      <c r="B346" s="11" t="s">
        <v>176</v>
      </c>
      <c r="C346" s="4" t="s">
        <v>199</v>
      </c>
      <c r="D346" s="4"/>
      <c r="E346" s="4"/>
      <c r="F346" s="55"/>
      <c r="G346" s="4"/>
      <c r="H346" s="48" t="e">
        <f t="shared" si="17"/>
        <v>#DIV/0!</v>
      </c>
      <c r="I346" s="4"/>
      <c r="J346" s="4"/>
      <c r="K346" s="4"/>
      <c r="L346" s="4" t="e">
        <f t="shared" si="18"/>
        <v>#DIV/0!</v>
      </c>
      <c r="O346" t="s">
        <v>197</v>
      </c>
      <c r="AU346" s="22" t="e">
        <f t="shared" si="19"/>
        <v>#DIV/0!</v>
      </c>
      <c r="AV346" s="11" t="s">
        <v>166</v>
      </c>
      <c r="AW346" s="38">
        <v>380.502174351326</v>
      </c>
      <c r="AX346" s="38">
        <v>3.81784402637047E-3</v>
      </c>
      <c r="AY346" s="11" t="s">
        <v>191</v>
      </c>
      <c r="AZ346" s="41">
        <v>9.5994979612426999E-8</v>
      </c>
      <c r="BA346" s="41">
        <v>8.63197241480884E-3</v>
      </c>
      <c r="BK346" s="25" t="s">
        <v>195</v>
      </c>
    </row>
    <row r="347" spans="2:63" ht="15.6" x14ac:dyDescent="0.3">
      <c r="B347" s="11" t="s">
        <v>176</v>
      </c>
      <c r="C347" s="4" t="s">
        <v>199</v>
      </c>
      <c r="D347" s="4"/>
      <c r="E347" s="4"/>
      <c r="F347" s="55"/>
      <c r="G347" s="4"/>
      <c r="H347" s="48" t="e">
        <f t="shared" si="17"/>
        <v>#DIV/0!</v>
      </c>
      <c r="I347" s="4"/>
      <c r="J347" s="4"/>
      <c r="K347" s="4"/>
      <c r="L347" s="4" t="e">
        <f t="shared" si="18"/>
        <v>#DIV/0!</v>
      </c>
      <c r="O347" t="s">
        <v>197</v>
      </c>
      <c r="AU347" s="22" t="e">
        <f t="shared" si="19"/>
        <v>#DIV/0!</v>
      </c>
      <c r="AV347" s="11" t="s">
        <v>166</v>
      </c>
      <c r="AW347" s="38">
        <v>380.502174351326</v>
      </c>
      <c r="AX347" s="38">
        <v>4.7350511557749803E-3</v>
      </c>
      <c r="AY347" s="11" t="s">
        <v>191</v>
      </c>
      <c r="AZ347" s="41">
        <v>1.04172114420715E-7</v>
      </c>
      <c r="BA347" s="41">
        <v>9.2703139870248408E-3</v>
      </c>
      <c r="BK347" s="25" t="s">
        <v>195</v>
      </c>
    </row>
    <row r="348" spans="2:63" ht="15.6" x14ac:dyDescent="0.3">
      <c r="B348" s="11" t="s">
        <v>176</v>
      </c>
      <c r="C348" s="4" t="s">
        <v>199</v>
      </c>
      <c r="D348" s="4"/>
      <c r="E348" s="4"/>
      <c r="F348" s="55"/>
      <c r="G348" s="4"/>
      <c r="H348" s="48" t="e">
        <f t="shared" si="17"/>
        <v>#DIV/0!</v>
      </c>
      <c r="I348" s="4"/>
      <c r="J348" s="4"/>
      <c r="K348" s="4"/>
      <c r="L348" s="4" t="e">
        <f t="shared" si="18"/>
        <v>#DIV/0!</v>
      </c>
      <c r="O348" t="s">
        <v>197</v>
      </c>
      <c r="AU348" s="22" t="e">
        <f t="shared" si="19"/>
        <v>#DIV/0!</v>
      </c>
      <c r="AV348" s="11" t="s">
        <v>166</v>
      </c>
      <c r="AW348" s="38">
        <v>380.502174351326</v>
      </c>
      <c r="AX348" s="38">
        <v>5.4659082531868701E-3</v>
      </c>
      <c r="AY348" s="11" t="s">
        <v>191</v>
      </c>
      <c r="AZ348" s="41">
        <v>1.8461721249909399E-7</v>
      </c>
      <c r="BA348" s="41">
        <v>1.2316257266183701E-2</v>
      </c>
      <c r="BK348" s="25" t="s">
        <v>195</v>
      </c>
    </row>
    <row r="349" spans="2:63" ht="15.6" x14ac:dyDescent="0.3">
      <c r="B349" s="11" t="s">
        <v>176</v>
      </c>
      <c r="C349" s="4" t="s">
        <v>199</v>
      </c>
      <c r="D349" s="4"/>
      <c r="E349" s="4"/>
      <c r="F349" s="55"/>
      <c r="G349" s="4"/>
      <c r="H349" s="48" t="e">
        <f t="shared" si="17"/>
        <v>#DIV/0!</v>
      </c>
      <c r="I349" s="4"/>
      <c r="J349" s="4"/>
      <c r="K349" s="4"/>
      <c r="L349" s="4" t="e">
        <f t="shared" si="18"/>
        <v>#DIV/0!</v>
      </c>
      <c r="O349" t="s">
        <v>197</v>
      </c>
      <c r="AU349" s="22" t="e">
        <f t="shared" si="19"/>
        <v>#DIV/0!</v>
      </c>
      <c r="AV349" s="11" t="s">
        <v>166</v>
      </c>
      <c r="AW349" s="38">
        <v>380.502174351326</v>
      </c>
      <c r="AX349" s="38">
        <v>7.28345870645345E-3</v>
      </c>
      <c r="AY349" s="11" t="s">
        <v>191</v>
      </c>
      <c r="AZ349" s="41">
        <v>1.8461721249909399E-7</v>
      </c>
      <c r="BA349" s="41">
        <v>1.6411719161953199E-2</v>
      </c>
      <c r="BK349" s="25" t="s">
        <v>195</v>
      </c>
    </row>
    <row r="350" spans="2:63" ht="15.6" x14ac:dyDescent="0.3">
      <c r="B350" s="11" t="s">
        <v>176</v>
      </c>
      <c r="C350" s="4" t="s">
        <v>199</v>
      </c>
      <c r="D350" s="4"/>
      <c r="E350" s="4"/>
      <c r="F350" s="55"/>
      <c r="G350" s="4"/>
      <c r="H350" s="48" t="e">
        <f t="shared" si="17"/>
        <v>#DIV/0!</v>
      </c>
      <c r="I350" s="4"/>
      <c r="J350" s="4"/>
      <c r="K350" s="4"/>
      <c r="L350" s="4" t="e">
        <f t="shared" si="18"/>
        <v>#DIV/0!</v>
      </c>
      <c r="O350" t="s">
        <v>197</v>
      </c>
      <c r="AU350" s="22" t="e">
        <f t="shared" si="19"/>
        <v>#DIV/0!</v>
      </c>
      <c r="AV350" s="11" t="s">
        <v>166</v>
      </c>
      <c r="AW350" s="38">
        <v>368.94725687781101</v>
      </c>
      <c r="AX350" s="38">
        <v>8.4076635596207708E-3</v>
      </c>
      <c r="AY350" s="11" t="s">
        <v>191</v>
      </c>
      <c r="AZ350" s="41">
        <v>1.8461721249909499E-7</v>
      </c>
      <c r="BA350" s="41">
        <v>1.8944874778575298E-2</v>
      </c>
      <c r="BK350" s="25" t="s">
        <v>195</v>
      </c>
    </row>
    <row r="351" spans="2:63" ht="15.6" x14ac:dyDescent="0.3">
      <c r="B351" s="11" t="s">
        <v>176</v>
      </c>
      <c r="C351" s="4" t="s">
        <v>199</v>
      </c>
      <c r="D351" s="4"/>
      <c r="E351" s="4"/>
      <c r="F351" s="55"/>
      <c r="G351" s="4"/>
      <c r="H351" s="48" t="e">
        <f t="shared" ref="H351:H414" si="20">((J351)*1000)/G351</f>
        <v>#DIV/0!</v>
      </c>
      <c r="I351" s="4"/>
      <c r="J351" s="4"/>
      <c r="K351" s="4"/>
      <c r="L351" s="4" t="e">
        <f t="shared" si="18"/>
        <v>#DIV/0!</v>
      </c>
      <c r="O351" t="s">
        <v>197</v>
      </c>
      <c r="AU351" s="22" t="e">
        <f t="shared" si="19"/>
        <v>#DIV/0!</v>
      </c>
      <c r="AV351" s="11" t="s">
        <v>166</v>
      </c>
      <c r="AW351" s="38">
        <v>357.743233897994</v>
      </c>
      <c r="AX351" s="38">
        <v>6.3095734448018999E-3</v>
      </c>
      <c r="AY351" s="11" t="s">
        <v>191</v>
      </c>
      <c r="AZ351" s="41">
        <v>8.1515951745222003E-8</v>
      </c>
      <c r="BA351" s="41">
        <v>2.1962092223356398E-2</v>
      </c>
      <c r="BK351" s="25" t="s">
        <v>195</v>
      </c>
    </row>
    <row r="352" spans="2:63" ht="15.6" x14ac:dyDescent="0.3">
      <c r="B352" s="11" t="s">
        <v>176</v>
      </c>
      <c r="C352" s="4" t="s">
        <v>199</v>
      </c>
      <c r="D352" s="4"/>
      <c r="E352" s="4"/>
      <c r="F352" s="55"/>
      <c r="G352" s="4"/>
      <c r="H352" s="48" t="e">
        <f t="shared" si="20"/>
        <v>#DIV/0!</v>
      </c>
      <c r="I352" s="4"/>
      <c r="J352" s="4"/>
      <c r="K352" s="4"/>
      <c r="L352" s="4" t="e">
        <f t="shared" si="18"/>
        <v>#DIV/0!</v>
      </c>
      <c r="O352" t="s">
        <v>197</v>
      </c>
      <c r="AU352" s="22" t="e">
        <f t="shared" si="19"/>
        <v>#DIV/0!</v>
      </c>
      <c r="AV352" s="11" t="s">
        <v>166</v>
      </c>
      <c r="AW352" s="38">
        <v>368.94725687781101</v>
      </c>
      <c r="AX352" s="38">
        <v>5.8726101152750997E-3</v>
      </c>
      <c r="AY352" s="11" t="s">
        <v>191</v>
      </c>
      <c r="AZ352" s="41">
        <v>8.1515951745222003E-8</v>
      </c>
      <c r="BA352" s="41">
        <v>2.7238312892604501E-2</v>
      </c>
      <c r="BK352" s="25" t="s">
        <v>195</v>
      </c>
    </row>
    <row r="353" spans="2:63" ht="15.6" x14ac:dyDescent="0.3">
      <c r="B353" s="11" t="s">
        <v>176</v>
      </c>
      <c r="C353" s="4" t="s">
        <v>199</v>
      </c>
      <c r="D353" s="4"/>
      <c r="E353" s="4"/>
      <c r="F353" s="55"/>
      <c r="G353" s="4"/>
      <c r="H353" s="48" t="e">
        <f t="shared" si="20"/>
        <v>#DIV/0!</v>
      </c>
      <c r="I353" s="4"/>
      <c r="J353" s="4"/>
      <c r="K353" s="4"/>
      <c r="L353" s="4" t="e">
        <f t="shared" si="18"/>
        <v>#DIV/0!</v>
      </c>
      <c r="O353" t="s">
        <v>197</v>
      </c>
      <c r="AU353" s="22" t="e">
        <f t="shared" si="19"/>
        <v>#DIV/0!</v>
      </c>
      <c r="AV353" s="11" t="s">
        <v>166</v>
      </c>
      <c r="AW353" s="38">
        <v>392.41897584845299</v>
      </c>
      <c r="AX353" s="38">
        <v>5.8726101152750997E-3</v>
      </c>
      <c r="AY353" s="11" t="s">
        <v>191</v>
      </c>
      <c r="AZ353" s="41">
        <v>1.2267537562776599E-7</v>
      </c>
      <c r="BA353" s="41">
        <v>4.1809120968115399E-2</v>
      </c>
      <c r="BK353" s="25" t="s">
        <v>195</v>
      </c>
    </row>
    <row r="354" spans="2:63" ht="15.6" x14ac:dyDescent="0.3">
      <c r="B354" s="11" t="s">
        <v>176</v>
      </c>
      <c r="C354" s="4" t="s">
        <v>199</v>
      </c>
      <c r="D354" s="4"/>
      <c r="E354" s="4"/>
      <c r="F354" s="55"/>
      <c r="G354" s="4"/>
      <c r="H354" s="48" t="e">
        <f t="shared" si="20"/>
        <v>#DIV/0!</v>
      </c>
      <c r="I354" s="4"/>
      <c r="J354" s="4"/>
      <c r="K354" s="4"/>
      <c r="L354" s="4" t="e">
        <f t="shared" si="18"/>
        <v>#DIV/0!</v>
      </c>
      <c r="O354" t="s">
        <v>197</v>
      </c>
      <c r="AU354" s="22" t="e">
        <f t="shared" si="19"/>
        <v>#DIV/0!</v>
      </c>
      <c r="AV354" s="11" t="s">
        <v>166</v>
      </c>
      <c r="AW354" s="38">
        <v>346.87944960701998</v>
      </c>
      <c r="AX354" s="38">
        <v>8.4076635596207604E-3</v>
      </c>
      <c r="AY354" s="11" t="s">
        <v>191</v>
      </c>
      <c r="AZ354" s="41">
        <v>8.8459720358308902E-8</v>
      </c>
      <c r="BA354" s="41">
        <v>5.1941591693290802E-2</v>
      </c>
      <c r="BK354" s="25" t="s">
        <v>195</v>
      </c>
    </row>
    <row r="355" spans="2:63" ht="15.6" x14ac:dyDescent="0.3">
      <c r="B355" s="11" t="s">
        <v>176</v>
      </c>
      <c r="C355" s="4" t="s">
        <v>199</v>
      </c>
      <c r="D355" s="4"/>
      <c r="E355" s="4"/>
      <c r="F355" s="55"/>
      <c r="G355" s="4"/>
      <c r="H355" s="48" t="e">
        <f t="shared" si="20"/>
        <v>#DIV/0!</v>
      </c>
      <c r="I355" s="4"/>
      <c r="J355" s="4"/>
      <c r="K355" s="4"/>
      <c r="L355" s="4" t="e">
        <f t="shared" si="18"/>
        <v>#DIV/0!</v>
      </c>
      <c r="O355" t="s">
        <v>197</v>
      </c>
      <c r="AU355" s="22" t="e">
        <f t="shared" si="19"/>
        <v>#DIV/0!</v>
      </c>
      <c r="AV355" s="11" t="s">
        <v>166</v>
      </c>
      <c r="AW355" s="38">
        <v>165.48170999431801</v>
      </c>
      <c r="AX355" s="38">
        <v>1.1203420825541001E-2</v>
      </c>
      <c r="AY355" s="11" t="s">
        <v>191</v>
      </c>
      <c r="AZ355" s="41">
        <v>6.3787227761290505E-8</v>
      </c>
      <c r="BA355" s="41">
        <v>6.4529674031894302E-2</v>
      </c>
      <c r="BK355" s="25" t="s">
        <v>195</v>
      </c>
    </row>
    <row r="356" spans="2:63" ht="15.6" x14ac:dyDescent="0.3">
      <c r="B356" s="11" t="s">
        <v>176</v>
      </c>
      <c r="C356" s="4" t="s">
        <v>199</v>
      </c>
      <c r="D356" s="4"/>
      <c r="E356" s="4"/>
      <c r="F356" s="55"/>
      <c r="G356" s="4"/>
      <c r="H356" s="48" t="e">
        <f t="shared" si="20"/>
        <v>#DIV/0!</v>
      </c>
      <c r="I356" s="4"/>
      <c r="J356" s="4"/>
      <c r="K356" s="4"/>
      <c r="L356" s="4" t="e">
        <f t="shared" si="18"/>
        <v>#DIV/0!</v>
      </c>
      <c r="O356" t="s">
        <v>197</v>
      </c>
      <c r="AU356" s="22" t="e">
        <f t="shared" si="19"/>
        <v>#DIV/0!</v>
      </c>
      <c r="AV356" s="11" t="s">
        <v>166</v>
      </c>
      <c r="AW356" s="38">
        <v>326.131581998775</v>
      </c>
      <c r="AX356" s="38">
        <v>1.4928836924087099E-2</v>
      </c>
      <c r="AY356" s="11" t="s">
        <v>191</v>
      </c>
      <c r="AZ356" s="41">
        <v>3.55055184016348E-7</v>
      </c>
      <c r="BA356" s="41">
        <v>3.3524857517467699E-2</v>
      </c>
      <c r="BK356" s="25" t="s">
        <v>195</v>
      </c>
    </row>
    <row r="357" spans="2:63" ht="15.6" x14ac:dyDescent="0.3">
      <c r="B357" s="11" t="s">
        <v>176</v>
      </c>
      <c r="C357" s="4" t="s">
        <v>199</v>
      </c>
      <c r="D357" s="4"/>
      <c r="E357" s="4"/>
      <c r="F357" s="55"/>
      <c r="G357" s="4"/>
      <c r="H357" s="48" t="e">
        <f t="shared" si="20"/>
        <v>#DIV/0!</v>
      </c>
      <c r="I357" s="4"/>
      <c r="J357" s="4"/>
      <c r="K357" s="4"/>
      <c r="L357" s="4" t="e">
        <f t="shared" si="18"/>
        <v>#DIV/0!</v>
      </c>
      <c r="O357" t="s">
        <v>197</v>
      </c>
      <c r="AU357" s="22" t="e">
        <f t="shared" si="19"/>
        <v>#DIV/0!</v>
      </c>
      <c r="AV357" s="11" t="s">
        <v>166</v>
      </c>
      <c r="AW357" s="38">
        <v>380.502174351326</v>
      </c>
      <c r="AX357" s="38">
        <v>3.5322541825643601E-2</v>
      </c>
      <c r="AY357" s="11" t="s">
        <v>191</v>
      </c>
      <c r="AZ357" s="41">
        <v>2.7783501763512201E-7</v>
      </c>
      <c r="BA357" s="41">
        <v>3.6065259779799103E-2</v>
      </c>
      <c r="BK357" s="25" t="s">
        <v>195</v>
      </c>
    </row>
    <row r="358" spans="2:63" ht="15.6" x14ac:dyDescent="0.3">
      <c r="B358" s="11" t="s">
        <v>176</v>
      </c>
      <c r="C358" s="4" t="s">
        <v>199</v>
      </c>
      <c r="D358" s="4"/>
      <c r="E358" s="4"/>
      <c r="F358" s="55"/>
      <c r="G358" s="4"/>
      <c r="H358" s="48" t="e">
        <f t="shared" si="20"/>
        <v>#DIV/0!</v>
      </c>
      <c r="I358" s="4"/>
      <c r="J358" s="4"/>
      <c r="K358" s="4"/>
      <c r="L358" s="4" t="e">
        <f t="shared" si="18"/>
        <v>#DIV/0!</v>
      </c>
      <c r="O358" t="s">
        <v>197</v>
      </c>
      <c r="AU358" s="22" t="e">
        <f t="shared" si="19"/>
        <v>#DIV/0!</v>
      </c>
      <c r="AV358" s="11" t="s">
        <v>166</v>
      </c>
      <c r="AW358" s="38">
        <v>288.28459026122698</v>
      </c>
      <c r="AX358" s="38">
        <v>2.13732285526139E-2</v>
      </c>
      <c r="AY358" s="11" t="s">
        <v>191</v>
      </c>
      <c r="AZ358" s="41">
        <v>2.3592885776024101E-7</v>
      </c>
      <c r="BA358" s="41">
        <v>4.8098690346637503E-2</v>
      </c>
      <c r="BK358" s="25" t="s">
        <v>195</v>
      </c>
    </row>
    <row r="359" spans="2:63" ht="15.6" x14ac:dyDescent="0.3">
      <c r="B359" s="11" t="s">
        <v>176</v>
      </c>
      <c r="C359" s="4" t="s">
        <v>199</v>
      </c>
      <c r="D359" s="4"/>
      <c r="E359" s="4"/>
      <c r="F359" s="55"/>
      <c r="G359" s="4"/>
      <c r="H359" s="48" t="e">
        <f t="shared" si="20"/>
        <v>#DIV/0!</v>
      </c>
      <c r="I359" s="4"/>
      <c r="J359" s="4"/>
      <c r="K359" s="4"/>
      <c r="L359" s="4" t="e">
        <f t="shared" si="18"/>
        <v>#DIV/0!</v>
      </c>
      <c r="O359" t="s">
        <v>197</v>
      </c>
      <c r="AU359" s="22" t="e">
        <f t="shared" si="19"/>
        <v>#DIV/0!</v>
      </c>
      <c r="AV359" s="11" t="s">
        <v>166</v>
      </c>
      <c r="AW359" s="38">
        <v>279.53009456081998</v>
      </c>
      <c r="AX359" s="38">
        <v>3.2876313785268001E-2</v>
      </c>
      <c r="AY359" s="11" t="s">
        <v>191</v>
      </c>
      <c r="AZ359" s="41">
        <v>2.1740929438381299E-7</v>
      </c>
      <c r="BA359" s="41">
        <v>5.5546326762721102E-2</v>
      </c>
      <c r="BK359" s="25" t="s">
        <v>195</v>
      </c>
    </row>
    <row r="360" spans="2:63" ht="15.6" x14ac:dyDescent="0.3">
      <c r="B360" s="11" t="s">
        <v>176</v>
      </c>
      <c r="C360" s="4" t="s">
        <v>199</v>
      </c>
      <c r="D360" s="4"/>
      <c r="E360" s="4"/>
      <c r="F360" s="55"/>
      <c r="G360" s="4"/>
      <c r="H360" s="48" t="e">
        <f t="shared" si="20"/>
        <v>#DIV/0!</v>
      </c>
      <c r="I360" s="4"/>
      <c r="J360" s="4"/>
      <c r="K360" s="4"/>
      <c r="L360" s="4" t="e">
        <f t="shared" si="18"/>
        <v>#DIV/0!</v>
      </c>
      <c r="O360" t="s">
        <v>197</v>
      </c>
      <c r="AU360" s="22" t="e">
        <f t="shared" si="19"/>
        <v>#DIV/0!</v>
      </c>
      <c r="AV360" s="11" t="s">
        <v>166</v>
      </c>
      <c r="AW360" s="38">
        <v>193.069772888324</v>
      </c>
      <c r="AX360" s="38">
        <v>1.8515373085834601E-2</v>
      </c>
      <c r="AY360" s="11" t="s">
        <v>191</v>
      </c>
      <c r="AZ360" s="41">
        <v>2.1740929438381299E-7</v>
      </c>
      <c r="BA360" s="41">
        <v>6.8890896778440999E-2</v>
      </c>
      <c r="BK360" s="25" t="s">
        <v>195</v>
      </c>
    </row>
    <row r="361" spans="2:63" ht="15.6" x14ac:dyDescent="0.3">
      <c r="B361" s="11" t="s">
        <v>176</v>
      </c>
      <c r="C361" s="4" t="s">
        <v>199</v>
      </c>
      <c r="D361" s="4"/>
      <c r="E361" s="4"/>
      <c r="F361" s="55"/>
      <c r="G361" s="4"/>
      <c r="H361" s="48" t="e">
        <f t="shared" si="20"/>
        <v>#DIV/0!</v>
      </c>
      <c r="I361" s="4"/>
      <c r="J361" s="4"/>
      <c r="K361" s="4"/>
      <c r="L361" s="4" t="e">
        <f t="shared" si="18"/>
        <v>#DIV/0!</v>
      </c>
      <c r="O361" t="s">
        <v>197</v>
      </c>
      <c r="AU361" s="22" t="e">
        <f t="shared" si="19"/>
        <v>#DIV/0!</v>
      </c>
      <c r="AV361" s="11" t="s">
        <v>166</v>
      </c>
      <c r="AW361" s="38">
        <v>568.15166758302701</v>
      </c>
      <c r="AX361" s="38">
        <v>2.4969083253234602E-4</v>
      </c>
      <c r="AY361" s="11" t="s">
        <v>191</v>
      </c>
      <c r="AZ361" s="41">
        <v>2.3592885776024101E-7</v>
      </c>
      <c r="BA361" s="41">
        <v>7.9490470863841395E-2</v>
      </c>
      <c r="BK361" s="25" t="s">
        <v>195</v>
      </c>
    </row>
    <row r="362" spans="2:63" ht="15.6" x14ac:dyDescent="0.3">
      <c r="B362" s="11" t="s">
        <v>176</v>
      </c>
      <c r="C362" s="4" t="s">
        <v>199</v>
      </c>
      <c r="D362" s="4"/>
      <c r="E362" s="4"/>
      <c r="F362" s="55"/>
      <c r="G362" s="4"/>
      <c r="H362" s="48" t="e">
        <f t="shared" si="20"/>
        <v>#DIV/0!</v>
      </c>
      <c r="I362" s="4"/>
      <c r="J362" s="4"/>
      <c r="K362" s="4"/>
      <c r="L362" s="4" t="e">
        <f t="shared" si="18"/>
        <v>#DIV/0!</v>
      </c>
      <c r="O362" t="s">
        <v>197</v>
      </c>
      <c r="AU362" s="22" t="e">
        <f t="shared" si="19"/>
        <v>#DIV/0!</v>
      </c>
      <c r="AV362" s="11" t="s">
        <v>166</v>
      </c>
      <c r="AW362" s="38">
        <v>117.87686347935799</v>
      </c>
      <c r="AX362" s="38">
        <v>1.72331090561351E-2</v>
      </c>
      <c r="AY362" s="11" t="s">
        <v>191</v>
      </c>
      <c r="AZ362" s="41">
        <v>4.5373756256470398E-7</v>
      </c>
      <c r="BA362" s="41">
        <v>7.3734508682708699E-2</v>
      </c>
      <c r="BK362" s="25" t="s">
        <v>195</v>
      </c>
    </row>
    <row r="363" spans="2:63" ht="15.6" x14ac:dyDescent="0.3">
      <c r="B363" s="11" t="s">
        <v>176</v>
      </c>
      <c r="C363" s="4" t="s">
        <v>199</v>
      </c>
      <c r="D363" s="4"/>
      <c r="E363" s="4"/>
      <c r="F363" s="55"/>
      <c r="G363" s="4"/>
      <c r="H363" s="48" t="e">
        <f t="shared" si="20"/>
        <v>#DIV/0!</v>
      </c>
      <c r="I363" s="4"/>
      <c r="J363" s="4"/>
      <c r="K363" s="4"/>
      <c r="L363" s="4" t="e">
        <f t="shared" si="18"/>
        <v>#DIV/0!</v>
      </c>
      <c r="O363" t="s">
        <v>197</v>
      </c>
      <c r="AU363" s="22" t="e">
        <f t="shared" si="19"/>
        <v>#DIV/0!</v>
      </c>
      <c r="AV363" s="11" t="s">
        <v>166</v>
      </c>
      <c r="AW363" s="38">
        <v>187.206717582115</v>
      </c>
      <c r="AX363" s="38">
        <v>2.6507979336418401E-2</v>
      </c>
      <c r="AY363" s="11" t="s">
        <v>191</v>
      </c>
      <c r="AZ363" s="41">
        <v>3.5505518401634901E-7</v>
      </c>
      <c r="BA363" s="41">
        <v>8.5223967019319904E-2</v>
      </c>
      <c r="BK363" s="25" t="s">
        <v>195</v>
      </c>
    </row>
    <row r="364" spans="2:63" ht="15.6" x14ac:dyDescent="0.3">
      <c r="B364" s="11" t="s">
        <v>176</v>
      </c>
      <c r="C364" s="4" t="s">
        <v>199</v>
      </c>
      <c r="D364" s="4"/>
      <c r="E364" s="4"/>
      <c r="F364" s="55"/>
      <c r="G364" s="4"/>
      <c r="H364" s="48" t="e">
        <f t="shared" si="20"/>
        <v>#DIV/0!</v>
      </c>
      <c r="I364" s="4"/>
      <c r="J364" s="4"/>
      <c r="K364" s="4"/>
      <c r="L364" s="4" t="e">
        <f t="shared" si="18"/>
        <v>#DIV/0!</v>
      </c>
      <c r="O364" t="s">
        <v>197</v>
      </c>
      <c r="AU364" s="22" t="e">
        <f t="shared" si="19"/>
        <v>#DIV/0!</v>
      </c>
      <c r="AV364" s="11" t="s">
        <v>166</v>
      </c>
      <c r="AW364" s="38">
        <v>181.52170888055699</v>
      </c>
      <c r="AX364" s="38">
        <v>3.0599496872071901E-2</v>
      </c>
      <c r="AY364" s="11" t="s">
        <v>191</v>
      </c>
      <c r="AZ364" s="41">
        <v>1.5677119622478001E-7</v>
      </c>
      <c r="BA364" s="41">
        <v>0.122532194419488</v>
      </c>
      <c r="BK364" s="25" t="s">
        <v>195</v>
      </c>
    </row>
    <row r="365" spans="2:63" ht="15.6" x14ac:dyDescent="0.3">
      <c r="B365" s="11" t="s">
        <v>176</v>
      </c>
      <c r="C365" s="4" t="s">
        <v>199</v>
      </c>
      <c r="D365" s="4"/>
      <c r="E365" s="4"/>
      <c r="F365" s="55"/>
      <c r="G365" s="4"/>
      <c r="H365" s="48" t="e">
        <f t="shared" si="20"/>
        <v>#DIV/0!</v>
      </c>
      <c r="I365" s="4"/>
      <c r="J365" s="4"/>
      <c r="K365" s="4"/>
      <c r="L365" s="4" t="e">
        <f t="shared" si="18"/>
        <v>#DIV/0!</v>
      </c>
      <c r="O365" t="s">
        <v>197</v>
      </c>
      <c r="AU365" s="22" t="e">
        <f t="shared" si="19"/>
        <v>#DIV/0!</v>
      </c>
      <c r="AV365" s="11" t="s">
        <v>166</v>
      </c>
      <c r="AW365" s="38">
        <v>211.783858826895</v>
      </c>
      <c r="AX365" s="38">
        <v>4.70681655960924E-2</v>
      </c>
      <c r="AY365" s="11" t="s">
        <v>191</v>
      </c>
      <c r="AZ365" s="41">
        <v>1.5677119622478099E-7</v>
      </c>
      <c r="BA365" s="41">
        <v>0.20250326485377501</v>
      </c>
      <c r="BK365" s="25" t="s">
        <v>195</v>
      </c>
    </row>
    <row r="366" spans="2:63" ht="15.6" x14ac:dyDescent="0.3">
      <c r="B366" s="11" t="s">
        <v>176</v>
      </c>
      <c r="C366" s="4" t="s">
        <v>199</v>
      </c>
      <c r="D366" s="4"/>
      <c r="E366" s="4"/>
      <c r="F366" s="55"/>
      <c r="G366" s="4"/>
      <c r="H366" s="48" t="e">
        <f t="shared" si="20"/>
        <v>#DIV/0!</v>
      </c>
      <c r="I366" s="4"/>
      <c r="J366" s="4"/>
      <c r="K366" s="4"/>
      <c r="L366" s="4" t="e">
        <f t="shared" si="18"/>
        <v>#DIV/0!</v>
      </c>
      <c r="O366" t="s">
        <v>197</v>
      </c>
      <c r="AU366" s="22" t="e">
        <f t="shared" si="19"/>
        <v>#DIV/0!</v>
      </c>
      <c r="AV366" s="11" t="s">
        <v>166</v>
      </c>
      <c r="AW366" s="38">
        <v>247.09112279856001</v>
      </c>
      <c r="AX366" s="38">
        <v>7.7787370486942994E-2</v>
      </c>
      <c r="AY366" s="11" t="s">
        <v>191</v>
      </c>
      <c r="AZ366" s="41">
        <v>2.1740929438381299E-7</v>
      </c>
      <c r="BA366" s="41">
        <v>0.151711667221862</v>
      </c>
      <c r="BK366" s="25" t="s">
        <v>195</v>
      </c>
    </row>
    <row r="367" spans="2:63" ht="15.6" x14ac:dyDescent="0.3">
      <c r="B367" s="11" t="s">
        <v>176</v>
      </c>
      <c r="C367" s="4" t="s">
        <v>199</v>
      </c>
      <c r="D367" s="4"/>
      <c r="E367" s="4"/>
      <c r="F367" s="55"/>
      <c r="G367" s="4"/>
      <c r="H367" s="48" t="e">
        <f t="shared" si="20"/>
        <v>#DIV/0!</v>
      </c>
      <c r="I367" s="4"/>
      <c r="J367" s="4"/>
      <c r="K367" s="4"/>
      <c r="L367" s="4" t="e">
        <f t="shared" si="18"/>
        <v>#DIV/0!</v>
      </c>
      <c r="O367" t="s">
        <v>197</v>
      </c>
      <c r="AU367" s="22" t="e">
        <f t="shared" si="19"/>
        <v>#DIV/0!</v>
      </c>
      <c r="AV367" s="11" t="s">
        <v>166</v>
      </c>
      <c r="AW367" s="38">
        <v>199.11645097243201</v>
      </c>
      <c r="AX367" s="38">
        <v>8.3575295742647895E-2</v>
      </c>
      <c r="AY367" s="11" t="s">
        <v>191</v>
      </c>
      <c r="AZ367" s="41">
        <v>2.7783501763512201E-7</v>
      </c>
      <c r="BA367" s="41">
        <v>0.15151850903535899</v>
      </c>
      <c r="BK367" s="25" t="s">
        <v>195</v>
      </c>
    </row>
    <row r="368" spans="2:63" ht="15.6" x14ac:dyDescent="0.3">
      <c r="B368" s="11" t="s">
        <v>176</v>
      </c>
      <c r="C368" s="4" t="s">
        <v>199</v>
      </c>
      <c r="D368" s="4"/>
      <c r="E368" s="4"/>
      <c r="F368" s="55"/>
      <c r="G368" s="4"/>
      <c r="H368" s="48" t="e">
        <f t="shared" si="20"/>
        <v>#DIV/0!</v>
      </c>
      <c r="I368" s="4"/>
      <c r="J368" s="4"/>
      <c r="K368" s="4"/>
      <c r="L368" s="4" t="e">
        <f t="shared" si="18"/>
        <v>#DIV/0!</v>
      </c>
      <c r="O368" t="s">
        <v>197</v>
      </c>
      <c r="AU368" s="22" t="e">
        <f t="shared" si="19"/>
        <v>#DIV/0!</v>
      </c>
      <c r="AV368" s="11" t="s">
        <v>166</v>
      </c>
      <c r="AW368" s="38">
        <v>165.48170999431801</v>
      </c>
      <c r="AX368" s="38">
        <v>4.7068165596092303E-2</v>
      </c>
      <c r="AY368" s="11" t="s">
        <v>191</v>
      </c>
      <c r="AZ368" s="41">
        <v>2.7783501763512201E-7</v>
      </c>
      <c r="BA368" s="41">
        <v>0.162792547477109</v>
      </c>
      <c r="BK368" s="25" t="s">
        <v>195</v>
      </c>
    </row>
    <row r="369" spans="2:63" ht="15.6" x14ac:dyDescent="0.3">
      <c r="B369" s="11" t="s">
        <v>176</v>
      </c>
      <c r="C369" s="4" t="s">
        <v>199</v>
      </c>
      <c r="D369" s="4"/>
      <c r="E369" s="4"/>
      <c r="F369" s="55"/>
      <c r="G369" s="4"/>
      <c r="H369" s="48" t="e">
        <f t="shared" si="20"/>
        <v>#DIV/0!</v>
      </c>
      <c r="I369" s="4"/>
      <c r="J369" s="4"/>
      <c r="K369" s="4"/>
      <c r="L369" s="4" t="e">
        <f t="shared" si="18"/>
        <v>#DIV/0!</v>
      </c>
      <c r="O369" t="s">
        <v>197</v>
      </c>
      <c r="AU369" s="22" t="e">
        <f t="shared" si="19"/>
        <v>#DIV/0!</v>
      </c>
      <c r="AV369" s="11" t="s">
        <v>166</v>
      </c>
      <c r="AW369" s="38">
        <v>155.58376817493999</v>
      </c>
      <c r="AX369" s="38">
        <v>5.8375923784885903E-2</v>
      </c>
      <c r="AY369" s="11" t="s">
        <v>191</v>
      </c>
      <c r="AZ369" s="41">
        <v>3.01501821907995E-7</v>
      </c>
      <c r="BA369" s="41">
        <v>0.17483119237862799</v>
      </c>
      <c r="BK369" s="25" t="s">
        <v>195</v>
      </c>
    </row>
    <row r="370" spans="2:63" ht="15.6" x14ac:dyDescent="0.3">
      <c r="B370" s="11" t="s">
        <v>176</v>
      </c>
      <c r="C370" s="4" t="s">
        <v>199</v>
      </c>
      <c r="D370" s="4"/>
      <c r="E370" s="4"/>
      <c r="F370" s="55"/>
      <c r="G370" s="4"/>
      <c r="H370" s="48" t="e">
        <f t="shared" si="20"/>
        <v>#DIV/0!</v>
      </c>
      <c r="I370" s="4"/>
      <c r="J370" s="4"/>
      <c r="K370" s="4"/>
      <c r="L370" s="4" t="e">
        <f t="shared" si="18"/>
        <v>#DIV/0!</v>
      </c>
      <c r="O370" t="s">
        <v>197</v>
      </c>
      <c r="AU370" s="22" t="e">
        <f t="shared" si="19"/>
        <v>#DIV/0!</v>
      </c>
      <c r="AV370" s="11" t="s">
        <v>166</v>
      </c>
      <c r="AW370" s="38">
        <v>170.664368129634</v>
      </c>
      <c r="AX370" s="38">
        <v>7.77873704869428E-2</v>
      </c>
      <c r="AY370" s="11" t="s">
        <v>191</v>
      </c>
      <c r="AZ370" s="41">
        <v>3.2718463420339302E-7</v>
      </c>
      <c r="BA370" s="41">
        <v>0.18776010512907901</v>
      </c>
      <c r="BK370" s="25" t="s">
        <v>195</v>
      </c>
    </row>
    <row r="371" spans="2:63" ht="15.6" x14ac:dyDescent="0.3">
      <c r="B371" s="11" t="s">
        <v>176</v>
      </c>
      <c r="C371" s="4" t="s">
        <v>199</v>
      </c>
      <c r="D371" s="4"/>
      <c r="E371" s="4"/>
      <c r="F371" s="55"/>
      <c r="G371" s="4"/>
      <c r="H371" s="48" t="e">
        <f t="shared" si="20"/>
        <v>#DIV/0!</v>
      </c>
      <c r="I371" s="4"/>
      <c r="J371" s="4"/>
      <c r="K371" s="4"/>
      <c r="L371" s="4" t="e">
        <f t="shared" si="18"/>
        <v>#DIV/0!</v>
      </c>
      <c r="O371" t="s">
        <v>197</v>
      </c>
      <c r="AU371" s="22" t="e">
        <f t="shared" si="19"/>
        <v>#DIV/0!</v>
      </c>
      <c r="AV371" s="11" t="s">
        <v>166</v>
      </c>
      <c r="AW371" s="38">
        <v>170.664368129634</v>
      </c>
      <c r="AX371" s="38">
        <v>0.103653606058043</v>
      </c>
      <c r="AY371" s="11" t="s">
        <v>191</v>
      </c>
      <c r="AZ371" s="41">
        <v>3.8529982926555997E-7</v>
      </c>
      <c r="BA371" s="41">
        <v>0.20155950773634701</v>
      </c>
      <c r="BK371" s="25" t="s">
        <v>195</v>
      </c>
    </row>
    <row r="372" spans="2:63" ht="15.6" x14ac:dyDescent="0.3">
      <c r="B372" s="11" t="s">
        <v>176</v>
      </c>
      <c r="C372" s="4" t="s">
        <v>199</v>
      </c>
      <c r="D372" s="4"/>
      <c r="E372" s="4"/>
      <c r="F372" s="55"/>
      <c r="G372" s="4"/>
      <c r="H372" s="48" t="e">
        <f t="shared" si="20"/>
        <v>#DIV/0!</v>
      </c>
      <c r="I372" s="4"/>
      <c r="J372" s="4"/>
      <c r="K372" s="4"/>
      <c r="L372" s="4" t="e">
        <f t="shared" si="18"/>
        <v>#DIV/0!</v>
      </c>
      <c r="O372" t="s">
        <v>197</v>
      </c>
      <c r="AU372" s="22" t="e">
        <f t="shared" si="19"/>
        <v>#DIV/0!</v>
      </c>
      <c r="AV372" s="11" t="s">
        <v>166</v>
      </c>
      <c r="AW372" s="38">
        <v>125.375964126269</v>
      </c>
      <c r="AX372" s="38">
        <v>5.0570366823463199E-2</v>
      </c>
      <c r="AY372" s="11" t="s">
        <v>191</v>
      </c>
      <c r="AZ372" s="41">
        <v>5.3433134417576304E-7</v>
      </c>
      <c r="BA372" s="41">
        <v>0.26812721044818399</v>
      </c>
      <c r="BK372" s="25" t="s">
        <v>195</v>
      </c>
    </row>
    <row r="373" spans="2:63" ht="15.6" x14ac:dyDescent="0.3">
      <c r="B373" s="11" t="s">
        <v>176</v>
      </c>
      <c r="C373" s="4" t="s">
        <v>199</v>
      </c>
      <c r="D373" s="4"/>
      <c r="E373" s="4"/>
      <c r="F373" s="55"/>
      <c r="G373" s="4"/>
      <c r="H373" s="48" t="e">
        <f t="shared" si="20"/>
        <v>#DIV/0!</v>
      </c>
      <c r="I373" s="4"/>
      <c r="J373" s="4"/>
      <c r="K373" s="4"/>
      <c r="L373" s="4" t="e">
        <f t="shared" si="18"/>
        <v>#DIV/0!</v>
      </c>
      <c r="O373" t="s">
        <v>197</v>
      </c>
      <c r="AU373" s="22" t="e">
        <f t="shared" si="19"/>
        <v>#DIV/0!</v>
      </c>
      <c r="AV373" s="11" t="s">
        <v>166</v>
      </c>
      <c r="AW373" s="38">
        <v>101.03324122421699</v>
      </c>
      <c r="AX373" s="38">
        <v>5.8375923784885597E-2</v>
      </c>
      <c r="AY373" s="11" t="s">
        <v>191</v>
      </c>
      <c r="AZ373" s="41">
        <v>4.53737562564706E-7</v>
      </c>
      <c r="BA373" s="41">
        <v>0.41278388939016802</v>
      </c>
      <c r="BK373" s="25" t="s">
        <v>195</v>
      </c>
    </row>
    <row r="374" spans="2:63" ht="15.6" x14ac:dyDescent="0.3">
      <c r="B374" s="11" t="s">
        <v>176</v>
      </c>
      <c r="C374" s="4" t="s">
        <v>199</v>
      </c>
      <c r="D374" s="4"/>
      <c r="E374" s="4"/>
      <c r="F374" s="55"/>
      <c r="G374" s="4"/>
      <c r="H374" s="48" t="e">
        <f t="shared" si="20"/>
        <v>#DIV/0!</v>
      </c>
      <c r="I374" s="4"/>
      <c r="J374" s="4"/>
      <c r="K374" s="4"/>
      <c r="L374" s="4" t="e">
        <f t="shared" si="18"/>
        <v>#DIV/0!</v>
      </c>
      <c r="O374" t="s">
        <v>197</v>
      </c>
      <c r="AU374" s="22" t="e">
        <f t="shared" si="19"/>
        <v>#DIV/0!</v>
      </c>
      <c r="AV374" s="11" t="s">
        <v>166</v>
      </c>
      <c r="AW374" s="38">
        <v>97.965109573149604</v>
      </c>
      <c r="AX374" s="38">
        <v>0.12855557319138999</v>
      </c>
      <c r="AY374" s="11" t="s">
        <v>191</v>
      </c>
      <c r="AZ374" s="41">
        <v>3.2718463420339302E-7</v>
      </c>
      <c r="BA374" s="41">
        <v>0.33339107475512603</v>
      </c>
      <c r="BK374" s="25" t="s">
        <v>195</v>
      </c>
    </row>
    <row r="375" spans="2:63" ht="15.6" x14ac:dyDescent="0.3">
      <c r="B375" s="11" t="s">
        <v>176</v>
      </c>
      <c r="C375" s="4" t="s">
        <v>199</v>
      </c>
      <c r="D375" s="4"/>
      <c r="E375" s="4"/>
      <c r="F375" s="55"/>
      <c r="G375" s="4"/>
      <c r="H375" s="48" t="e">
        <f t="shared" si="20"/>
        <v>#DIV/0!</v>
      </c>
      <c r="I375" s="4"/>
      <c r="J375" s="4"/>
      <c r="K375" s="4"/>
      <c r="L375" s="4" t="e">
        <f t="shared" si="18"/>
        <v>#DIV/0!</v>
      </c>
      <c r="O375" t="s">
        <v>197</v>
      </c>
      <c r="AU375" s="22" t="e">
        <f t="shared" si="19"/>
        <v>#DIV/0!</v>
      </c>
      <c r="AV375" s="11" t="s">
        <v>166</v>
      </c>
      <c r="AW375" s="38">
        <v>117.87686347935799</v>
      </c>
      <c r="AX375" s="38">
        <v>0.13812100835365601</v>
      </c>
      <c r="AY375" s="11" t="s">
        <v>191</v>
      </c>
      <c r="AZ375" s="41">
        <v>1.44465223434313E-7</v>
      </c>
      <c r="BA375" s="41">
        <v>0.73731899338569795</v>
      </c>
      <c r="BK375" s="25" t="s">
        <v>195</v>
      </c>
    </row>
    <row r="376" spans="2:63" ht="15.6" x14ac:dyDescent="0.3">
      <c r="B376" s="11" t="s">
        <v>176</v>
      </c>
      <c r="C376" s="4" t="s">
        <v>199</v>
      </c>
      <c r="D376" s="4"/>
      <c r="E376" s="4"/>
      <c r="F376" s="55"/>
      <c r="G376" s="4"/>
      <c r="H376" s="48" t="e">
        <f t="shared" si="20"/>
        <v>#DIV/0!</v>
      </c>
      <c r="I376" s="4"/>
      <c r="J376" s="4"/>
      <c r="K376" s="4"/>
      <c r="L376" s="4" t="e">
        <f t="shared" si="18"/>
        <v>#DIV/0!</v>
      </c>
      <c r="O376" t="s">
        <v>197</v>
      </c>
      <c r="AU376" s="22" t="e">
        <f t="shared" si="19"/>
        <v>#DIV/0!</v>
      </c>
      <c r="AV376" s="11" t="s">
        <v>166</v>
      </c>
      <c r="AW376" s="38">
        <v>133.352143216332</v>
      </c>
      <c r="AX376" s="38">
        <v>0.159440042918646</v>
      </c>
      <c r="AY376" s="11" t="s">
        <v>191</v>
      </c>
      <c r="AZ376" s="41">
        <v>1.1304580163146299E-7</v>
      </c>
      <c r="BA376" s="41">
        <v>1.13559037103907</v>
      </c>
      <c r="BK376" s="25" t="s">
        <v>195</v>
      </c>
    </row>
    <row r="377" spans="2:63" ht="15.6" x14ac:dyDescent="0.3">
      <c r="B377" s="11" t="s">
        <v>176</v>
      </c>
      <c r="C377" s="4" t="s">
        <v>199</v>
      </c>
      <c r="D377" s="4"/>
      <c r="E377" s="4"/>
      <c r="F377" s="55"/>
      <c r="G377" s="4"/>
      <c r="H377" s="48" t="e">
        <f t="shared" si="20"/>
        <v>#DIV/0!</v>
      </c>
      <c r="I377" s="4"/>
      <c r="J377" s="4"/>
      <c r="K377" s="4"/>
      <c r="L377" s="4" t="e">
        <f t="shared" si="18"/>
        <v>#DIV/0!</v>
      </c>
      <c r="O377" t="s">
        <v>197</v>
      </c>
      <c r="AU377" s="22" t="e">
        <f t="shared" si="19"/>
        <v>#DIV/0!</v>
      </c>
      <c r="AV377" s="11" t="s">
        <v>166</v>
      </c>
      <c r="AW377" s="38">
        <v>117.87686347935799</v>
      </c>
      <c r="AX377" s="38">
        <v>0.1977442646384</v>
      </c>
      <c r="AY377" s="11" t="s">
        <v>191</v>
      </c>
      <c r="AZ377" s="41">
        <v>1.04172114420716E-7</v>
      </c>
      <c r="BA377" s="41">
        <v>1.3114260152146899</v>
      </c>
      <c r="BK377" s="25" t="s">
        <v>195</v>
      </c>
    </row>
    <row r="378" spans="2:63" ht="15.6" x14ac:dyDescent="0.3">
      <c r="B378" s="11" t="s">
        <v>176</v>
      </c>
      <c r="C378" s="4" t="s">
        <v>199</v>
      </c>
      <c r="D378" s="4"/>
      <c r="E378" s="4"/>
      <c r="F378" s="55"/>
      <c r="G378" s="4"/>
      <c r="H378" s="48" t="e">
        <f t="shared" si="20"/>
        <v>#DIV/0!</v>
      </c>
      <c r="I378" s="4"/>
      <c r="J378" s="4"/>
      <c r="K378" s="4"/>
      <c r="L378" s="4" t="e">
        <f t="shared" si="18"/>
        <v>#DIV/0!</v>
      </c>
      <c r="O378" t="s">
        <v>197</v>
      </c>
      <c r="AU378" s="22" t="e">
        <f t="shared" si="19"/>
        <v>#DIV/0!</v>
      </c>
      <c r="AV378" s="11" t="s">
        <v>166</v>
      </c>
      <c r="AW378" s="38">
        <v>137.52854778651499</v>
      </c>
      <c r="AX378" s="38">
        <v>0.22826617338424601</v>
      </c>
      <c r="AY378" s="11" t="s">
        <v>191</v>
      </c>
      <c r="AZ378" s="41">
        <v>1.04172114420716E-7</v>
      </c>
      <c r="BA378" s="41">
        <v>1.8775346060484599</v>
      </c>
      <c r="BK378" s="25" t="s">
        <v>195</v>
      </c>
    </row>
    <row r="379" spans="2:63" ht="15.6" x14ac:dyDescent="0.3">
      <c r="B379" s="11" t="s">
        <v>176</v>
      </c>
      <c r="C379" s="4" t="s">
        <v>199</v>
      </c>
      <c r="D379" s="4"/>
      <c r="E379" s="4"/>
      <c r="F379" s="55"/>
      <c r="G379" s="4"/>
      <c r="H379" s="48" t="e">
        <f t="shared" si="20"/>
        <v>#DIV/0!</v>
      </c>
      <c r="I379" s="4"/>
      <c r="J379" s="4"/>
      <c r="K379" s="4"/>
      <c r="L379" s="4" t="e">
        <f t="shared" si="18"/>
        <v>#DIV/0!</v>
      </c>
      <c r="O379" t="s">
        <v>197</v>
      </c>
      <c r="AU379" s="22" t="e">
        <f t="shared" si="19"/>
        <v>#DIV/0!</v>
      </c>
      <c r="AV379" s="11" t="s">
        <v>166</v>
      </c>
      <c r="AW379" s="38">
        <v>107.460782832131</v>
      </c>
      <c r="AX379" s="38">
        <v>0.212457823103056</v>
      </c>
      <c r="AY379" s="11" t="s">
        <v>191</v>
      </c>
      <c r="AZ379" s="41">
        <v>1.1151602437024599E-6</v>
      </c>
      <c r="BA379" s="41">
        <v>0.67900944679192599</v>
      </c>
      <c r="BK379" s="25" t="s">
        <v>195</v>
      </c>
    </row>
    <row r="380" spans="2:63" ht="15.6" x14ac:dyDescent="0.3">
      <c r="B380" s="11" t="s">
        <v>176</v>
      </c>
      <c r="C380" s="4" t="s">
        <v>199</v>
      </c>
      <c r="D380" s="4"/>
      <c r="E380" s="4"/>
      <c r="F380" s="55"/>
      <c r="G380" s="4"/>
      <c r="H380" s="48" t="e">
        <f t="shared" si="20"/>
        <v>#DIV/0!</v>
      </c>
      <c r="I380" s="4"/>
      <c r="J380" s="4"/>
      <c r="K380" s="4"/>
      <c r="L380" s="4" t="e">
        <f t="shared" si="18"/>
        <v>#DIV/0!</v>
      </c>
      <c r="O380" t="s">
        <v>197</v>
      </c>
      <c r="AU380" s="22" t="e">
        <f t="shared" si="19"/>
        <v>#DIV/0!</v>
      </c>
      <c r="AV380" s="11" t="s">
        <v>166</v>
      </c>
      <c r="AW380" s="38">
        <v>104.19746251239501</v>
      </c>
      <c r="AX380" s="38">
        <v>0.184049679255231</v>
      </c>
      <c r="AY380" s="11" t="s">
        <v>191</v>
      </c>
      <c r="AZ380" s="41">
        <v>9.46959403302719E-7</v>
      </c>
      <c r="BA380" s="41">
        <v>1.04534023201499</v>
      </c>
      <c r="BK380" s="25" t="s">
        <v>195</v>
      </c>
    </row>
    <row r="381" spans="2:63" ht="15.6" x14ac:dyDescent="0.3">
      <c r="B381" s="11" t="s">
        <v>176</v>
      </c>
      <c r="C381" s="4" t="s">
        <v>199</v>
      </c>
      <c r="D381" s="4"/>
      <c r="E381" s="4"/>
      <c r="F381" s="55"/>
      <c r="G381" s="4"/>
      <c r="H381" s="48" t="e">
        <f t="shared" si="20"/>
        <v>#DIV/0!</v>
      </c>
      <c r="I381" s="4"/>
      <c r="J381" s="4"/>
      <c r="K381" s="4"/>
      <c r="L381" s="4" t="e">
        <f t="shared" si="18"/>
        <v>#DIV/0!</v>
      </c>
      <c r="O381" t="s">
        <v>197</v>
      </c>
      <c r="AU381" s="22" t="e">
        <f t="shared" si="19"/>
        <v>#DIV/0!</v>
      </c>
      <c r="AV381" s="11" t="s">
        <v>166</v>
      </c>
      <c r="AW381" s="38">
        <v>97.965109573149704</v>
      </c>
      <c r="AX381" s="38">
        <v>0.28310533396382398</v>
      </c>
      <c r="AY381" s="11" t="s">
        <v>191</v>
      </c>
      <c r="AZ381" s="41">
        <v>4.1246263829013401E-6</v>
      </c>
      <c r="BA381" s="41">
        <v>1.5956987148205</v>
      </c>
      <c r="BK381" s="25" t="s">
        <v>195</v>
      </c>
    </row>
    <row r="382" spans="2:63" ht="15.6" x14ac:dyDescent="0.3">
      <c r="B382" s="11" t="s">
        <v>176</v>
      </c>
      <c r="C382" s="4" t="s">
        <v>199</v>
      </c>
      <c r="D382" s="4"/>
      <c r="E382" s="4"/>
      <c r="F382" s="55"/>
      <c r="G382" s="4"/>
      <c r="H382" s="48" t="e">
        <f t="shared" si="20"/>
        <v>#DIV/0!</v>
      </c>
      <c r="I382" s="4"/>
      <c r="J382" s="4"/>
      <c r="K382" s="4"/>
      <c r="L382" s="4" t="e">
        <f t="shared" si="18"/>
        <v>#DIV/0!</v>
      </c>
      <c r="O382" t="s">
        <v>197</v>
      </c>
      <c r="AU382" s="22" t="e">
        <f t="shared" si="19"/>
        <v>#DIV/0!</v>
      </c>
      <c r="AV382" s="11" t="s">
        <v>166</v>
      </c>
      <c r="AW382" s="38">
        <v>117.87686347935799</v>
      </c>
      <c r="AX382" s="38">
        <v>0.28310533396382398</v>
      </c>
      <c r="AY382" s="11" t="s">
        <v>191</v>
      </c>
      <c r="AZ382" s="41">
        <v>2.9742178864082802E-6</v>
      </c>
      <c r="BA382" s="41">
        <v>2.1299231983363298</v>
      </c>
      <c r="BK382" s="25" t="s">
        <v>195</v>
      </c>
    </row>
    <row r="383" spans="2:63" ht="15.6" x14ac:dyDescent="0.3">
      <c r="B383" s="11" t="s">
        <v>176</v>
      </c>
      <c r="C383" s="4" t="s">
        <v>199</v>
      </c>
      <c r="D383" s="4"/>
      <c r="E383" s="4"/>
      <c r="F383" s="55"/>
      <c r="G383" s="4"/>
      <c r="H383" s="48" t="e">
        <f t="shared" si="20"/>
        <v>#DIV/0!</v>
      </c>
      <c r="I383" s="4"/>
      <c r="J383" s="4"/>
      <c r="K383" s="4"/>
      <c r="L383" s="4" t="e">
        <f t="shared" si="18"/>
        <v>#DIV/0!</v>
      </c>
      <c r="O383" t="s">
        <v>197</v>
      </c>
      <c r="AU383" s="22" t="e">
        <f t="shared" si="19"/>
        <v>#DIV/0!</v>
      </c>
      <c r="AV383" s="11" t="s">
        <v>166</v>
      </c>
      <c r="AW383" s="38">
        <v>78.944418222720202</v>
      </c>
      <c r="AX383" s="38">
        <v>0.212457823103056</v>
      </c>
      <c r="AY383" s="11" t="s">
        <v>191</v>
      </c>
      <c r="AZ383" s="41">
        <v>3.80085810619542E-6</v>
      </c>
      <c r="BA383" s="41">
        <v>3.04547337282566</v>
      </c>
      <c r="BK383" s="25" t="s">
        <v>195</v>
      </c>
    </row>
    <row r="384" spans="2:63" ht="15.6" x14ac:dyDescent="0.3">
      <c r="B384" s="11" t="s">
        <v>176</v>
      </c>
      <c r="C384" s="4" t="s">
        <v>199</v>
      </c>
      <c r="D384" s="4"/>
      <c r="E384" s="4"/>
      <c r="F384" s="55"/>
      <c r="G384" s="4"/>
      <c r="H384" s="48" t="e">
        <f t="shared" si="20"/>
        <v>#DIV/0!</v>
      </c>
      <c r="I384" s="4"/>
      <c r="J384" s="4"/>
      <c r="K384" s="4"/>
      <c r="L384" s="4" t="e">
        <f t="shared" si="18"/>
        <v>#DIV/0!</v>
      </c>
      <c r="O384" t="s">
        <v>197</v>
      </c>
      <c r="AU384" s="22" t="e">
        <f t="shared" si="19"/>
        <v>#DIV/0!</v>
      </c>
      <c r="AV384" s="11" t="s">
        <v>166</v>
      </c>
      <c r="AW384" s="38">
        <v>107.460782832131</v>
      </c>
      <c r="AX384" s="38">
        <v>0.46787503232762501</v>
      </c>
      <c r="AY384" s="11" t="s">
        <v>191</v>
      </c>
      <c r="AZ384" s="41">
        <v>1.9763232879260699E-6</v>
      </c>
      <c r="BA384" s="41">
        <v>3.0558374879153498</v>
      </c>
      <c r="BK384" s="25" t="s">
        <v>195</v>
      </c>
    </row>
    <row r="385" spans="2:63" ht="15.6" x14ac:dyDescent="0.3">
      <c r="B385" s="11" t="s">
        <v>176</v>
      </c>
      <c r="C385" s="4" t="s">
        <v>199</v>
      </c>
      <c r="D385" s="4"/>
      <c r="E385" s="4"/>
      <c r="F385" s="55"/>
      <c r="G385" s="4"/>
      <c r="H385" s="48" t="e">
        <f t="shared" si="20"/>
        <v>#DIV/0!</v>
      </c>
      <c r="I385" s="4"/>
      <c r="J385" s="4"/>
      <c r="K385" s="4"/>
      <c r="L385" s="4" t="e">
        <f t="shared" si="18"/>
        <v>#DIV/0!</v>
      </c>
      <c r="O385" t="s">
        <v>197</v>
      </c>
      <c r="AU385" s="22" t="e">
        <f t="shared" si="19"/>
        <v>#DIV/0!</v>
      </c>
      <c r="AV385" s="11" t="s">
        <v>166</v>
      </c>
      <c r="AW385" s="38">
        <v>121.568603705501</v>
      </c>
      <c r="AX385" s="38">
        <v>0.71968567300115405</v>
      </c>
      <c r="AY385" s="11" t="s">
        <v>191</v>
      </c>
      <c r="AZ385" s="41">
        <v>1.8211890464834399E-6</v>
      </c>
      <c r="BA385" s="41">
        <v>3.7915883380654298</v>
      </c>
      <c r="BK385" s="25" t="s">
        <v>195</v>
      </c>
    </row>
    <row r="386" spans="2:63" ht="15.6" x14ac:dyDescent="0.3">
      <c r="B386" s="11" t="s">
        <v>176</v>
      </c>
      <c r="C386" s="4" t="s">
        <v>199</v>
      </c>
      <c r="D386" s="4"/>
      <c r="E386" s="4"/>
      <c r="F386" s="55"/>
      <c r="G386" s="4"/>
      <c r="H386" s="48" t="e">
        <f t="shared" si="20"/>
        <v>#DIV/0!</v>
      </c>
      <c r="I386" s="4"/>
      <c r="J386" s="4"/>
      <c r="K386" s="4"/>
      <c r="L386" s="4" t="e">
        <f t="shared" si="18"/>
        <v>#DIV/0!</v>
      </c>
      <c r="O386" t="s">
        <v>197</v>
      </c>
      <c r="AU386" s="22" t="e">
        <f t="shared" si="19"/>
        <v>#DIV/0!</v>
      </c>
      <c r="AV386" s="11" t="s">
        <v>166</v>
      </c>
      <c r="AW386" s="38">
        <v>146.277851010511</v>
      </c>
      <c r="AX386" s="38">
        <v>1.58489319246111</v>
      </c>
      <c r="AY386" s="11" t="s">
        <v>191</v>
      </c>
      <c r="AZ386" s="41">
        <v>1.1151602437024599E-6</v>
      </c>
      <c r="BA386" s="41">
        <v>3.53800900032053</v>
      </c>
      <c r="BK386" s="25" t="s">
        <v>195</v>
      </c>
    </row>
    <row r="387" spans="2:63" ht="15.6" x14ac:dyDescent="0.3">
      <c r="B387" s="11" t="s">
        <v>176</v>
      </c>
      <c r="C387" s="4" t="s">
        <v>199</v>
      </c>
      <c r="D387" s="4"/>
      <c r="E387" s="4"/>
      <c r="F387" s="55"/>
      <c r="G387" s="4"/>
      <c r="H387" s="48" t="e">
        <f t="shared" si="20"/>
        <v>#DIV/0!</v>
      </c>
      <c r="I387" s="4"/>
      <c r="J387" s="4"/>
      <c r="K387" s="4"/>
      <c r="L387" s="4" t="e">
        <f t="shared" si="18"/>
        <v>#DIV/0!</v>
      </c>
      <c r="O387" t="s">
        <v>197</v>
      </c>
      <c r="AU387" s="22" t="e">
        <f t="shared" si="19"/>
        <v>#DIV/0!</v>
      </c>
      <c r="AV387" s="11" t="s">
        <v>166</v>
      </c>
      <c r="AW387" s="38">
        <v>110.82630582794501</v>
      </c>
      <c r="AX387" s="38">
        <v>1.96565137048756</v>
      </c>
      <c r="AY387" s="11" t="s">
        <v>191</v>
      </c>
      <c r="AZ387" s="41">
        <v>2.7407525224610401E-6</v>
      </c>
      <c r="BA387" s="41">
        <v>8.9521015092291503</v>
      </c>
      <c r="BK387" s="25" t="s">
        <v>195</v>
      </c>
    </row>
    <row r="388" spans="2:63" ht="15.6" x14ac:dyDescent="0.3">
      <c r="B388" s="11" t="s">
        <v>176</v>
      </c>
      <c r="C388" s="4" t="s">
        <v>199</v>
      </c>
      <c r="D388" s="4"/>
      <c r="E388" s="4"/>
      <c r="F388" s="55"/>
      <c r="G388" s="4"/>
      <c r="H388" s="48" t="e">
        <f t="shared" si="20"/>
        <v>#DIV/0!</v>
      </c>
      <c r="I388" s="4"/>
      <c r="J388" s="4"/>
      <c r="K388" s="4"/>
      <c r="L388" s="4" t="e">
        <f t="shared" si="18"/>
        <v>#DIV/0!</v>
      </c>
      <c r="O388" t="s">
        <v>197</v>
      </c>
      <c r="AU388" s="22" t="e">
        <f t="shared" si="19"/>
        <v>#DIV/0!</v>
      </c>
      <c r="AV388" s="11" t="s">
        <v>166</v>
      </c>
      <c r="AW388" s="38">
        <v>110.82630582794501</v>
      </c>
      <c r="AX388" s="38">
        <v>2.8141720758168498</v>
      </c>
      <c r="AY388" s="11" t="s">
        <v>191</v>
      </c>
      <c r="AZ388" s="41">
        <v>3.5025044700580601E-6</v>
      </c>
      <c r="BA388" s="41">
        <v>10.320705069026401</v>
      </c>
      <c r="BK388" s="25" t="s">
        <v>195</v>
      </c>
    </row>
    <row r="389" spans="2:63" ht="15.6" x14ac:dyDescent="0.3">
      <c r="B389" s="11" t="s">
        <v>176</v>
      </c>
      <c r="C389" s="4" t="s">
        <v>199</v>
      </c>
      <c r="D389" s="4"/>
      <c r="E389" s="4"/>
      <c r="F389" s="55"/>
      <c r="G389" s="4"/>
      <c r="H389" s="48" t="e">
        <f t="shared" si="20"/>
        <v>#DIV/0!</v>
      </c>
      <c r="I389" s="4"/>
      <c r="J389" s="4"/>
      <c r="K389" s="4"/>
      <c r="L389" s="4" t="e">
        <f t="shared" ref="L389:L452" si="21">J389/K389</f>
        <v>#DIV/0!</v>
      </c>
      <c r="O389" t="s">
        <v>197</v>
      </c>
      <c r="AU389" s="22" t="e">
        <f t="shared" si="19"/>
        <v>#DIV/0!</v>
      </c>
      <c r="AV389" s="11" t="s">
        <v>166</v>
      </c>
      <c r="AW389" s="38">
        <v>110.82630582794501</v>
      </c>
      <c r="AX389" s="38">
        <v>4.9969073688867196</v>
      </c>
      <c r="AY389" s="11" t="s">
        <v>191</v>
      </c>
      <c r="AZ389" s="41">
        <v>5.2710057639422097E-6</v>
      </c>
      <c r="BA389" s="41">
        <v>11.8884401327474</v>
      </c>
      <c r="BK389" s="25" t="s">
        <v>195</v>
      </c>
    </row>
    <row r="390" spans="2:63" ht="15.6" x14ac:dyDescent="0.3">
      <c r="B390" s="11" t="s">
        <v>176</v>
      </c>
      <c r="C390" s="4" t="s">
        <v>199</v>
      </c>
      <c r="D390" s="4"/>
      <c r="E390" s="4"/>
      <c r="F390" s="55"/>
      <c r="G390" s="4"/>
      <c r="H390" s="48" t="e">
        <f t="shared" si="20"/>
        <v>#DIV/0!</v>
      </c>
      <c r="I390" s="4"/>
      <c r="J390" s="4"/>
      <c r="K390" s="4"/>
      <c r="L390" s="4" t="e">
        <f t="shared" si="21"/>
        <v>#DIV/0!</v>
      </c>
      <c r="O390" t="s">
        <v>197</v>
      </c>
      <c r="AU390" s="22" t="e">
        <f t="shared" si="19"/>
        <v>#DIV/0!</v>
      </c>
      <c r="AV390" s="11" t="s">
        <v>166</v>
      </c>
      <c r="AW390" s="38">
        <v>97.965109573149704</v>
      </c>
      <c r="AX390" s="38">
        <v>9.53280653423095</v>
      </c>
      <c r="AY390" s="11" t="s">
        <v>191</v>
      </c>
      <c r="AZ390" s="41">
        <v>6.7360044727175399E-6</v>
      </c>
      <c r="BA390" s="41">
        <v>5.3915599601024704</v>
      </c>
      <c r="BK390" s="25" t="s">
        <v>195</v>
      </c>
    </row>
    <row r="391" spans="2:63" ht="15.6" x14ac:dyDescent="0.3">
      <c r="B391" s="11" t="s">
        <v>176</v>
      </c>
      <c r="C391" s="4" t="s">
        <v>199</v>
      </c>
      <c r="D391" s="4"/>
      <c r="E391" s="4"/>
      <c r="F391" s="55"/>
      <c r="G391" s="4"/>
      <c r="H391" s="48" t="e">
        <f t="shared" si="20"/>
        <v>#DIV/0!</v>
      </c>
      <c r="I391" s="4"/>
      <c r="J391" s="4"/>
      <c r="K391" s="4"/>
      <c r="L391" s="4" t="e">
        <f t="shared" si="21"/>
        <v>#DIV/0!</v>
      </c>
      <c r="O391" t="s">
        <v>197</v>
      </c>
      <c r="AU391" s="22" t="e">
        <f t="shared" si="19"/>
        <v>#DIV/0!</v>
      </c>
      <c r="AV391" s="11" t="s">
        <v>166</v>
      </c>
      <c r="AW391" s="38">
        <v>86.5964323360066</v>
      </c>
      <c r="AX391" s="38">
        <v>1.18939107506949</v>
      </c>
      <c r="AY391" s="11" t="s">
        <v>191</v>
      </c>
      <c r="AZ391" s="41">
        <v>9.34144801242661E-6</v>
      </c>
      <c r="BA391" s="41">
        <v>8.8952576886635697</v>
      </c>
      <c r="BK391" s="25" t="s">
        <v>195</v>
      </c>
    </row>
    <row r="392" spans="2:63" ht="15.6" x14ac:dyDescent="0.3">
      <c r="B392" s="11" t="s">
        <v>176</v>
      </c>
      <c r="C392" s="4" t="s">
        <v>199</v>
      </c>
      <c r="D392" s="4"/>
      <c r="E392" s="4"/>
      <c r="F392" s="55"/>
      <c r="G392" s="4"/>
      <c r="H392" s="48" t="e">
        <f t="shared" si="20"/>
        <v>#DIV/0!</v>
      </c>
      <c r="I392" s="4"/>
      <c r="J392" s="4"/>
      <c r="K392" s="4"/>
      <c r="L392" s="4" t="e">
        <f t="shared" si="21"/>
        <v>#DIV/0!</v>
      </c>
      <c r="O392" t="s">
        <v>197</v>
      </c>
      <c r="AU392" s="22" t="e">
        <f t="shared" si="19"/>
        <v>#DIV/0!</v>
      </c>
      <c r="AV392" s="11" t="s">
        <v>166</v>
      </c>
      <c r="AW392" s="38">
        <v>57.995307723184297</v>
      </c>
      <c r="AX392" s="38">
        <v>0.46787503232762501</v>
      </c>
      <c r="AY392" s="11" t="s">
        <v>191</v>
      </c>
      <c r="AZ392" s="41">
        <v>6.7360044727175298E-6</v>
      </c>
      <c r="BA392" s="41">
        <v>15.8214727270013</v>
      </c>
      <c r="BK392" s="25" t="s">
        <v>195</v>
      </c>
    </row>
    <row r="393" spans="2:63" ht="15.6" x14ac:dyDescent="0.3">
      <c r="B393" s="11" t="s">
        <v>176</v>
      </c>
      <c r="C393" s="4" t="s">
        <v>199</v>
      </c>
      <c r="D393" s="4"/>
      <c r="E393" s="4"/>
      <c r="F393" s="55"/>
      <c r="G393" s="4"/>
      <c r="H393" s="48" t="e">
        <f t="shared" si="20"/>
        <v>#DIV/0!</v>
      </c>
      <c r="I393" s="4"/>
      <c r="J393" s="4"/>
      <c r="K393" s="4"/>
      <c r="L393" s="4" t="e">
        <f t="shared" si="21"/>
        <v>#DIV/0!</v>
      </c>
      <c r="O393" t="s">
        <v>197</v>
      </c>
      <c r="AU393" s="22" t="e">
        <f t="shared" si="19"/>
        <v>#DIV/0!</v>
      </c>
      <c r="AV393" s="11" t="s">
        <v>166</v>
      </c>
      <c r="AW393" s="38">
        <v>41.311544164995198</v>
      </c>
      <c r="AX393" s="38">
        <v>0.77323532838681097</v>
      </c>
      <c r="AY393" s="11" t="s">
        <v>191</v>
      </c>
      <c r="AZ393" s="41">
        <v>2.7407525224610498E-6</v>
      </c>
      <c r="BA393" s="41">
        <v>13.770128248546399</v>
      </c>
      <c r="BK393" s="25" t="s">
        <v>195</v>
      </c>
    </row>
    <row r="394" spans="2:63" ht="15.6" x14ac:dyDescent="0.3">
      <c r="B394" s="11" t="s">
        <v>176</v>
      </c>
      <c r="C394" s="4" t="s">
        <v>199</v>
      </c>
      <c r="D394" s="4"/>
      <c r="E394" s="4"/>
      <c r="F394" s="55"/>
      <c r="G394" s="4"/>
      <c r="H394" s="48" t="e">
        <f t="shared" si="20"/>
        <v>#DIV/0!</v>
      </c>
      <c r="I394" s="4"/>
      <c r="J394" s="4"/>
      <c r="K394" s="4"/>
      <c r="L394" s="4" t="e">
        <f t="shared" si="21"/>
        <v>#DIV/0!</v>
      </c>
      <c r="O394" t="s">
        <v>197</v>
      </c>
      <c r="AU394" s="22" t="e">
        <f t="shared" si="19"/>
        <v>#DIV/0!</v>
      </c>
      <c r="AV394" s="11" t="s">
        <v>166</v>
      </c>
      <c r="AW394" s="38">
        <v>31.299378519892301</v>
      </c>
      <c r="AX394" s="38">
        <v>1.2778901026007099</v>
      </c>
      <c r="AY394" s="11" t="s">
        <v>191</v>
      </c>
      <c r="AZ394" s="41">
        <v>2.97421788640827E-6</v>
      </c>
      <c r="BA394" s="41">
        <v>136.822068393687</v>
      </c>
      <c r="BK394" s="25" t="s">
        <v>195</v>
      </c>
    </row>
    <row r="395" spans="2:63" ht="15.6" x14ac:dyDescent="0.3">
      <c r="B395" s="11" t="s">
        <v>176</v>
      </c>
      <c r="C395" s="4" t="s">
        <v>199</v>
      </c>
      <c r="D395" s="4"/>
      <c r="E395" s="4"/>
      <c r="F395" s="55"/>
      <c r="G395" s="4"/>
      <c r="H395" s="48" t="e">
        <f t="shared" si="20"/>
        <v>#DIV/0!</v>
      </c>
      <c r="I395" s="4"/>
      <c r="J395" s="4"/>
      <c r="K395" s="4"/>
      <c r="L395" s="4" t="e">
        <f t="shared" si="21"/>
        <v>#DIV/0!</v>
      </c>
      <c r="O395" t="s">
        <v>197</v>
      </c>
      <c r="AU395" s="22" t="e">
        <f t="shared" si="19"/>
        <v>#DIV/0!</v>
      </c>
      <c r="AV395" s="11" t="s">
        <v>166</v>
      </c>
      <c r="AW395" s="38">
        <v>24.456418482131401</v>
      </c>
      <c r="AX395" s="38">
        <v>1.82952210992006</v>
      </c>
      <c r="AY395" s="11" t="s">
        <v>191</v>
      </c>
      <c r="AZ395" s="41">
        <v>3.8008581061954098E-6</v>
      </c>
      <c r="BA395" s="41">
        <v>242.635033621155</v>
      </c>
      <c r="BK395" s="25" t="s">
        <v>195</v>
      </c>
    </row>
    <row r="396" spans="2:63" ht="15.6" x14ac:dyDescent="0.3">
      <c r="B396" s="11" t="s">
        <v>176</v>
      </c>
      <c r="C396" s="4" t="s">
        <v>199</v>
      </c>
      <c r="D396" s="4"/>
      <c r="E396" s="4"/>
      <c r="F396" s="55"/>
      <c r="G396" s="4"/>
      <c r="H396" s="48" t="e">
        <f t="shared" si="20"/>
        <v>#DIV/0!</v>
      </c>
      <c r="I396" s="4"/>
      <c r="J396" s="4"/>
      <c r="K396" s="4"/>
      <c r="L396" s="4" t="e">
        <f t="shared" si="21"/>
        <v>#DIV/0!</v>
      </c>
      <c r="O396" t="s">
        <v>197</v>
      </c>
      <c r="AU396" s="22" t="e">
        <f t="shared" si="19"/>
        <v>#DIV/0!</v>
      </c>
      <c r="AV396" s="11" t="s">
        <v>166</v>
      </c>
      <c r="AW396" s="38">
        <v>46.735065655551097</v>
      </c>
      <c r="AX396" s="38">
        <v>2.1119096016108898</v>
      </c>
      <c r="AY396" s="11" t="s">
        <v>191</v>
      </c>
      <c r="AZ396" s="41">
        <v>7.9324671819909906E-6</v>
      </c>
      <c r="BA396" s="41">
        <v>18.248018281895401</v>
      </c>
      <c r="BK396" s="25" t="s">
        <v>195</v>
      </c>
    </row>
    <row r="397" spans="2:63" ht="15.6" x14ac:dyDescent="0.3">
      <c r="B397" s="11" t="s">
        <v>176</v>
      </c>
      <c r="C397" s="4" t="s">
        <v>199</v>
      </c>
      <c r="D397" s="4"/>
      <c r="E397" s="4"/>
      <c r="F397" s="55"/>
      <c r="G397" s="4"/>
      <c r="H397" s="48" t="e">
        <f t="shared" si="20"/>
        <v>#DIV/0!</v>
      </c>
      <c r="I397" s="4"/>
      <c r="J397" s="4"/>
      <c r="K397" s="4"/>
      <c r="L397" s="4" t="e">
        <f t="shared" si="21"/>
        <v>#DIV/0!</v>
      </c>
      <c r="O397" t="s">
        <v>197</v>
      </c>
      <c r="AU397" s="22" t="e">
        <f t="shared" ref="AU397:AU460" si="22">(AS397*AT397)/(AG397)</f>
        <v>#DIV/0!</v>
      </c>
      <c r="AV397" s="11" t="s">
        <v>166</v>
      </c>
      <c r="AW397" s="38">
        <v>74.222523225623803</v>
      </c>
      <c r="AX397" s="38">
        <v>2.8141720758168298</v>
      </c>
      <c r="AY397" s="11" t="s">
        <v>191</v>
      </c>
      <c r="AZ397" s="41">
        <v>7.9324671819909906E-6</v>
      </c>
      <c r="BA397" s="41">
        <v>21.064607424498298</v>
      </c>
      <c r="BK397" s="25" t="s">
        <v>195</v>
      </c>
    </row>
    <row r="398" spans="2:63" ht="15.6" x14ac:dyDescent="0.3">
      <c r="B398" s="11" t="s">
        <v>176</v>
      </c>
      <c r="C398" s="4" t="s">
        <v>199</v>
      </c>
      <c r="D398" s="4"/>
      <c r="E398" s="4"/>
      <c r="F398" s="55"/>
      <c r="G398" s="4"/>
      <c r="H398" s="48" t="e">
        <f t="shared" si="20"/>
        <v>#DIV/0!</v>
      </c>
      <c r="I398" s="4"/>
      <c r="J398" s="4"/>
      <c r="K398" s="4"/>
      <c r="L398" s="4" t="e">
        <f t="shared" si="21"/>
        <v>#DIV/0!</v>
      </c>
      <c r="O398" t="s">
        <v>197</v>
      </c>
      <c r="AU398" s="22" t="e">
        <f t="shared" si="22"/>
        <v>#DIV/0!</v>
      </c>
      <c r="AV398" s="11" t="s">
        <v>166</v>
      </c>
      <c r="AW398" s="38">
        <v>63.616742692154197</v>
      </c>
      <c r="AX398" s="38">
        <v>4.0289771580109903</v>
      </c>
      <c r="AY398" s="11" t="s">
        <v>191</v>
      </c>
      <c r="AZ398" s="41">
        <v>9.34144801242661E-6</v>
      </c>
      <c r="BA398" s="41">
        <v>24.295294630012101</v>
      </c>
      <c r="BK398" s="25" t="s">
        <v>195</v>
      </c>
    </row>
    <row r="399" spans="2:63" ht="15.6" x14ac:dyDescent="0.3">
      <c r="B399" s="11" t="s">
        <v>176</v>
      </c>
      <c r="C399" s="4" t="s">
        <v>199</v>
      </c>
      <c r="D399" s="4"/>
      <c r="E399" s="4"/>
      <c r="F399" s="55"/>
      <c r="G399" s="4"/>
      <c r="H399" s="48" t="e">
        <f t="shared" si="20"/>
        <v>#DIV/0!</v>
      </c>
      <c r="I399" s="4"/>
      <c r="J399" s="4"/>
      <c r="K399" s="4"/>
      <c r="L399" s="4" t="e">
        <f t="shared" si="21"/>
        <v>#DIV/0!</v>
      </c>
      <c r="O399" t="s">
        <v>197</v>
      </c>
      <c r="AU399" s="22" t="e">
        <f t="shared" si="22"/>
        <v>#DIV/0!</v>
      </c>
      <c r="AV399" s="11" t="s">
        <v>166</v>
      </c>
      <c r="AW399" s="38">
        <v>56.234132519034901</v>
      </c>
      <c r="AX399" s="38">
        <v>5.3687122798864202</v>
      </c>
      <c r="AY399" s="11" t="s">
        <v>191</v>
      </c>
      <c r="AZ399" s="41">
        <v>1.01371800393579E-5</v>
      </c>
      <c r="BA399" s="41">
        <v>32.360339098275603</v>
      </c>
      <c r="BK399" s="25" t="s">
        <v>195</v>
      </c>
    </row>
    <row r="400" spans="2:63" ht="15.6" x14ac:dyDescent="0.3">
      <c r="B400" s="11" t="s">
        <v>176</v>
      </c>
      <c r="C400" s="4" t="s">
        <v>199</v>
      </c>
      <c r="D400" s="4"/>
      <c r="E400" s="4"/>
      <c r="F400" s="55"/>
      <c r="G400" s="4"/>
      <c r="H400" s="48" t="e">
        <f t="shared" si="20"/>
        <v>#DIV/0!</v>
      </c>
      <c r="I400" s="4"/>
      <c r="J400" s="4"/>
      <c r="K400" s="4"/>
      <c r="L400" s="4" t="e">
        <f t="shared" si="21"/>
        <v>#DIV/0!</v>
      </c>
      <c r="O400" t="s">
        <v>197</v>
      </c>
      <c r="AU400" s="22" t="e">
        <f t="shared" si="22"/>
        <v>#DIV/0!</v>
      </c>
      <c r="AV400" s="11" t="s">
        <v>166</v>
      </c>
      <c r="AW400" s="38">
        <v>69.783058485986501</v>
      </c>
      <c r="AX400" s="38">
        <v>11.822988651687</v>
      </c>
      <c r="AY400" s="11" t="s">
        <v>191</v>
      </c>
      <c r="AZ400" s="41">
        <v>1.10006948616164E-5</v>
      </c>
      <c r="BA400" s="41">
        <v>34.753413212136003</v>
      </c>
      <c r="BK400" s="25" t="s">
        <v>195</v>
      </c>
    </row>
    <row r="401" spans="2:63" ht="15.6" x14ac:dyDescent="0.3">
      <c r="B401" s="11" t="s">
        <v>176</v>
      </c>
      <c r="C401" s="4" t="s">
        <v>199</v>
      </c>
      <c r="D401" s="4"/>
      <c r="E401" s="4"/>
      <c r="F401" s="55"/>
      <c r="G401" s="4"/>
      <c r="H401" s="48" t="e">
        <f t="shared" si="20"/>
        <v>#DIV/0!</v>
      </c>
      <c r="I401" s="4"/>
      <c r="J401" s="4"/>
      <c r="K401" s="4"/>
      <c r="L401" s="4" t="e">
        <f t="shared" si="21"/>
        <v>#DIV/0!</v>
      </c>
      <c r="O401" t="s">
        <v>197</v>
      </c>
      <c r="AU401" s="22" t="e">
        <f t="shared" si="22"/>
        <v>#DIV/0!</v>
      </c>
      <c r="AV401" s="11" t="s">
        <v>166</v>
      </c>
      <c r="AW401" s="38">
        <v>67.663918212400404</v>
      </c>
      <c r="AX401" s="38">
        <v>9.53280653423095</v>
      </c>
      <c r="AY401" s="11" t="s">
        <v>191</v>
      </c>
      <c r="AZ401" s="41">
        <v>2.1156498278393602E-5</v>
      </c>
      <c r="BA401" s="41">
        <v>42.956462529194098</v>
      </c>
      <c r="BK401" s="25" t="s">
        <v>195</v>
      </c>
    </row>
    <row r="402" spans="2:63" ht="15.6" x14ac:dyDescent="0.3">
      <c r="B402" s="11" t="s">
        <v>176</v>
      </c>
      <c r="C402" s="4" t="s">
        <v>199</v>
      </c>
      <c r="D402" s="4"/>
      <c r="E402" s="4"/>
      <c r="F402" s="55"/>
      <c r="G402" s="4"/>
      <c r="H402" s="48" t="e">
        <f t="shared" si="20"/>
        <v>#DIV/0!</v>
      </c>
      <c r="I402" s="4"/>
      <c r="J402" s="4"/>
      <c r="K402" s="4"/>
      <c r="L402" s="4" t="e">
        <f t="shared" si="21"/>
        <v>#DIV/0!</v>
      </c>
      <c r="O402" t="s">
        <v>197</v>
      </c>
      <c r="AU402" s="22" t="e">
        <f t="shared" si="22"/>
        <v>#DIV/0!</v>
      </c>
      <c r="AV402" s="11" t="s">
        <v>166</v>
      </c>
      <c r="AW402" s="38">
        <v>61.684858300179798</v>
      </c>
      <c r="AX402" s="38">
        <v>8.8726213538263803</v>
      </c>
      <c r="AY402" s="11" t="s">
        <v>191</v>
      </c>
      <c r="AZ402" s="41">
        <v>5.27100576394223E-6</v>
      </c>
      <c r="BA402" s="41">
        <v>34.886495322084301</v>
      </c>
      <c r="BK402" s="25" t="s">
        <v>195</v>
      </c>
    </row>
    <row r="403" spans="2:63" ht="15.6" x14ac:dyDescent="0.3">
      <c r="B403" s="11" t="s">
        <v>176</v>
      </c>
      <c r="C403" s="4" t="s">
        <v>199</v>
      </c>
      <c r="D403" s="4"/>
      <c r="E403" s="4"/>
      <c r="F403" s="55"/>
      <c r="G403" s="4"/>
      <c r="H403" s="48" t="e">
        <f t="shared" si="20"/>
        <v>#DIV/0!</v>
      </c>
      <c r="I403" s="4"/>
      <c r="J403" s="4"/>
      <c r="K403" s="4"/>
      <c r="L403" s="4" t="e">
        <f t="shared" si="21"/>
        <v>#DIV/0!</v>
      </c>
      <c r="O403" t="s">
        <v>197</v>
      </c>
      <c r="AU403" s="22" t="e">
        <f t="shared" si="22"/>
        <v>#DIV/0!</v>
      </c>
      <c r="AV403" s="11" t="s">
        <v>166</v>
      </c>
      <c r="AW403" s="38">
        <v>56.234132519034901</v>
      </c>
      <c r="AX403" s="38">
        <v>8.2581566515266598</v>
      </c>
      <c r="AY403" s="11" t="s">
        <v>191</v>
      </c>
      <c r="AZ403" s="41">
        <v>5.2710057639422097E-6</v>
      </c>
      <c r="BA403" s="41">
        <v>46.487122783872302</v>
      </c>
      <c r="BK403" s="25" t="s">
        <v>195</v>
      </c>
    </row>
    <row r="404" spans="2:63" ht="15.6" x14ac:dyDescent="0.3">
      <c r="B404" s="11" t="s">
        <v>176</v>
      </c>
      <c r="C404" s="4" t="s">
        <v>199</v>
      </c>
      <c r="D404" s="4"/>
      <c r="E404" s="4"/>
      <c r="F404" s="55"/>
      <c r="G404" s="4"/>
      <c r="H404" s="48" t="e">
        <f t="shared" si="20"/>
        <v>#DIV/0!</v>
      </c>
      <c r="I404" s="4"/>
      <c r="J404" s="4"/>
      <c r="K404" s="4"/>
      <c r="L404" s="4" t="e">
        <f t="shared" si="21"/>
        <v>#DIV/0!</v>
      </c>
      <c r="O404" t="s">
        <v>197</v>
      </c>
      <c r="AU404" s="22" t="e">
        <f t="shared" si="22"/>
        <v>#DIV/0!</v>
      </c>
      <c r="AV404" s="11" t="s">
        <v>166</v>
      </c>
      <c r="AW404" s="38">
        <v>67.663918212400404</v>
      </c>
      <c r="AX404" s="38">
        <v>18.186128681293098</v>
      </c>
      <c r="AY404" s="11" t="s">
        <v>191</v>
      </c>
      <c r="AZ404" s="41">
        <v>5.2710057639422198E-6</v>
      </c>
      <c r="BA404" s="41">
        <v>53.662429344903799</v>
      </c>
      <c r="BK404" s="25" t="s">
        <v>195</v>
      </c>
    </row>
    <row r="405" spans="2:63" ht="15.6" x14ac:dyDescent="0.3">
      <c r="B405" s="11" t="s">
        <v>176</v>
      </c>
      <c r="C405" s="4" t="s">
        <v>199</v>
      </c>
      <c r="D405" s="4"/>
      <c r="E405" s="4"/>
      <c r="F405" s="55"/>
      <c r="G405" s="4"/>
      <c r="H405" s="48" t="e">
        <f t="shared" si="20"/>
        <v>#DIV/0!</v>
      </c>
      <c r="I405" s="4"/>
      <c r="J405" s="4"/>
      <c r="K405" s="4"/>
      <c r="L405" s="4" t="e">
        <f t="shared" si="21"/>
        <v>#DIV/0!</v>
      </c>
      <c r="O405" t="s">
        <v>197</v>
      </c>
      <c r="AU405" s="22" t="e">
        <f t="shared" si="22"/>
        <v>#DIV/0!</v>
      </c>
      <c r="AV405" s="11" t="s">
        <v>166</v>
      </c>
      <c r="AW405" s="38">
        <v>65.609131029615398</v>
      </c>
      <c r="AX405" s="38">
        <v>53.366992312063203</v>
      </c>
      <c r="AY405" s="11" t="s">
        <v>191</v>
      </c>
      <c r="AZ405" s="41">
        <v>6.7360044727175704E-6</v>
      </c>
      <c r="BA405" s="41">
        <v>76.729292313776199</v>
      </c>
      <c r="BK405" s="25" t="s">
        <v>195</v>
      </c>
    </row>
    <row r="406" spans="2:63" ht="15.6" x14ac:dyDescent="0.3">
      <c r="B406" s="11" t="s">
        <v>176</v>
      </c>
      <c r="C406" s="4" t="s">
        <v>199</v>
      </c>
      <c r="D406" s="4"/>
      <c r="E406" s="4"/>
      <c r="F406" s="55"/>
      <c r="G406" s="4"/>
      <c r="H406" s="48" t="e">
        <f t="shared" si="20"/>
        <v>#DIV/0!</v>
      </c>
      <c r="I406" s="4"/>
      <c r="J406" s="4"/>
      <c r="K406" s="4"/>
      <c r="L406" s="4" t="e">
        <f t="shared" si="21"/>
        <v>#DIV/0!</v>
      </c>
      <c r="O406" t="s">
        <v>197</v>
      </c>
      <c r="AU406" s="22" t="e">
        <f t="shared" si="22"/>
        <v>#DIV/0!</v>
      </c>
      <c r="AV406" s="11" t="s">
        <v>166</v>
      </c>
      <c r="AW406" s="38">
        <v>65.609131029615497</v>
      </c>
      <c r="AX406" s="38">
        <v>24.2334688298541</v>
      </c>
      <c r="AY406" s="11" t="s">
        <v>191</v>
      </c>
      <c r="AZ406" s="41">
        <v>8.6081780761581501E-6</v>
      </c>
      <c r="BA406" s="41">
        <v>76.631601139284399</v>
      </c>
      <c r="BK406" s="25" t="s">
        <v>195</v>
      </c>
    </row>
    <row r="407" spans="2:63" ht="15.6" x14ac:dyDescent="0.3">
      <c r="B407" s="11" t="s">
        <v>176</v>
      </c>
      <c r="C407" s="4" t="s">
        <v>199</v>
      </c>
      <c r="D407" s="4"/>
      <c r="E407" s="4"/>
      <c r="F407" s="55"/>
      <c r="G407" s="4"/>
      <c r="H407" s="48" t="e">
        <f t="shared" si="20"/>
        <v>#DIV/0!</v>
      </c>
      <c r="I407" s="4"/>
      <c r="J407" s="4"/>
      <c r="K407" s="4"/>
      <c r="L407" s="4" t="e">
        <f t="shared" si="21"/>
        <v>#DIV/0!</v>
      </c>
      <c r="O407" t="s">
        <v>197</v>
      </c>
      <c r="AU407" s="22" t="e">
        <f t="shared" si="22"/>
        <v>#DIV/0!</v>
      </c>
      <c r="AV407" s="11" t="s">
        <v>166</v>
      </c>
      <c r="AW407" s="38">
        <v>57.995307723184197</v>
      </c>
      <c r="AX407" s="38">
        <v>27.973914731395901</v>
      </c>
      <c r="AY407" s="11" t="s">
        <v>191</v>
      </c>
      <c r="AZ407" s="41">
        <v>1.0137180039358E-5</v>
      </c>
      <c r="BA407" s="41">
        <v>82.263629923214097</v>
      </c>
      <c r="BK407" s="25" t="s">
        <v>195</v>
      </c>
    </row>
    <row r="408" spans="2:63" ht="15.6" x14ac:dyDescent="0.3">
      <c r="B408" s="11" t="s">
        <v>176</v>
      </c>
      <c r="C408" s="4" t="s">
        <v>199</v>
      </c>
      <c r="D408" s="4"/>
      <c r="E408" s="4"/>
      <c r="F408" s="55"/>
      <c r="G408" s="4"/>
      <c r="H408" s="48" t="e">
        <f t="shared" si="20"/>
        <v>#DIV/0!</v>
      </c>
      <c r="I408" s="4"/>
      <c r="J408" s="4"/>
      <c r="K408" s="4"/>
      <c r="L408" s="4" t="e">
        <f t="shared" si="21"/>
        <v>#DIV/0!</v>
      </c>
      <c r="O408" t="s">
        <v>197</v>
      </c>
      <c r="AU408" s="22" t="e">
        <f t="shared" si="22"/>
        <v>#DIV/0!</v>
      </c>
      <c r="AV408" s="11" t="s">
        <v>166</v>
      </c>
      <c r="AW408" s="38">
        <v>52.870605686034999</v>
      </c>
      <c r="AX408" s="38">
        <v>30.055369941428399</v>
      </c>
      <c r="AY408" s="11" t="s">
        <v>191</v>
      </c>
      <c r="AZ408" s="41">
        <v>1.10006948616164E-5</v>
      </c>
      <c r="BA408" s="41">
        <v>82.228702611714795</v>
      </c>
      <c r="BK408" s="25" t="s">
        <v>195</v>
      </c>
    </row>
    <row r="409" spans="2:63" ht="15.6" x14ac:dyDescent="0.3">
      <c r="B409" s="11" t="s">
        <v>176</v>
      </c>
      <c r="C409" s="4" t="s">
        <v>199</v>
      </c>
      <c r="D409" s="4"/>
      <c r="E409" s="4"/>
      <c r="F409" s="55"/>
      <c r="G409" s="4"/>
      <c r="H409" s="48" t="e">
        <f t="shared" si="20"/>
        <v>#DIV/0!</v>
      </c>
      <c r="I409" s="4"/>
      <c r="J409" s="4"/>
      <c r="K409" s="4"/>
      <c r="L409" s="4" t="e">
        <f t="shared" si="21"/>
        <v>#DIV/0!</v>
      </c>
      <c r="O409" t="s">
        <v>197</v>
      </c>
      <c r="AU409" s="22" t="e">
        <f t="shared" si="22"/>
        <v>#DIV/0!</v>
      </c>
      <c r="AV409" s="11" t="s">
        <v>166</v>
      </c>
      <c r="AW409" s="38">
        <v>51.265055109304797</v>
      </c>
      <c r="AX409" s="38">
        <v>30.055369941428399</v>
      </c>
      <c r="AY409" s="11" t="s">
        <v>191</v>
      </c>
      <c r="AZ409" s="41">
        <v>1.10006948616164E-5</v>
      </c>
      <c r="BA409" s="41">
        <v>82.228702611714795</v>
      </c>
      <c r="BK409" s="25" t="s">
        <v>195</v>
      </c>
    </row>
    <row r="410" spans="2:63" ht="15.6" x14ac:dyDescent="0.3">
      <c r="B410" s="11" t="s">
        <v>176</v>
      </c>
      <c r="C410" s="4" t="s">
        <v>199</v>
      </c>
      <c r="D410" s="4"/>
      <c r="E410" s="4"/>
      <c r="F410" s="55"/>
      <c r="G410" s="4"/>
      <c r="H410" s="48" t="e">
        <f t="shared" si="20"/>
        <v>#DIV/0!</v>
      </c>
      <c r="I410" s="4"/>
      <c r="J410" s="4"/>
      <c r="K410" s="4"/>
      <c r="L410" s="4" t="e">
        <f t="shared" si="21"/>
        <v>#DIV/0!</v>
      </c>
      <c r="O410" t="s">
        <v>197</v>
      </c>
      <c r="AU410" s="22" t="e">
        <f t="shared" si="22"/>
        <v>#DIV/0!</v>
      </c>
      <c r="AV410" s="11" t="s">
        <v>166</v>
      </c>
      <c r="AW410" s="38">
        <v>49.708261164373901</v>
      </c>
      <c r="AX410" s="38">
        <v>32.291699999438897</v>
      </c>
      <c r="AY410" s="11" t="s">
        <v>191</v>
      </c>
      <c r="AZ410" s="41">
        <v>1.19377664171443E-5</v>
      </c>
      <c r="BA410" s="41">
        <v>82.193790129577096</v>
      </c>
      <c r="BK410" s="25" t="s">
        <v>195</v>
      </c>
    </row>
    <row r="411" spans="2:63" ht="15.6" x14ac:dyDescent="0.3">
      <c r="B411" s="11" t="s">
        <v>176</v>
      </c>
      <c r="C411" s="4" t="s">
        <v>199</v>
      </c>
      <c r="D411" s="4"/>
      <c r="E411" s="4"/>
      <c r="F411" s="55"/>
      <c r="G411" s="4"/>
      <c r="H411" s="48" t="e">
        <f t="shared" si="20"/>
        <v>#DIV/0!</v>
      </c>
      <c r="I411" s="4"/>
      <c r="J411" s="4"/>
      <c r="K411" s="4"/>
      <c r="L411" s="4" t="e">
        <f t="shared" si="21"/>
        <v>#DIV/0!</v>
      </c>
      <c r="O411" t="s">
        <v>197</v>
      </c>
      <c r="AU411" s="22" t="e">
        <f t="shared" si="22"/>
        <v>#DIV/0!</v>
      </c>
      <c r="AV411" s="11" t="s">
        <v>166</v>
      </c>
      <c r="AW411" s="38">
        <v>45.3158363760082</v>
      </c>
      <c r="AX411" s="38">
        <v>37.275937203149503</v>
      </c>
      <c r="AY411" s="11" t="s">
        <v>191</v>
      </c>
      <c r="AZ411" s="41">
        <v>1.29546604849068E-5</v>
      </c>
      <c r="BA411" s="41">
        <v>76.469058836231795</v>
      </c>
      <c r="BK411" s="25" t="s">
        <v>195</v>
      </c>
    </row>
    <row r="412" spans="2:63" ht="15.6" x14ac:dyDescent="0.3">
      <c r="B412" s="11" t="s">
        <v>176</v>
      </c>
      <c r="C412" s="4" t="s">
        <v>199</v>
      </c>
      <c r="D412" s="4"/>
      <c r="E412" s="4"/>
      <c r="F412" s="55"/>
      <c r="G412" s="4"/>
      <c r="H412" s="48" t="e">
        <f t="shared" si="20"/>
        <v>#DIV/0!</v>
      </c>
      <c r="I412" s="4"/>
      <c r="J412" s="4"/>
      <c r="K412" s="4"/>
      <c r="L412" s="4" t="e">
        <f t="shared" si="21"/>
        <v>#DIV/0!</v>
      </c>
      <c r="O412" t="s">
        <v>197</v>
      </c>
      <c r="AU412" s="22" t="e">
        <f t="shared" si="22"/>
        <v>#DIV/0!</v>
      </c>
      <c r="AV412" s="11" t="s">
        <v>166</v>
      </c>
      <c r="AW412" s="38">
        <v>40.057013926518202</v>
      </c>
      <c r="AX412" s="38">
        <v>16.926666150378701</v>
      </c>
      <c r="AY412" s="11" t="s">
        <v>191</v>
      </c>
      <c r="AZ412" s="41">
        <v>1.6555218278419099E-5</v>
      </c>
      <c r="BA412" s="41">
        <v>88.159702204129403</v>
      </c>
      <c r="BK412" s="25" t="s">
        <v>195</v>
      </c>
    </row>
    <row r="413" spans="2:63" ht="15.6" x14ac:dyDescent="0.3">
      <c r="B413" s="11" t="s">
        <v>176</v>
      </c>
      <c r="C413" s="4" t="s">
        <v>199</v>
      </c>
      <c r="D413" s="4"/>
      <c r="E413" s="4"/>
      <c r="F413" s="55"/>
      <c r="G413" s="4"/>
      <c r="H413" s="48" t="e">
        <f t="shared" si="20"/>
        <v>#DIV/0!</v>
      </c>
      <c r="I413" s="4"/>
      <c r="J413" s="4"/>
      <c r="K413" s="4"/>
      <c r="L413" s="4" t="e">
        <f t="shared" si="21"/>
        <v>#DIV/0!</v>
      </c>
      <c r="O413" t="s">
        <v>197</v>
      </c>
      <c r="AU413" s="22" t="e">
        <f t="shared" si="22"/>
        <v>#DIV/0!</v>
      </c>
      <c r="AV413" s="11" t="s">
        <v>166</v>
      </c>
      <c r="AW413" s="38">
        <v>35.408468496430103</v>
      </c>
      <c r="AX413" s="38">
        <v>40.049528044665102</v>
      </c>
      <c r="AY413" s="11" t="s">
        <v>191</v>
      </c>
      <c r="AZ413" s="41">
        <v>2.2958671050263801E-5</v>
      </c>
      <c r="BA413" s="41">
        <v>94.558640993050005</v>
      </c>
      <c r="BK413" s="25" t="s">
        <v>195</v>
      </c>
    </row>
    <row r="414" spans="2:63" ht="15.6" x14ac:dyDescent="0.3">
      <c r="B414" s="11" t="s">
        <v>176</v>
      </c>
      <c r="C414" s="4" t="s">
        <v>199</v>
      </c>
      <c r="D414" s="4"/>
      <c r="E414" s="4"/>
      <c r="F414" s="55"/>
      <c r="G414" s="4"/>
      <c r="H414" s="48" t="e">
        <f t="shared" si="20"/>
        <v>#DIV/0!</v>
      </c>
      <c r="I414" s="4"/>
      <c r="J414" s="4"/>
      <c r="K414" s="4"/>
      <c r="L414" s="4" t="e">
        <f t="shared" si="21"/>
        <v>#DIV/0!</v>
      </c>
      <c r="O414" t="s">
        <v>197</v>
      </c>
      <c r="AU414" s="22" t="e">
        <f t="shared" si="22"/>
        <v>#DIV/0!</v>
      </c>
      <c r="AV414" s="11" t="s">
        <v>166</v>
      </c>
      <c r="AW414" s="38">
        <v>54.526439884794698</v>
      </c>
      <c r="AX414" s="38">
        <v>94.759634434246706</v>
      </c>
      <c r="AY414" s="11" t="s">
        <v>191</v>
      </c>
      <c r="AZ414" s="41">
        <v>2.2958671050263699E-5</v>
      </c>
      <c r="BA414" s="41">
        <v>126.00174117625799</v>
      </c>
      <c r="BK414" s="25" t="s">
        <v>195</v>
      </c>
    </row>
    <row r="415" spans="2:63" ht="15.6" x14ac:dyDescent="0.3">
      <c r="B415" s="11" t="s">
        <v>176</v>
      </c>
      <c r="C415" s="4" t="s">
        <v>199</v>
      </c>
      <c r="D415" s="4"/>
      <c r="E415" s="4"/>
      <c r="F415" s="55"/>
      <c r="G415" s="4"/>
      <c r="H415" s="48" t="e">
        <f t="shared" ref="H415:H478" si="23">((J415)*1000)/G415</f>
        <v>#DIV/0!</v>
      </c>
      <c r="I415" s="4"/>
      <c r="J415" s="4"/>
      <c r="K415" s="4"/>
      <c r="L415" s="4" t="e">
        <f t="shared" si="21"/>
        <v>#DIV/0!</v>
      </c>
      <c r="O415" t="s">
        <v>197</v>
      </c>
      <c r="AU415" s="22" t="e">
        <f t="shared" si="22"/>
        <v>#DIV/0!</v>
      </c>
      <c r="AV415" s="11" t="s">
        <v>166</v>
      </c>
      <c r="AW415" s="38">
        <v>51.265055109304797</v>
      </c>
      <c r="AX415" s="38">
        <v>88.197148756035702</v>
      </c>
      <c r="AY415" s="11" t="s">
        <v>191</v>
      </c>
      <c r="AZ415" s="41">
        <v>2.11564982783935E-5</v>
      </c>
      <c r="BA415" s="41">
        <v>180.470047785497</v>
      </c>
      <c r="BK415" s="25" t="s">
        <v>195</v>
      </c>
    </row>
    <row r="416" spans="2:63" ht="15.6" x14ac:dyDescent="0.3">
      <c r="B416" s="11" t="s">
        <v>176</v>
      </c>
      <c r="C416" s="4" t="s">
        <v>199</v>
      </c>
      <c r="D416" s="4"/>
      <c r="E416" s="4"/>
      <c r="F416" s="55"/>
      <c r="G416" s="4"/>
      <c r="H416" s="48" t="e">
        <f t="shared" si="23"/>
        <v>#DIV/0!</v>
      </c>
      <c r="I416" s="4"/>
      <c r="J416" s="4"/>
      <c r="K416" s="4"/>
      <c r="L416" s="4" t="e">
        <f t="shared" si="21"/>
        <v>#DIV/0!</v>
      </c>
      <c r="O416" t="s">
        <v>197</v>
      </c>
      <c r="AU416" s="22" t="e">
        <f t="shared" si="22"/>
        <v>#DIV/0!</v>
      </c>
      <c r="AV416" s="11" t="s">
        <v>166</v>
      </c>
      <c r="AW416" s="38">
        <v>41.311544164995098</v>
      </c>
      <c r="AX416" s="38">
        <v>76.404138490585794</v>
      </c>
      <c r="AY416" s="11" t="s">
        <v>191</v>
      </c>
      <c r="AZ416" s="41">
        <v>3.4551072945922098E-5</v>
      </c>
      <c r="BA416" s="41">
        <v>193.40485806893301</v>
      </c>
      <c r="BK416" s="25" t="s">
        <v>195</v>
      </c>
    </row>
    <row r="417" spans="2:63" ht="15.6" x14ac:dyDescent="0.3">
      <c r="B417" s="11" t="s">
        <v>176</v>
      </c>
      <c r="C417" s="4" t="s">
        <v>199</v>
      </c>
      <c r="D417" s="4"/>
      <c r="E417" s="4"/>
      <c r="F417" s="55"/>
      <c r="G417" s="4"/>
      <c r="H417" s="48" t="e">
        <f t="shared" si="23"/>
        <v>#DIV/0!</v>
      </c>
      <c r="I417" s="4"/>
      <c r="J417" s="4"/>
      <c r="K417" s="4"/>
      <c r="L417" s="4" t="e">
        <f t="shared" si="21"/>
        <v>#DIV/0!</v>
      </c>
      <c r="O417" t="s">
        <v>197</v>
      </c>
      <c r="AU417" s="22" t="e">
        <f t="shared" si="22"/>
        <v>#DIV/0!</v>
      </c>
      <c r="AV417" s="11" t="s">
        <v>166</v>
      </c>
      <c r="AW417" s="38">
        <v>40.057013926518202</v>
      </c>
      <c r="AX417" s="38">
        <v>76.404138490585794</v>
      </c>
      <c r="AY417" s="11" t="s">
        <v>191</v>
      </c>
      <c r="AZ417" s="41">
        <v>1.29546604849067E-5</v>
      </c>
      <c r="BA417" s="41">
        <v>259.03346494152498</v>
      </c>
      <c r="BK417" s="25" t="s">
        <v>195</v>
      </c>
    </row>
    <row r="418" spans="2:63" ht="15.6" x14ac:dyDescent="0.3">
      <c r="B418" s="11" t="s">
        <v>176</v>
      </c>
      <c r="C418" s="4" t="s">
        <v>199</v>
      </c>
      <c r="D418" s="4"/>
      <c r="E418" s="4"/>
      <c r="F418" s="55"/>
      <c r="G418" s="4"/>
      <c r="H418" s="48" t="e">
        <f t="shared" si="23"/>
        <v>#DIV/0!</v>
      </c>
      <c r="I418" s="4"/>
      <c r="J418" s="4"/>
      <c r="K418" s="4"/>
      <c r="L418" s="4" t="e">
        <f t="shared" si="21"/>
        <v>#DIV/0!</v>
      </c>
      <c r="O418" t="s">
        <v>197</v>
      </c>
      <c r="AU418" s="22" t="e">
        <f t="shared" si="22"/>
        <v>#DIV/0!</v>
      </c>
      <c r="AV418" s="11" t="s">
        <v>166</v>
      </c>
      <c r="AW418" s="38">
        <v>38.840580693395601</v>
      </c>
      <c r="AX418" s="38">
        <v>94.759634434246706</v>
      </c>
      <c r="AY418" s="11" t="s">
        <v>191</v>
      </c>
      <c r="AZ418" s="41">
        <v>1.19377664171443E-5</v>
      </c>
      <c r="BA418" s="41">
        <v>117.674717124854</v>
      </c>
      <c r="BK418" s="25" t="s">
        <v>195</v>
      </c>
    </row>
    <row r="419" spans="2:63" ht="15.6" x14ac:dyDescent="0.3">
      <c r="B419" s="11" t="s">
        <v>176</v>
      </c>
      <c r="C419" s="4" t="s">
        <v>199</v>
      </c>
      <c r="D419" s="4"/>
      <c r="E419" s="4"/>
      <c r="F419" s="55"/>
      <c r="G419" s="4"/>
      <c r="H419" s="48" t="e">
        <f t="shared" si="23"/>
        <v>#DIV/0!</v>
      </c>
      <c r="I419" s="4"/>
      <c r="J419" s="4"/>
      <c r="K419" s="4"/>
      <c r="L419" s="4" t="e">
        <f t="shared" si="21"/>
        <v>#DIV/0!</v>
      </c>
      <c r="O419" t="s">
        <v>197</v>
      </c>
      <c r="AU419" s="22" t="e">
        <f t="shared" si="22"/>
        <v>#DIV/0!</v>
      </c>
      <c r="AV419" s="11" t="s">
        <v>166</v>
      </c>
      <c r="AW419" s="38">
        <v>40.057013926518202</v>
      </c>
      <c r="AX419" s="38">
        <v>109.38582306368799</v>
      </c>
      <c r="AY419" s="11" t="s">
        <v>191</v>
      </c>
      <c r="AZ419" s="41">
        <v>9.34144801242661E-6</v>
      </c>
      <c r="BA419" s="41">
        <v>146.131199567083</v>
      </c>
      <c r="BK419" s="25" t="s">
        <v>195</v>
      </c>
    </row>
    <row r="420" spans="2:63" ht="15.6" x14ac:dyDescent="0.3">
      <c r="B420" s="11" t="s">
        <v>176</v>
      </c>
      <c r="C420" s="4" t="s">
        <v>199</v>
      </c>
      <c r="D420" s="4"/>
      <c r="E420" s="4"/>
      <c r="F420" s="55"/>
      <c r="G420" s="4"/>
      <c r="H420" s="48" t="e">
        <f t="shared" si="23"/>
        <v>#DIV/0!</v>
      </c>
      <c r="I420" s="4"/>
      <c r="J420" s="4"/>
      <c r="K420" s="4"/>
      <c r="L420" s="4" t="e">
        <f t="shared" si="21"/>
        <v>#DIV/0!</v>
      </c>
      <c r="O420" t="s">
        <v>197</v>
      </c>
      <c r="AU420" s="22" t="e">
        <f t="shared" si="22"/>
        <v>#DIV/0!</v>
      </c>
      <c r="AV420" s="11" t="s">
        <v>166</v>
      </c>
      <c r="AW420" s="38">
        <v>41.311544164995198</v>
      </c>
      <c r="AX420" s="38">
        <v>135.66491044305801</v>
      </c>
      <c r="AY420" s="11" t="s">
        <v>191</v>
      </c>
      <c r="AZ420" s="41">
        <v>7.9324671819909804E-6</v>
      </c>
      <c r="BA420" s="41">
        <v>224.97009840114001</v>
      </c>
      <c r="BK420" s="25" t="s">
        <v>195</v>
      </c>
    </row>
    <row r="421" spans="2:63" ht="15.6" x14ac:dyDescent="0.3">
      <c r="B421" s="11" t="s">
        <v>176</v>
      </c>
      <c r="C421" s="4" t="s">
        <v>199</v>
      </c>
      <c r="D421" s="4"/>
      <c r="E421" s="4"/>
      <c r="F421" s="55"/>
      <c r="G421" s="4"/>
      <c r="H421" s="48" t="e">
        <f t="shared" si="23"/>
        <v>#DIV/0!</v>
      </c>
      <c r="I421" s="4"/>
      <c r="J421" s="4"/>
      <c r="K421" s="4"/>
      <c r="L421" s="4" t="e">
        <f t="shared" si="21"/>
        <v>#DIV/0!</v>
      </c>
      <c r="O421" t="s">
        <v>197</v>
      </c>
      <c r="AU421" s="22" t="e">
        <f t="shared" si="22"/>
        <v>#DIV/0!</v>
      </c>
      <c r="AV421" s="11" t="s">
        <v>166</v>
      </c>
      <c r="AW421" s="38">
        <v>40.057013926518202</v>
      </c>
      <c r="AX421" s="38">
        <v>208.679851731187</v>
      </c>
      <c r="AY421" s="11" t="s">
        <v>191</v>
      </c>
      <c r="AZ421" s="41">
        <v>2.4914358201353801E-5</v>
      </c>
      <c r="BA421" s="41">
        <v>492.49282503205501</v>
      </c>
      <c r="BK421" s="25" t="s">
        <v>195</v>
      </c>
    </row>
    <row r="422" spans="2:63" ht="15.6" x14ac:dyDescent="0.3">
      <c r="B422" s="11" t="s">
        <v>176</v>
      </c>
      <c r="C422" s="4" t="s">
        <v>199</v>
      </c>
      <c r="D422" s="4"/>
      <c r="E422" s="4"/>
      <c r="F422" s="55"/>
      <c r="G422" s="4"/>
      <c r="H422" s="48" t="e">
        <f t="shared" si="23"/>
        <v>#DIV/0!</v>
      </c>
      <c r="I422" s="4"/>
      <c r="J422" s="4"/>
      <c r="K422" s="4"/>
      <c r="L422" s="4" t="e">
        <f t="shared" si="21"/>
        <v>#DIV/0!</v>
      </c>
      <c r="O422" t="s">
        <v>197</v>
      </c>
      <c r="AU422" s="22" t="e">
        <f t="shared" si="22"/>
        <v>#DIV/0!</v>
      </c>
      <c r="AV422" s="11" t="s">
        <v>166</v>
      </c>
      <c r="AW422" s="38">
        <v>40.057013926518202</v>
      </c>
      <c r="AX422" s="38">
        <v>208.679851731187</v>
      </c>
      <c r="AY422" s="11" t="s">
        <v>191</v>
      </c>
      <c r="AZ422" s="41">
        <v>8.4916890523167697E-5</v>
      </c>
      <c r="BA422" s="41">
        <v>1003.04808975353</v>
      </c>
      <c r="BK422" s="25" t="s">
        <v>195</v>
      </c>
    </row>
    <row r="423" spans="2:63" ht="15.6" x14ac:dyDescent="0.3">
      <c r="B423" s="11" t="s">
        <v>176</v>
      </c>
      <c r="C423" s="4" t="s">
        <v>199</v>
      </c>
      <c r="D423" s="4"/>
      <c r="E423" s="4"/>
      <c r="F423" s="55"/>
      <c r="G423" s="4"/>
      <c r="H423" s="48" t="e">
        <f t="shared" si="23"/>
        <v>#DIV/0!</v>
      </c>
      <c r="I423" s="4"/>
      <c r="J423" s="4"/>
      <c r="K423" s="4"/>
      <c r="L423" s="4" t="e">
        <f t="shared" si="21"/>
        <v>#DIV/0!</v>
      </c>
      <c r="O423" t="s">
        <v>197</v>
      </c>
      <c r="AU423" s="22" t="e">
        <f t="shared" si="22"/>
        <v>#DIV/0!</v>
      </c>
      <c r="AV423" s="11" t="s">
        <v>166</v>
      </c>
      <c r="AW423" s="38">
        <v>35.408468496430203</v>
      </c>
      <c r="AX423" s="38">
        <v>208.67985173118799</v>
      </c>
      <c r="AY423" s="11" t="s">
        <v>191</v>
      </c>
      <c r="AZ423" s="41">
        <v>1.17762201823342E-4</v>
      </c>
      <c r="BA423" s="41">
        <v>1001.34568651248</v>
      </c>
      <c r="BK423" s="25" t="s">
        <v>195</v>
      </c>
    </row>
    <row r="424" spans="2:63" ht="15.6" x14ac:dyDescent="0.3">
      <c r="B424" s="11" t="s">
        <v>176</v>
      </c>
      <c r="C424" s="4" t="s">
        <v>199</v>
      </c>
      <c r="D424" s="4"/>
      <c r="E424" s="4"/>
      <c r="F424" s="55"/>
      <c r="G424" s="4"/>
      <c r="H424" s="48" t="e">
        <f t="shared" si="23"/>
        <v>#DIV/0!</v>
      </c>
      <c r="I424" s="4"/>
      <c r="J424" s="4"/>
      <c r="K424" s="4"/>
      <c r="L424" s="4" t="e">
        <f t="shared" si="21"/>
        <v>#DIV/0!</v>
      </c>
      <c r="O424" t="s">
        <v>197</v>
      </c>
      <c r="AU424" s="22" t="e">
        <f t="shared" si="22"/>
        <v>#DIV/0!</v>
      </c>
      <c r="AV424" s="11" t="s">
        <v>166</v>
      </c>
      <c r="AW424" s="38">
        <v>36.517412725483801</v>
      </c>
      <c r="AX424" s="38">
        <v>194.22793297386801</v>
      </c>
      <c r="AY424" s="11" t="s">
        <v>191</v>
      </c>
      <c r="AZ424" s="41">
        <v>3.4551072945922098E-5</v>
      </c>
      <c r="BA424" s="41">
        <v>1249.8473944269799</v>
      </c>
      <c r="BK424" s="25" t="s">
        <v>195</v>
      </c>
    </row>
    <row r="425" spans="2:63" ht="15.6" x14ac:dyDescent="0.3">
      <c r="B425" s="11" t="s">
        <v>176</v>
      </c>
      <c r="C425" s="4" t="s">
        <v>199</v>
      </c>
      <c r="D425" s="4"/>
      <c r="E425" s="4"/>
      <c r="F425" s="55"/>
      <c r="G425" s="4"/>
      <c r="H425" s="48" t="e">
        <f t="shared" si="23"/>
        <v>#DIV/0!</v>
      </c>
      <c r="I425" s="4"/>
      <c r="J425" s="4"/>
      <c r="K425" s="4"/>
      <c r="L425" s="4" t="e">
        <f t="shared" si="21"/>
        <v>#DIV/0!</v>
      </c>
      <c r="O425" t="s">
        <v>197</v>
      </c>
      <c r="AU425" s="22" t="e">
        <f t="shared" si="22"/>
        <v>#DIV/0!</v>
      </c>
      <c r="AV425" s="11" t="s">
        <v>166</v>
      </c>
      <c r="AW425" s="38">
        <v>36.517412725483801</v>
      </c>
      <c r="AX425" s="38">
        <v>194.22793297386801</v>
      </c>
      <c r="AY425" s="11" t="s">
        <v>191</v>
      </c>
      <c r="AZ425" s="41">
        <v>2.7036636538169E-5</v>
      </c>
      <c r="BA425" s="41">
        <v>610.55103295730601</v>
      </c>
      <c r="BK425" s="25" t="s">
        <v>195</v>
      </c>
    </row>
    <row r="426" spans="2:63" ht="15.6" x14ac:dyDescent="0.3">
      <c r="B426" s="11" t="s">
        <v>176</v>
      </c>
      <c r="C426" s="4" t="s">
        <v>199</v>
      </c>
      <c r="D426" s="4"/>
      <c r="E426" s="4"/>
      <c r="F426" s="55"/>
      <c r="G426" s="4"/>
      <c r="H426" s="48" t="e">
        <f t="shared" si="23"/>
        <v>#DIV/0!</v>
      </c>
      <c r="I426" s="4"/>
      <c r="J426" s="4"/>
      <c r="K426" s="4"/>
      <c r="L426" s="4" t="e">
        <f t="shared" si="21"/>
        <v>#DIV/0!</v>
      </c>
      <c r="O426" t="s">
        <v>197</v>
      </c>
      <c r="AU426" s="22" t="e">
        <f t="shared" si="22"/>
        <v>#DIV/0!</v>
      </c>
      <c r="AV426" s="11" t="s">
        <v>166</v>
      </c>
      <c r="AW426" s="38">
        <v>34.333200182819901</v>
      </c>
      <c r="AX426" s="38">
        <v>156.604845283283</v>
      </c>
      <c r="AY426" s="11" t="s">
        <v>191</v>
      </c>
      <c r="AZ426" s="41">
        <v>3.01501821907995E-7</v>
      </c>
      <c r="BA426" s="41">
        <v>0.216833017226463</v>
      </c>
      <c r="BK426" s="25" t="s">
        <v>195</v>
      </c>
    </row>
    <row r="427" spans="2:63" ht="15.6" x14ac:dyDescent="0.3">
      <c r="B427" s="11" t="s">
        <v>176</v>
      </c>
      <c r="C427" s="4" t="s">
        <v>199</v>
      </c>
      <c r="D427" s="4"/>
      <c r="E427" s="4"/>
      <c r="F427" s="55"/>
      <c r="G427" s="4"/>
      <c r="H427" s="48" t="e">
        <f t="shared" si="23"/>
        <v>#DIV/0!</v>
      </c>
      <c r="I427" s="4"/>
      <c r="J427" s="4"/>
      <c r="K427" s="4"/>
      <c r="L427" s="4" t="e">
        <f t="shared" si="21"/>
        <v>#DIV/0!</v>
      </c>
      <c r="O427" t="s">
        <v>197</v>
      </c>
      <c r="AU427" s="22" t="e">
        <f t="shared" si="22"/>
        <v>#DIV/0!</v>
      </c>
      <c r="AV427" s="11" t="s">
        <v>166</v>
      </c>
      <c r="AW427" s="38">
        <v>33.290585129724697</v>
      </c>
      <c r="AX427" s="38">
        <v>126.26956993616599</v>
      </c>
      <c r="AY427" s="11" t="s">
        <v>191</v>
      </c>
      <c r="AZ427" s="41">
        <v>3.8529982926555997E-7</v>
      </c>
      <c r="BA427" s="41">
        <v>0.26858305765282797</v>
      </c>
      <c r="BK427" s="25" t="s">
        <v>195</v>
      </c>
    </row>
    <row r="428" spans="2:63" ht="15.6" x14ac:dyDescent="0.3">
      <c r="B428" s="11" t="s">
        <v>176</v>
      </c>
      <c r="C428" s="4" t="s">
        <v>199</v>
      </c>
      <c r="D428" s="4"/>
      <c r="E428" s="4"/>
      <c r="F428" s="55"/>
      <c r="G428" s="4"/>
      <c r="H428" s="48" t="e">
        <f t="shared" si="23"/>
        <v>#DIV/0!</v>
      </c>
      <c r="I428" s="4"/>
      <c r="J428" s="4"/>
      <c r="K428" s="4"/>
      <c r="L428" s="4" t="e">
        <f t="shared" si="21"/>
        <v>#DIV/0!</v>
      </c>
      <c r="O428" t="s">
        <v>197</v>
      </c>
      <c r="AU428" s="22" t="e">
        <f t="shared" si="22"/>
        <v>#DIV/0!</v>
      </c>
      <c r="AV428" s="11" t="s">
        <v>166</v>
      </c>
      <c r="AW428" s="38">
        <v>31.299378519892201</v>
      </c>
      <c r="AX428" s="38">
        <v>180.776867696343</v>
      </c>
      <c r="AY428" s="11" t="s">
        <v>191</v>
      </c>
      <c r="AZ428" s="41">
        <v>3.5025044700580398E-6</v>
      </c>
      <c r="BA428" s="41">
        <v>1.5970545747799201</v>
      </c>
      <c r="BK428" s="25" t="s">
        <v>195</v>
      </c>
    </row>
    <row r="429" spans="2:63" ht="15.6" x14ac:dyDescent="0.3">
      <c r="B429" s="11" t="s">
        <v>176</v>
      </c>
      <c r="C429" s="4" t="s">
        <v>199</v>
      </c>
      <c r="D429" s="4"/>
      <c r="E429" s="4"/>
      <c r="F429" s="55"/>
      <c r="G429" s="4"/>
      <c r="H429" s="48" t="e">
        <f t="shared" si="23"/>
        <v>#DIV/0!</v>
      </c>
      <c r="I429" s="4"/>
      <c r="J429" s="4"/>
      <c r="K429" s="4"/>
      <c r="L429" s="4" t="e">
        <f t="shared" si="21"/>
        <v>#DIV/0!</v>
      </c>
      <c r="O429" t="s">
        <v>197</v>
      </c>
      <c r="AU429" s="22" t="e">
        <f t="shared" si="22"/>
        <v>#DIV/0!</v>
      </c>
      <c r="AV429" s="11" t="s">
        <v>166</v>
      </c>
      <c r="AW429" s="38">
        <v>26.0122890596734</v>
      </c>
      <c r="AX429" s="38">
        <v>109.385823063689</v>
      </c>
      <c r="AY429" s="11" t="s">
        <v>191</v>
      </c>
      <c r="AZ429" s="41">
        <v>3.2275705169789101E-6</v>
      </c>
      <c r="BA429" s="41">
        <v>2.2874327984357001</v>
      </c>
      <c r="BK429" s="25" t="s">
        <v>195</v>
      </c>
    </row>
    <row r="430" spans="2:63" ht="15.6" x14ac:dyDescent="0.3">
      <c r="B430" s="11" t="s">
        <v>176</v>
      </c>
      <c r="C430" s="4" t="s">
        <v>199</v>
      </c>
      <c r="D430" s="4"/>
      <c r="E430" s="4"/>
      <c r="F430" s="55"/>
      <c r="G430" s="4"/>
      <c r="H430" s="48" t="e">
        <f t="shared" si="23"/>
        <v>#DIV/0!</v>
      </c>
      <c r="I430" s="4"/>
      <c r="J430" s="4"/>
      <c r="K430" s="4"/>
      <c r="L430" s="4" t="e">
        <f t="shared" si="21"/>
        <v>#DIV/0!</v>
      </c>
      <c r="O430" t="s">
        <v>197</v>
      </c>
      <c r="AU430" s="22" t="e">
        <f t="shared" si="22"/>
        <v>#DIV/0!</v>
      </c>
      <c r="AV430" s="11" t="s">
        <v>166</v>
      </c>
      <c r="AW430" s="38">
        <v>22.295349551952299</v>
      </c>
      <c r="AX430" s="38">
        <v>180.776867696343</v>
      </c>
      <c r="AY430" s="11" t="s">
        <v>191</v>
      </c>
      <c r="AZ430" s="41">
        <v>1.8211890464834399E-6</v>
      </c>
      <c r="BA430" s="41">
        <v>5.05238577249599</v>
      </c>
      <c r="BK430" s="25" t="s">
        <v>195</v>
      </c>
    </row>
    <row r="431" spans="2:63" ht="15.6" x14ac:dyDescent="0.3">
      <c r="B431" s="11" t="s">
        <v>176</v>
      </c>
      <c r="C431" s="4" t="s">
        <v>199</v>
      </c>
      <c r="D431" s="4"/>
      <c r="E431" s="4"/>
      <c r="F431" s="55"/>
      <c r="G431" s="4"/>
      <c r="H431" s="48" t="e">
        <f t="shared" si="23"/>
        <v>#DIV/0!</v>
      </c>
      <c r="I431" s="4"/>
      <c r="J431" s="4"/>
      <c r="K431" s="4"/>
      <c r="L431" s="4" t="e">
        <f t="shared" si="21"/>
        <v>#DIV/0!</v>
      </c>
      <c r="O431" t="s">
        <v>197</v>
      </c>
      <c r="AU431" s="22" t="e">
        <f t="shared" si="22"/>
        <v>#DIV/0!</v>
      </c>
      <c r="AV431" s="11" t="s">
        <v>166</v>
      </c>
      <c r="AW431" s="38">
        <v>33.290585129724803</v>
      </c>
      <c r="AX431" s="38">
        <v>82.089141596382603</v>
      </c>
      <c r="AY431" s="11" t="s">
        <v>191</v>
      </c>
      <c r="AZ431" s="41">
        <v>4.1246263829013503E-6</v>
      </c>
      <c r="BA431" s="41">
        <v>11.079223841374001</v>
      </c>
      <c r="BK431" s="25" t="s">
        <v>195</v>
      </c>
    </row>
    <row r="432" spans="2:63" ht="15.6" x14ac:dyDescent="0.3">
      <c r="B432" s="11" t="s">
        <v>176</v>
      </c>
      <c r="C432" s="4" t="s">
        <v>199</v>
      </c>
      <c r="D432" s="4"/>
      <c r="E432" s="4"/>
      <c r="F432" s="55"/>
      <c r="G432" s="4"/>
      <c r="H432" s="48" t="e">
        <f t="shared" si="23"/>
        <v>#DIV/0!</v>
      </c>
      <c r="I432" s="4"/>
      <c r="J432" s="4"/>
      <c r="K432" s="4"/>
      <c r="L432" s="4" t="e">
        <f t="shared" si="21"/>
        <v>#DIV/0!</v>
      </c>
      <c r="O432" t="s">
        <v>197</v>
      </c>
      <c r="AU432" s="22" t="e">
        <f t="shared" si="22"/>
        <v>#DIV/0!</v>
      </c>
      <c r="AV432" s="11" t="s">
        <v>166</v>
      </c>
      <c r="AW432" s="38">
        <v>48.198743231958801</v>
      </c>
      <c r="AX432" s="38">
        <v>126.269569936167</v>
      </c>
      <c r="AY432" s="11" t="s">
        <v>191</v>
      </c>
      <c r="AZ432" s="41">
        <v>7.3097971529705097E-6</v>
      </c>
      <c r="BA432" s="41">
        <v>32.4153554097295</v>
      </c>
      <c r="BK432" s="25" t="s">
        <v>195</v>
      </c>
    </row>
    <row r="433" spans="2:63" ht="15.6" x14ac:dyDescent="0.3">
      <c r="B433" s="11" t="s">
        <v>176</v>
      </c>
      <c r="C433" s="4" t="s">
        <v>199</v>
      </c>
      <c r="D433" s="4"/>
      <c r="E433" s="4"/>
      <c r="F433" s="55"/>
      <c r="G433" s="4"/>
      <c r="H433" s="48" t="e">
        <f t="shared" si="23"/>
        <v>#DIV/0!</v>
      </c>
      <c r="I433" s="4"/>
      <c r="J433" s="4"/>
      <c r="K433" s="4"/>
      <c r="L433" s="4" t="e">
        <f t="shared" si="21"/>
        <v>#DIV/0!</v>
      </c>
      <c r="O433" t="s">
        <v>197</v>
      </c>
      <c r="AU433" s="22" t="e">
        <f t="shared" si="22"/>
        <v>#DIV/0!</v>
      </c>
      <c r="AV433" s="11" t="s">
        <v>166</v>
      </c>
      <c r="AW433" s="38">
        <v>38.840580693395601</v>
      </c>
      <c r="AX433" s="38">
        <v>258.81355191612602</v>
      </c>
      <c r="AY433" s="11" t="s">
        <v>191</v>
      </c>
      <c r="AZ433" s="41">
        <v>1.19377664171443E-5</v>
      </c>
      <c r="BA433" s="41">
        <v>181.00732490020701</v>
      </c>
      <c r="BK433" s="25" t="s">
        <v>195</v>
      </c>
    </row>
    <row r="434" spans="2:63" ht="15.6" x14ac:dyDescent="0.3">
      <c r="B434" s="11" t="s">
        <v>176</v>
      </c>
      <c r="C434" s="4" t="s">
        <v>199</v>
      </c>
      <c r="D434" s="4"/>
      <c r="E434" s="4"/>
      <c r="F434" s="55"/>
      <c r="G434" s="4"/>
      <c r="H434" s="48" t="e">
        <f t="shared" si="23"/>
        <v>#DIV/0!</v>
      </c>
      <c r="I434" s="4"/>
      <c r="J434" s="4"/>
      <c r="K434" s="4"/>
      <c r="L434" s="4" t="e">
        <f t="shared" si="21"/>
        <v>#DIV/0!</v>
      </c>
      <c r="O434" t="s">
        <v>197</v>
      </c>
      <c r="AU434" s="22" t="e">
        <f t="shared" si="22"/>
        <v>#DIV/0!</v>
      </c>
      <c r="AV434" s="11" t="s">
        <v>166</v>
      </c>
      <c r="AW434" s="38">
        <v>27.667141148176501</v>
      </c>
      <c r="AX434" s="38">
        <v>194.22793297386801</v>
      </c>
      <c r="AY434" s="11" t="s">
        <v>191</v>
      </c>
      <c r="AZ434" s="41">
        <v>1.52556934257647E-5</v>
      </c>
      <c r="BA434" s="41">
        <v>145.75933009692901</v>
      </c>
      <c r="BK434" s="25" t="s">
        <v>195</v>
      </c>
    </row>
    <row r="435" spans="2:63" ht="15.6" x14ac:dyDescent="0.3">
      <c r="B435" s="11" t="s">
        <v>176</v>
      </c>
      <c r="C435" s="4" t="s">
        <v>199</v>
      </c>
      <c r="D435" s="4"/>
      <c r="E435" s="4"/>
      <c r="F435" s="55"/>
      <c r="G435" s="4"/>
      <c r="H435" s="48" t="e">
        <f t="shared" si="23"/>
        <v>#DIV/0!</v>
      </c>
      <c r="I435" s="4"/>
      <c r="J435" s="4"/>
      <c r="K435" s="4"/>
      <c r="L435" s="4" t="e">
        <f t="shared" si="21"/>
        <v>#DIV/0!</v>
      </c>
      <c r="O435" t="s">
        <v>197</v>
      </c>
      <c r="AU435" s="22" t="e">
        <f t="shared" si="22"/>
        <v>#DIV/0!</v>
      </c>
      <c r="AV435" s="11" t="s">
        <v>166</v>
      </c>
      <c r="AW435" s="38">
        <v>24.456418482131401</v>
      </c>
      <c r="AX435" s="38">
        <v>145.75933009692901</v>
      </c>
      <c r="AY435" s="11" t="s">
        <v>191</v>
      </c>
      <c r="AZ435" s="41">
        <v>1.7965440481599398E-5</v>
      </c>
      <c r="BA435" s="41">
        <v>224.016748182561</v>
      </c>
      <c r="BK435" s="25" t="s">
        <v>195</v>
      </c>
    </row>
    <row r="436" spans="2:63" ht="15.6" x14ac:dyDescent="0.3">
      <c r="B436" s="11" t="s">
        <v>176</v>
      </c>
      <c r="C436" s="4" t="s">
        <v>199</v>
      </c>
      <c r="D436" s="4"/>
      <c r="E436" s="4"/>
      <c r="F436" s="55"/>
      <c r="G436" s="4"/>
      <c r="H436" s="48" t="e">
        <f t="shared" si="23"/>
        <v>#DIV/0!</v>
      </c>
      <c r="I436" s="4"/>
      <c r="J436" s="4"/>
      <c r="K436" s="4"/>
      <c r="L436" s="4" t="e">
        <f t="shared" si="21"/>
        <v>#DIV/0!</v>
      </c>
      <c r="O436" t="s">
        <v>197</v>
      </c>
      <c r="AU436" s="22" t="e">
        <f t="shared" si="22"/>
        <v>#DIV/0!</v>
      </c>
      <c r="AV436" s="11" t="s">
        <v>166</v>
      </c>
      <c r="AW436" s="38">
        <v>14.4781904686087</v>
      </c>
      <c r="AX436" s="38">
        <v>145.75933009692901</v>
      </c>
      <c r="AY436" s="11" t="s">
        <v>191</v>
      </c>
      <c r="AZ436" s="41">
        <v>1.7965440481599398E-5</v>
      </c>
      <c r="BA436" s="41">
        <v>101.723980484099</v>
      </c>
      <c r="BK436" s="25" t="s">
        <v>195</v>
      </c>
    </row>
    <row r="437" spans="2:63" ht="15.6" x14ac:dyDescent="0.3">
      <c r="B437" s="11" t="s">
        <v>176</v>
      </c>
      <c r="C437" s="4" t="s">
        <v>199</v>
      </c>
      <c r="D437" s="4"/>
      <c r="E437" s="4"/>
      <c r="F437" s="55"/>
      <c r="G437" s="4"/>
      <c r="H437" s="48" t="e">
        <f t="shared" si="23"/>
        <v>#DIV/0!</v>
      </c>
      <c r="I437" s="4"/>
      <c r="J437" s="4"/>
      <c r="K437" s="4"/>
      <c r="L437" s="4" t="e">
        <f t="shared" si="21"/>
        <v>#DIV/0!</v>
      </c>
      <c r="O437" t="s">
        <v>197</v>
      </c>
      <c r="AU437" s="22" t="e">
        <f t="shared" si="22"/>
        <v>#DIV/0!</v>
      </c>
      <c r="AV437" s="11" t="s">
        <v>166</v>
      </c>
      <c r="AW437" s="38">
        <v>15.881548936437101</v>
      </c>
      <c r="AX437" s="38">
        <v>208.67985173118799</v>
      </c>
      <c r="AY437" s="11" t="s">
        <v>191</v>
      </c>
      <c r="AZ437" s="41">
        <v>3.4551072945922301E-5</v>
      </c>
      <c r="BA437" s="41">
        <v>239.86886064656801</v>
      </c>
      <c r="BK437" s="25" t="s">
        <v>195</v>
      </c>
    </row>
    <row r="438" spans="2:63" ht="15.6" x14ac:dyDescent="0.3">
      <c r="B438" s="11" t="s">
        <v>176</v>
      </c>
      <c r="C438" s="4" t="s">
        <v>199</v>
      </c>
      <c r="D438" s="4"/>
      <c r="E438" s="4"/>
      <c r="F438" s="55"/>
      <c r="G438" s="4"/>
      <c r="H438" s="48" t="e">
        <f t="shared" si="23"/>
        <v>#DIV/0!</v>
      </c>
      <c r="I438" s="4"/>
      <c r="J438" s="4"/>
      <c r="K438" s="4"/>
      <c r="L438" s="4" t="e">
        <f t="shared" si="21"/>
        <v>#DIV/0!</v>
      </c>
      <c r="O438" t="s">
        <v>197</v>
      </c>
      <c r="AU438" s="22" t="e">
        <f t="shared" si="22"/>
        <v>#DIV/0!</v>
      </c>
      <c r="AV438" s="11" t="s">
        <v>166</v>
      </c>
      <c r="AW438" s="38">
        <v>17.420933725613899</v>
      </c>
      <c r="AX438" s="38">
        <v>298.76153032256599</v>
      </c>
      <c r="AY438" s="11" t="s">
        <v>191</v>
      </c>
      <c r="AZ438" s="41">
        <v>2.7036636538169E-5</v>
      </c>
      <c r="BA438" s="41">
        <v>426.459520723075</v>
      </c>
      <c r="BK438" s="25" t="s">
        <v>195</v>
      </c>
    </row>
    <row r="439" spans="2:63" ht="15.6" x14ac:dyDescent="0.3">
      <c r="B439" s="11" t="s">
        <v>176</v>
      </c>
      <c r="C439" s="4" t="s">
        <v>199</v>
      </c>
      <c r="D439" s="4"/>
      <c r="E439" s="4"/>
      <c r="F439" s="55"/>
      <c r="G439" s="4"/>
      <c r="H439" s="48" t="e">
        <f t="shared" si="23"/>
        <v>#DIV/0!</v>
      </c>
      <c r="I439" s="4"/>
      <c r="J439" s="4"/>
      <c r="K439" s="4"/>
      <c r="L439" s="4" t="e">
        <f t="shared" si="21"/>
        <v>#DIV/0!</v>
      </c>
      <c r="O439" t="s">
        <v>197</v>
      </c>
      <c r="AU439" s="22" t="e">
        <f t="shared" si="22"/>
        <v>#DIV/0!</v>
      </c>
      <c r="AV439" s="11" t="s">
        <v>166</v>
      </c>
      <c r="AW439" s="38">
        <v>24.456418482131401</v>
      </c>
      <c r="AX439" s="38">
        <v>427.72913273706803</v>
      </c>
      <c r="AY439" s="11" t="s">
        <v>191</v>
      </c>
      <c r="AZ439" s="41">
        <v>1.29546604849067E-5</v>
      </c>
      <c r="BA439" s="41">
        <v>321.26422637589798</v>
      </c>
      <c r="BK439" s="25" t="s">
        <v>195</v>
      </c>
    </row>
    <row r="440" spans="2:63" ht="15.6" x14ac:dyDescent="0.3">
      <c r="B440" s="11" t="s">
        <v>176</v>
      </c>
      <c r="C440" s="4" t="s">
        <v>199</v>
      </c>
      <c r="D440" s="4"/>
      <c r="E440" s="4"/>
      <c r="F440" s="55"/>
      <c r="G440" s="4"/>
      <c r="H440" s="48" t="e">
        <f t="shared" si="23"/>
        <v>#DIV/0!</v>
      </c>
      <c r="I440" s="4"/>
      <c r="J440" s="4"/>
      <c r="K440" s="4"/>
      <c r="L440" s="4" t="e">
        <f t="shared" si="21"/>
        <v>#DIV/0!</v>
      </c>
      <c r="O440" t="s">
        <v>197</v>
      </c>
      <c r="AU440" s="22" t="e">
        <f t="shared" si="22"/>
        <v>#DIV/0!</v>
      </c>
      <c r="AV440" s="11" t="s">
        <v>166</v>
      </c>
      <c r="AW440" s="38">
        <v>12.409377607517101</v>
      </c>
      <c r="AX440" s="38">
        <v>298.76153032256599</v>
      </c>
      <c r="AY440" s="11" t="s">
        <v>191</v>
      </c>
      <c r="AZ440" s="41">
        <v>1.7965440481599398E-5</v>
      </c>
      <c r="BA440" s="41">
        <v>53.321685051326199</v>
      </c>
      <c r="BK440" s="25" t="s">
        <v>195</v>
      </c>
    </row>
    <row r="441" spans="2:63" ht="15.6" x14ac:dyDescent="0.3">
      <c r="B441" s="11" t="s">
        <v>176</v>
      </c>
      <c r="C441" s="4" t="s">
        <v>199</v>
      </c>
      <c r="D441" s="4"/>
      <c r="E441" s="4"/>
      <c r="F441" s="55"/>
      <c r="G441" s="4"/>
      <c r="H441" s="48" t="e">
        <f t="shared" si="23"/>
        <v>#DIV/0!</v>
      </c>
      <c r="I441" s="4"/>
      <c r="J441" s="4"/>
      <c r="K441" s="4"/>
      <c r="L441" s="4" t="e">
        <f t="shared" si="21"/>
        <v>#DIV/0!</v>
      </c>
      <c r="O441" t="s">
        <v>197</v>
      </c>
      <c r="AU441" s="22" t="e">
        <f t="shared" si="22"/>
        <v>#DIV/0!</v>
      </c>
      <c r="AV441" s="11" t="s">
        <v>166</v>
      </c>
      <c r="AW441" s="38">
        <v>14.4781904686087</v>
      </c>
      <c r="AX441" s="38">
        <v>1348.55955305256</v>
      </c>
      <c r="AY441" s="11" t="s">
        <v>191</v>
      </c>
      <c r="AZ441" s="41">
        <v>6.20725244585365E-6</v>
      </c>
      <c r="BA441" s="41">
        <v>11.055723842255601</v>
      </c>
      <c r="BK441" s="25" t="s">
        <v>195</v>
      </c>
    </row>
    <row r="442" spans="2:63" ht="15.6" x14ac:dyDescent="0.3">
      <c r="B442" s="11" t="s">
        <v>176</v>
      </c>
      <c r="C442" s="4" t="s">
        <v>199</v>
      </c>
      <c r="D442" s="4"/>
      <c r="E442" s="4"/>
      <c r="F442" s="55"/>
      <c r="G442" s="4"/>
      <c r="H442" s="48" t="e">
        <f t="shared" si="23"/>
        <v>#DIV/0!</v>
      </c>
      <c r="I442" s="4"/>
      <c r="J442" s="4"/>
      <c r="K442" s="4"/>
      <c r="L442" s="4" t="e">
        <f t="shared" si="21"/>
        <v>#DIV/0!</v>
      </c>
      <c r="O442" t="s">
        <v>197</v>
      </c>
      <c r="AU442" s="22" t="e">
        <f t="shared" si="22"/>
        <v>#DIV/0!</v>
      </c>
      <c r="AV442" s="11" t="s">
        <v>166</v>
      </c>
      <c r="AW442" s="38">
        <v>33.290585129724697</v>
      </c>
      <c r="AX442" s="38">
        <v>1012.03330560698</v>
      </c>
      <c r="AY442" s="11" t="s">
        <v>191</v>
      </c>
      <c r="AZ442" s="41">
        <v>5.7200055437332702E-6</v>
      </c>
      <c r="BA442" s="41">
        <v>22.670438719167301</v>
      </c>
      <c r="BK442" s="25" t="s">
        <v>195</v>
      </c>
    </row>
    <row r="443" spans="2:63" ht="15.6" x14ac:dyDescent="0.3">
      <c r="B443" s="11" t="s">
        <v>176</v>
      </c>
      <c r="C443" s="4" t="s">
        <v>199</v>
      </c>
      <c r="D443" s="4"/>
      <c r="E443" s="4"/>
      <c r="F443" s="55"/>
      <c r="G443" s="4"/>
      <c r="H443" s="48" t="e">
        <f t="shared" si="23"/>
        <v>#DIV/0!</v>
      </c>
      <c r="I443" s="4"/>
      <c r="J443" s="4"/>
      <c r="K443" s="4"/>
      <c r="L443" s="4" t="e">
        <f t="shared" si="21"/>
        <v>#DIV/0!</v>
      </c>
      <c r="O443" t="s">
        <v>197</v>
      </c>
      <c r="AU443" s="22" t="e">
        <f t="shared" si="22"/>
        <v>#DIV/0!</v>
      </c>
      <c r="AV443" s="11" t="s">
        <v>166</v>
      </c>
      <c r="AW443" s="38">
        <v>29.427271762092801</v>
      </c>
      <c r="AX443" s="38">
        <v>1012.03330560698</v>
      </c>
      <c r="AY443" s="11" t="s">
        <v>191</v>
      </c>
      <c r="AZ443" s="41">
        <v>8.6081780761581297E-6</v>
      </c>
      <c r="BA443" s="41">
        <v>46.368824010100397</v>
      </c>
      <c r="BK443" s="25" t="s">
        <v>195</v>
      </c>
    </row>
    <row r="444" spans="2:63" ht="15.6" x14ac:dyDescent="0.3">
      <c r="B444" s="11" t="s">
        <v>176</v>
      </c>
      <c r="C444" s="4" t="s">
        <v>199</v>
      </c>
      <c r="D444" s="4"/>
      <c r="E444" s="4"/>
      <c r="F444" s="55"/>
      <c r="G444" s="4"/>
      <c r="H444" s="48" t="e">
        <f t="shared" si="23"/>
        <v>#DIV/0!</v>
      </c>
      <c r="I444" s="4"/>
      <c r="J444" s="4"/>
      <c r="K444" s="4"/>
      <c r="L444" s="4" t="e">
        <f t="shared" si="21"/>
        <v>#DIV/0!</v>
      </c>
      <c r="O444" t="s">
        <v>197</v>
      </c>
      <c r="AU444" s="22" t="e">
        <f t="shared" si="22"/>
        <v>#DIV/0!</v>
      </c>
      <c r="AV444" s="11" t="s">
        <v>166</v>
      </c>
      <c r="AW444" s="38">
        <v>22.295349551952199</v>
      </c>
      <c r="AX444" s="38">
        <v>612.36870354251403</v>
      </c>
      <c r="AY444" s="11" t="s">
        <v>191</v>
      </c>
      <c r="AZ444" s="41">
        <v>1.19377664171443E-5</v>
      </c>
      <c r="BA444" s="41">
        <v>57.410965591673303</v>
      </c>
      <c r="BK444" s="25" t="s">
        <v>195</v>
      </c>
    </row>
    <row r="445" spans="2:63" ht="15.6" x14ac:dyDescent="0.3">
      <c r="B445" s="11" t="s">
        <v>176</v>
      </c>
      <c r="C445" s="4" t="s">
        <v>199</v>
      </c>
      <c r="D445" s="4"/>
      <c r="E445" s="4"/>
      <c r="F445" s="55"/>
      <c r="G445" s="4"/>
      <c r="H445" s="48" t="e">
        <f t="shared" si="23"/>
        <v>#DIV/0!</v>
      </c>
      <c r="I445" s="4"/>
      <c r="J445" s="4"/>
      <c r="K445" s="4"/>
      <c r="L445" s="4" t="e">
        <f t="shared" si="21"/>
        <v>#DIV/0!</v>
      </c>
      <c r="O445" t="s">
        <v>197</v>
      </c>
      <c r="AU445" s="22" t="e">
        <f t="shared" si="22"/>
        <v>#DIV/0!</v>
      </c>
      <c r="AV445" s="11" t="s">
        <v>166</v>
      </c>
      <c r="AW445" s="38">
        <v>19.1095297497044</v>
      </c>
      <c r="AX445" s="38">
        <v>612.36870354251198</v>
      </c>
      <c r="AY445" s="11" t="s">
        <v>191</v>
      </c>
      <c r="AZ445" s="41">
        <v>3.1838938486321902E-5</v>
      </c>
      <c r="BA445" s="41">
        <v>94.398153237238802</v>
      </c>
      <c r="BK445" s="25" t="s">
        <v>195</v>
      </c>
    </row>
    <row r="446" spans="2:63" ht="15.6" x14ac:dyDescent="0.3">
      <c r="B446" s="11" t="s">
        <v>176</v>
      </c>
      <c r="C446" s="4" t="s">
        <v>199</v>
      </c>
      <c r="D446" s="4"/>
      <c r="E446" s="4"/>
      <c r="F446" s="55"/>
      <c r="G446" s="4"/>
      <c r="H446" s="48" t="e">
        <f t="shared" si="23"/>
        <v>#DIV/0!</v>
      </c>
      <c r="I446" s="4"/>
      <c r="J446" s="4"/>
      <c r="K446" s="4"/>
      <c r="L446" s="4" t="e">
        <f t="shared" si="21"/>
        <v>#DIV/0!</v>
      </c>
      <c r="O446" t="s">
        <v>197</v>
      </c>
      <c r="AU446" s="22" t="e">
        <f t="shared" si="22"/>
        <v>#DIV/0!</v>
      </c>
      <c r="AV446" s="11" t="s">
        <v>166</v>
      </c>
      <c r="AW446" s="38">
        <v>19.1095297497044</v>
      </c>
      <c r="AX446" s="38">
        <v>370.53664835015098</v>
      </c>
      <c r="AY446" s="11" t="s">
        <v>191</v>
      </c>
      <c r="AZ446" s="41">
        <v>3.1838938486322098E-5</v>
      </c>
      <c r="BA446" s="41">
        <v>135.14738719055001</v>
      </c>
      <c r="BK446" s="25" t="s">
        <v>195</v>
      </c>
    </row>
    <row r="447" spans="2:63" ht="15.6" x14ac:dyDescent="0.3">
      <c r="B447" s="11" t="s">
        <v>176</v>
      </c>
      <c r="C447" s="4" t="s">
        <v>199</v>
      </c>
      <c r="D447" s="4"/>
      <c r="E447" s="4"/>
      <c r="F447" s="55"/>
      <c r="G447" s="4"/>
      <c r="H447" s="48" t="e">
        <f t="shared" si="23"/>
        <v>#DIV/0!</v>
      </c>
      <c r="I447" s="4"/>
      <c r="J447" s="4"/>
      <c r="K447" s="4"/>
      <c r="L447" s="4" t="e">
        <f t="shared" si="21"/>
        <v>#DIV/0!</v>
      </c>
      <c r="O447" t="s">
        <v>197</v>
      </c>
      <c r="AU447" s="22" t="e">
        <f t="shared" si="22"/>
        <v>#DIV/0!</v>
      </c>
      <c r="AV447" s="11" t="s">
        <v>166</v>
      </c>
      <c r="AW447" s="38">
        <v>17.966533259852199</v>
      </c>
      <c r="AX447" s="38">
        <v>168.25734277107301</v>
      </c>
      <c r="AY447" s="11" t="s">
        <v>191</v>
      </c>
      <c r="AZ447" s="41">
        <v>4.1246263829013503E-6</v>
      </c>
      <c r="BA447" s="41">
        <v>169.404491669241</v>
      </c>
      <c r="BK447" s="25" t="s">
        <v>195</v>
      </c>
    </row>
    <row r="448" spans="2:63" ht="15.6" x14ac:dyDescent="0.3">
      <c r="B448" s="11" t="s">
        <v>177</v>
      </c>
      <c r="C448" s="4" t="s">
        <v>200</v>
      </c>
      <c r="D448" s="4"/>
      <c r="E448" s="4"/>
      <c r="F448" s="55"/>
      <c r="G448" s="4"/>
      <c r="H448" s="48" t="e">
        <f t="shared" si="23"/>
        <v>#DIV/0!</v>
      </c>
      <c r="I448" s="4"/>
      <c r="J448" s="4"/>
      <c r="K448" s="4"/>
      <c r="L448" s="4" t="e">
        <f t="shared" si="21"/>
        <v>#DIV/0!</v>
      </c>
      <c r="O448" t="s">
        <v>197</v>
      </c>
      <c r="AU448" s="22" t="e">
        <f t="shared" si="22"/>
        <v>#DIV/0!</v>
      </c>
      <c r="AV448" s="11" t="s">
        <v>166</v>
      </c>
      <c r="AW448" s="38">
        <v>662.87031618264405</v>
      </c>
      <c r="AX448" s="38">
        <v>3.3874284433953302E-7</v>
      </c>
      <c r="AY448" s="11" t="s">
        <v>191</v>
      </c>
      <c r="AZ448" s="42">
        <v>1.5255693425764802E-11</v>
      </c>
      <c r="BA448" s="42">
        <v>3.15283540408628E-7</v>
      </c>
      <c r="BK448" s="25" t="s">
        <v>195</v>
      </c>
    </row>
    <row r="449" spans="2:63" ht="15.6" x14ac:dyDescent="0.3">
      <c r="B449" s="11" t="s">
        <v>177</v>
      </c>
      <c r="C449" s="4" t="s">
        <v>200</v>
      </c>
      <c r="D449" s="4"/>
      <c r="E449" s="4"/>
      <c r="F449" s="55"/>
      <c r="G449" s="4"/>
      <c r="H449" s="48" t="e">
        <f t="shared" si="23"/>
        <v>#DIV/0!</v>
      </c>
      <c r="I449" s="4"/>
      <c r="J449" s="4"/>
      <c r="K449" s="4"/>
      <c r="L449" s="4" t="e">
        <f t="shared" si="21"/>
        <v>#DIV/0!</v>
      </c>
      <c r="O449" t="s">
        <v>197</v>
      </c>
      <c r="AU449" s="22" t="e">
        <f t="shared" si="22"/>
        <v>#DIV/0!</v>
      </c>
      <c r="AV449" s="11" t="s">
        <v>166</v>
      </c>
      <c r="AW449" s="38">
        <v>1347.29992533421</v>
      </c>
      <c r="AX449" s="38">
        <v>8.6112249631429896E-7</v>
      </c>
      <c r="AY449" s="11" t="s">
        <v>191</v>
      </c>
      <c r="AZ449" s="42">
        <v>1.63311869910004E-10</v>
      </c>
      <c r="BA449" s="42">
        <v>9.8187024626164396E-7</v>
      </c>
      <c r="BK449" s="25" t="s">
        <v>195</v>
      </c>
    </row>
    <row r="450" spans="2:63" ht="15.6" x14ac:dyDescent="0.3">
      <c r="B450" s="11" t="s">
        <v>177</v>
      </c>
      <c r="C450" s="4" t="s">
        <v>200</v>
      </c>
      <c r="D450" s="4"/>
      <c r="E450" s="4"/>
      <c r="F450" s="55"/>
      <c r="G450" s="4"/>
      <c r="H450" s="48" t="e">
        <f t="shared" si="23"/>
        <v>#DIV/0!</v>
      </c>
      <c r="I450" s="4"/>
      <c r="J450" s="4"/>
      <c r="K450" s="4"/>
      <c r="L450" s="4" t="e">
        <f t="shared" si="21"/>
        <v>#DIV/0!</v>
      </c>
      <c r="O450" t="s">
        <v>197</v>
      </c>
      <c r="AU450" s="22" t="e">
        <f t="shared" si="22"/>
        <v>#DIV/0!</v>
      </c>
      <c r="AV450" s="11" t="s">
        <v>166</v>
      </c>
      <c r="AW450" s="38">
        <v>1119.7140890703699</v>
      </c>
      <c r="AX450" s="38">
        <v>1.52902851404282E-6</v>
      </c>
      <c r="AY450" s="11" t="s">
        <v>191</v>
      </c>
      <c r="AZ450" s="42">
        <v>2.2647985890677499E-10</v>
      </c>
      <c r="BA450" s="42">
        <v>1.74047193731128E-6</v>
      </c>
      <c r="BK450" s="25" t="s">
        <v>195</v>
      </c>
    </row>
    <row r="451" spans="2:63" ht="15.6" x14ac:dyDescent="0.3">
      <c r="B451" s="11" t="s">
        <v>177</v>
      </c>
      <c r="C451" s="4" t="s">
        <v>200</v>
      </c>
      <c r="D451" s="4"/>
      <c r="E451" s="4"/>
      <c r="F451" s="55"/>
      <c r="G451" s="4"/>
      <c r="H451" s="48" t="e">
        <f t="shared" si="23"/>
        <v>#DIV/0!</v>
      </c>
      <c r="I451" s="4"/>
      <c r="J451" s="4"/>
      <c r="K451" s="4"/>
      <c r="L451" s="4" t="e">
        <f t="shared" si="21"/>
        <v>#DIV/0!</v>
      </c>
      <c r="O451" t="s">
        <v>197</v>
      </c>
      <c r="AU451" s="22" t="e">
        <f t="shared" si="22"/>
        <v>#DIV/0!</v>
      </c>
      <c r="AV451" s="11" t="s">
        <v>166</v>
      </c>
      <c r="AW451" s="38">
        <v>1190.94815826642</v>
      </c>
      <c r="AX451" s="38">
        <v>2.1890704587557602E-6</v>
      </c>
      <c r="AY451" s="11" t="s">
        <v>191</v>
      </c>
      <c r="AZ451" s="42">
        <v>4.3556528067791302E-10</v>
      </c>
      <c r="BA451" s="42">
        <v>2.6681151243166998E-6</v>
      </c>
      <c r="BK451" s="25" t="s">
        <v>195</v>
      </c>
    </row>
    <row r="452" spans="2:63" ht="15.6" x14ac:dyDescent="0.3">
      <c r="B452" s="11" t="s">
        <v>177</v>
      </c>
      <c r="C452" s="4" t="s">
        <v>200</v>
      </c>
      <c r="D452" s="4"/>
      <c r="E452" s="4"/>
      <c r="F452" s="55"/>
      <c r="G452" s="4"/>
      <c r="H452" s="48" t="e">
        <f t="shared" si="23"/>
        <v>#DIV/0!</v>
      </c>
      <c r="I452" s="4"/>
      <c r="J452" s="4"/>
      <c r="K452" s="4"/>
      <c r="L452" s="4" t="e">
        <f t="shared" si="21"/>
        <v>#DIV/0!</v>
      </c>
      <c r="O452" t="s">
        <v>197</v>
      </c>
      <c r="AU452" s="22" t="e">
        <f t="shared" si="22"/>
        <v>#DIV/0!</v>
      </c>
      <c r="AV452" s="11" t="s">
        <v>166</v>
      </c>
      <c r="AW452" s="38">
        <v>1266.7140027288201</v>
      </c>
      <c r="AX452" s="38">
        <v>3.3672295752113999E-6</v>
      </c>
      <c r="AY452" s="11" t="s">
        <v>191</v>
      </c>
      <c r="AZ452" s="42">
        <v>5.5662425924052302E-10</v>
      </c>
      <c r="BA452" s="42">
        <v>3.3048957553835101E-6</v>
      </c>
      <c r="BK452" s="25" t="s">
        <v>195</v>
      </c>
    </row>
    <row r="453" spans="2:63" ht="15.6" x14ac:dyDescent="0.3">
      <c r="B453" s="11" t="s">
        <v>177</v>
      </c>
      <c r="C453" s="4" t="s">
        <v>200</v>
      </c>
      <c r="D453" s="4"/>
      <c r="E453" s="4"/>
      <c r="F453" s="55"/>
      <c r="G453" s="4"/>
      <c r="H453" s="48" t="e">
        <f t="shared" si="23"/>
        <v>#DIV/0!</v>
      </c>
      <c r="I453" s="4"/>
      <c r="J453" s="4"/>
      <c r="K453" s="4"/>
      <c r="L453" s="4" t="e">
        <f t="shared" ref="L453:L516" si="24">J453/K453</f>
        <v>#DIV/0!</v>
      </c>
      <c r="O453" t="s">
        <v>197</v>
      </c>
      <c r="AU453" s="22" t="e">
        <f t="shared" si="22"/>
        <v>#DIV/0!</v>
      </c>
      <c r="AV453" s="11" t="s">
        <v>166</v>
      </c>
      <c r="AW453" s="38">
        <v>1347.29992533421</v>
      </c>
      <c r="AX453" s="38">
        <v>4.4869171654869301E-6</v>
      </c>
      <c r="AY453" s="11" t="s">
        <v>191</v>
      </c>
      <c r="AZ453" s="42">
        <v>9.8646763312623193E-10</v>
      </c>
      <c r="BA453" s="42">
        <v>4.7174890902415604E-6</v>
      </c>
      <c r="BK453" s="25" t="s">
        <v>195</v>
      </c>
    </row>
    <row r="454" spans="2:63" ht="15.6" x14ac:dyDescent="0.3">
      <c r="B454" s="11" t="s">
        <v>177</v>
      </c>
      <c r="C454" s="4" t="s">
        <v>200</v>
      </c>
      <c r="D454" s="4"/>
      <c r="E454" s="4"/>
      <c r="F454" s="55"/>
      <c r="G454" s="4"/>
      <c r="H454" s="48" t="e">
        <f t="shared" si="23"/>
        <v>#DIV/0!</v>
      </c>
      <c r="I454" s="4"/>
      <c r="J454" s="4"/>
      <c r="K454" s="4"/>
      <c r="L454" s="4" t="e">
        <f t="shared" si="24"/>
        <v>#DIV/0!</v>
      </c>
      <c r="O454" t="s">
        <v>197</v>
      </c>
      <c r="AU454" s="22" t="e">
        <f t="shared" si="22"/>
        <v>#DIV/0!</v>
      </c>
      <c r="AV454" s="11" t="s">
        <v>166</v>
      </c>
      <c r="AW454" s="38">
        <v>1154.7819846894499</v>
      </c>
      <c r="AX454" s="38">
        <v>9.1967919851170598E-6</v>
      </c>
      <c r="AY454" s="11" t="s">
        <v>191</v>
      </c>
      <c r="AZ454" s="42">
        <v>1.26064183696882E-9</v>
      </c>
      <c r="BA454" s="42">
        <v>8.9882903311573793E-6</v>
      </c>
      <c r="BK454" s="25" t="s">
        <v>195</v>
      </c>
    </row>
    <row r="455" spans="2:63" ht="15.6" x14ac:dyDescent="0.3">
      <c r="B455" s="11" t="s">
        <v>177</v>
      </c>
      <c r="C455" s="4" t="s">
        <v>200</v>
      </c>
      <c r="D455" s="4"/>
      <c r="E455" s="4"/>
      <c r="F455" s="55"/>
      <c r="G455" s="4"/>
      <c r="H455" s="48" t="e">
        <f t="shared" si="23"/>
        <v>#DIV/0!</v>
      </c>
      <c r="I455" s="4"/>
      <c r="J455" s="4"/>
      <c r="K455" s="4"/>
      <c r="L455" s="4" t="e">
        <f t="shared" si="24"/>
        <v>#DIV/0!</v>
      </c>
      <c r="O455" t="s">
        <v>197</v>
      </c>
      <c r="AU455" s="22" t="e">
        <f t="shared" si="22"/>
        <v>#DIV/0!</v>
      </c>
      <c r="AV455" s="11" t="s">
        <v>166</v>
      </c>
      <c r="AW455" s="38">
        <v>727.12176205938795</v>
      </c>
      <c r="AX455" s="38">
        <v>1.4146511294549699E-5</v>
      </c>
      <c r="AY455" s="11" t="s">
        <v>191</v>
      </c>
      <c r="AZ455" s="42">
        <v>9.0903348613840197E-10</v>
      </c>
      <c r="BA455" s="42">
        <v>1.5986944427479702E-5</v>
      </c>
      <c r="BK455" s="25" t="s">
        <v>195</v>
      </c>
    </row>
    <row r="456" spans="2:63" ht="15.6" x14ac:dyDescent="0.3">
      <c r="B456" s="11" t="s">
        <v>177</v>
      </c>
      <c r="C456" s="4" t="s">
        <v>200</v>
      </c>
      <c r="D456" s="4"/>
      <c r="E456" s="4"/>
      <c r="F456" s="55"/>
      <c r="G456" s="4"/>
      <c r="H456" s="48" t="e">
        <f t="shared" si="23"/>
        <v>#DIV/0!</v>
      </c>
      <c r="I456" s="4"/>
      <c r="J456" s="4"/>
      <c r="K456" s="4"/>
      <c r="L456" s="4" t="e">
        <f t="shared" si="24"/>
        <v>#DIV/0!</v>
      </c>
      <c r="O456" t="s">
        <v>197</v>
      </c>
      <c r="AU456" s="22" t="e">
        <f t="shared" si="22"/>
        <v>#DIV/0!</v>
      </c>
      <c r="AV456" s="11" t="s">
        <v>166</v>
      </c>
      <c r="AW456" s="38">
        <v>1052.74073649662</v>
      </c>
      <c r="AX456" s="38">
        <v>3.1153474758375799E-5</v>
      </c>
      <c r="AY456" s="11" t="s">
        <v>191</v>
      </c>
      <c r="AZ456" s="42">
        <v>4.6627169588536599E-9</v>
      </c>
      <c r="BA456" s="42">
        <v>2.81467007351108E-5</v>
      </c>
      <c r="BK456" s="25" t="s">
        <v>195</v>
      </c>
    </row>
    <row r="457" spans="2:63" ht="15.6" x14ac:dyDescent="0.3">
      <c r="B457" s="11" t="s">
        <v>177</v>
      </c>
      <c r="C457" s="4" t="s">
        <v>200</v>
      </c>
      <c r="D457" s="4"/>
      <c r="E457" s="4"/>
      <c r="F457" s="55"/>
      <c r="G457" s="4"/>
      <c r="H457" s="48" t="e">
        <f t="shared" si="23"/>
        <v>#DIV/0!</v>
      </c>
      <c r="I457" s="4"/>
      <c r="J457" s="4"/>
      <c r="K457" s="4"/>
      <c r="L457" s="4" t="e">
        <f t="shared" si="24"/>
        <v>#DIV/0!</v>
      </c>
      <c r="O457" t="s">
        <v>197</v>
      </c>
      <c r="AU457" s="22" t="e">
        <f t="shared" si="22"/>
        <v>#DIV/0!</v>
      </c>
      <c r="AV457" s="11" t="s">
        <v>166</v>
      </c>
      <c r="AW457" s="38">
        <v>1020.77158322709</v>
      </c>
      <c r="AX457" s="38">
        <v>4.4601621653762899E-5</v>
      </c>
      <c r="AY457" s="11" t="s">
        <v>191</v>
      </c>
      <c r="AZ457" s="42">
        <v>3.9594342553549501E-9</v>
      </c>
      <c r="BA457" s="42">
        <v>3.0266708123151999E-5</v>
      </c>
      <c r="BK457" s="25" t="s">
        <v>195</v>
      </c>
    </row>
    <row r="458" spans="2:63" ht="15.6" x14ac:dyDescent="0.3">
      <c r="B458" s="11" t="s">
        <v>177</v>
      </c>
      <c r="C458" s="4" t="s">
        <v>200</v>
      </c>
      <c r="D458" s="4"/>
      <c r="E458" s="4"/>
      <c r="F458" s="55"/>
      <c r="G458" s="4"/>
      <c r="H458" s="48" t="e">
        <f t="shared" si="23"/>
        <v>#DIV/0!</v>
      </c>
      <c r="I458" s="4"/>
      <c r="J458" s="4"/>
      <c r="K458" s="4"/>
      <c r="L458" s="4" t="e">
        <f t="shared" si="24"/>
        <v>#DIV/0!</v>
      </c>
      <c r="O458" t="s">
        <v>197</v>
      </c>
      <c r="AU458" s="22" t="e">
        <f t="shared" si="22"/>
        <v>#DIV/0!</v>
      </c>
      <c r="AV458" s="11" t="s">
        <v>166</v>
      </c>
      <c r="AW458" s="38">
        <v>902.31285120382302</v>
      </c>
      <c r="AX458" s="38">
        <v>8.5088355446743906E-5</v>
      </c>
      <c r="AY458" s="11" t="s">
        <v>191</v>
      </c>
      <c r="AZ458" s="42">
        <v>5.0599009084661797E-9</v>
      </c>
      <c r="BA458" s="42">
        <v>3.7490254559856601E-5</v>
      </c>
      <c r="BK458" s="25" t="s">
        <v>195</v>
      </c>
    </row>
    <row r="459" spans="2:63" ht="15.6" x14ac:dyDescent="0.3">
      <c r="B459" s="11" t="s">
        <v>177</v>
      </c>
      <c r="C459" s="4" t="s">
        <v>200</v>
      </c>
      <c r="D459" s="4"/>
      <c r="E459" s="4"/>
      <c r="F459" s="55"/>
      <c r="G459" s="4"/>
      <c r="H459" s="48" t="e">
        <f t="shared" si="23"/>
        <v>#DIV/0!</v>
      </c>
      <c r="I459" s="4"/>
      <c r="J459" s="4"/>
      <c r="K459" s="4"/>
      <c r="L459" s="4" t="e">
        <f t="shared" si="24"/>
        <v>#DIV/0!</v>
      </c>
      <c r="O459" t="s">
        <v>197</v>
      </c>
      <c r="AU459" s="22" t="e">
        <f t="shared" si="22"/>
        <v>#DIV/0!</v>
      </c>
      <c r="AV459" s="11" t="s">
        <v>166</v>
      </c>
      <c r="AW459" s="38">
        <v>683.63049709291897</v>
      </c>
      <c r="AX459" s="38">
        <v>6.3854984703129097E-5</v>
      </c>
      <c r="AY459" s="11" t="s">
        <v>191</v>
      </c>
      <c r="AZ459" s="42">
        <v>3.64863296413956E-9</v>
      </c>
      <c r="BA459" s="42">
        <v>6.6681715224848606E-5</v>
      </c>
      <c r="BK459" s="25" t="s">
        <v>195</v>
      </c>
    </row>
    <row r="460" spans="2:63" ht="15.6" x14ac:dyDescent="0.3">
      <c r="B460" s="11" t="s">
        <v>177</v>
      </c>
      <c r="C460" s="4" t="s">
        <v>200</v>
      </c>
      <c r="D460" s="4"/>
      <c r="E460" s="4"/>
      <c r="F460" s="55"/>
      <c r="G460" s="4"/>
      <c r="H460" s="48" t="e">
        <f t="shared" si="23"/>
        <v>#DIV/0!</v>
      </c>
      <c r="I460" s="4"/>
      <c r="J460" s="4"/>
      <c r="K460" s="4"/>
      <c r="L460" s="4" t="e">
        <f t="shared" si="24"/>
        <v>#DIV/0!</v>
      </c>
      <c r="O460" t="s">
        <v>197</v>
      </c>
      <c r="AU460" s="22" t="e">
        <f t="shared" si="22"/>
        <v>#DIV/0!</v>
      </c>
      <c r="AV460" s="11" t="s">
        <v>166</v>
      </c>
      <c r="AW460" s="38">
        <v>346.87944960701998</v>
      </c>
      <c r="AX460" s="38">
        <v>1.1270626347294E-3</v>
      </c>
      <c r="AY460" s="11" t="s">
        <v>191</v>
      </c>
      <c r="AZ460" s="42">
        <v>8.2634187892093599E-9</v>
      </c>
      <c r="BA460" s="42">
        <v>8.2351013121760295E-5</v>
      </c>
      <c r="BK460" s="25" t="s">
        <v>195</v>
      </c>
    </row>
    <row r="461" spans="2:63" ht="15.6" x14ac:dyDescent="0.3">
      <c r="B461" s="11" t="s">
        <v>177</v>
      </c>
      <c r="C461" s="4" t="s">
        <v>200</v>
      </c>
      <c r="D461" s="4"/>
      <c r="E461" s="4"/>
      <c r="F461" s="55"/>
      <c r="G461" s="4"/>
      <c r="H461" s="48" t="e">
        <f t="shared" si="23"/>
        <v>#DIV/0!</v>
      </c>
      <c r="I461" s="4"/>
      <c r="J461" s="4"/>
      <c r="K461" s="4"/>
      <c r="L461" s="4" t="e">
        <f t="shared" si="24"/>
        <v>#DIV/0!</v>
      </c>
      <c r="O461" t="s">
        <v>197</v>
      </c>
      <c r="AU461" s="22" t="e">
        <f t="shared" ref="AU461:AU524" si="25">(AS461*AT461)/(AG461)</f>
        <v>#DIV/0!</v>
      </c>
      <c r="AV461" s="11" t="s">
        <v>166</v>
      </c>
      <c r="AW461" s="38">
        <v>604.29639023813195</v>
      </c>
      <c r="AX461" s="38">
        <v>3.5747588766247001E-4</v>
      </c>
      <c r="AY461" s="11" t="s">
        <v>191</v>
      </c>
      <c r="AZ461" s="42">
        <v>1.2435823691345399E-8</v>
      </c>
      <c r="BA461" s="42">
        <v>2.5908847238845098E-4</v>
      </c>
      <c r="BK461" s="25" t="s">
        <v>195</v>
      </c>
    </row>
    <row r="462" spans="2:63" ht="15.6" x14ac:dyDescent="0.3">
      <c r="B462" s="11" t="s">
        <v>177</v>
      </c>
      <c r="C462" s="4" t="s">
        <v>200</v>
      </c>
      <c r="D462" s="4"/>
      <c r="E462" s="4"/>
      <c r="F462" s="55"/>
      <c r="G462" s="4"/>
      <c r="H462" s="48" t="e">
        <f t="shared" si="23"/>
        <v>#DIV/0!</v>
      </c>
      <c r="I462" s="4"/>
      <c r="J462" s="4"/>
      <c r="K462" s="4"/>
      <c r="L462" s="4" t="e">
        <f t="shared" si="24"/>
        <v>#DIV/0!</v>
      </c>
      <c r="O462" t="s">
        <v>197</v>
      </c>
      <c r="AU462" s="22" t="e">
        <f t="shared" si="25"/>
        <v>#DIV/0!</v>
      </c>
      <c r="AV462" s="11" t="s">
        <v>166</v>
      </c>
      <c r="AW462" s="38">
        <v>534.16886579476704</v>
      </c>
      <c r="AX462" s="38">
        <v>4.7634551217070199E-4</v>
      </c>
      <c r="AY462" s="11" t="s">
        <v>191</v>
      </c>
      <c r="AZ462" s="42">
        <v>1.34951437431524E-8</v>
      </c>
      <c r="BA462" s="42">
        <v>4.2800168382593301E-4</v>
      </c>
      <c r="BK462" s="25" t="s">
        <v>195</v>
      </c>
    </row>
    <row r="463" spans="2:63" ht="15.6" x14ac:dyDescent="0.3">
      <c r="B463" s="11" t="s">
        <v>177</v>
      </c>
      <c r="C463" s="4" t="s">
        <v>200</v>
      </c>
      <c r="D463" s="4"/>
      <c r="E463" s="4"/>
      <c r="F463" s="55"/>
      <c r="G463" s="4"/>
      <c r="H463" s="48" t="e">
        <f t="shared" si="23"/>
        <v>#DIV/0!</v>
      </c>
      <c r="I463" s="4"/>
      <c r="J463" s="4"/>
      <c r="K463" s="4"/>
      <c r="L463" s="4" t="e">
        <f t="shared" si="24"/>
        <v>#DIV/0!</v>
      </c>
      <c r="O463" t="s">
        <v>197</v>
      </c>
      <c r="AU463" s="22" t="e">
        <f t="shared" si="25"/>
        <v>#DIV/0!</v>
      </c>
      <c r="AV463" s="11" t="s">
        <v>166</v>
      </c>
      <c r="AW463" s="38">
        <v>316.22776601683699</v>
      </c>
      <c r="AX463" s="38">
        <v>2.0012378180682402E-3</v>
      </c>
      <c r="AY463" s="11" t="s">
        <v>191</v>
      </c>
      <c r="AZ463" s="42">
        <v>1.46446997937971E-8</v>
      </c>
      <c r="BA463" s="42">
        <v>1.08756657554652E-3</v>
      </c>
      <c r="BK463" s="25" t="s">
        <v>195</v>
      </c>
    </row>
    <row r="464" spans="2:63" ht="15.6" x14ac:dyDescent="0.3">
      <c r="B464" s="11" t="s">
        <v>177</v>
      </c>
      <c r="C464" s="4" t="s">
        <v>200</v>
      </c>
      <c r="D464" s="4"/>
      <c r="E464" s="4"/>
      <c r="F464" s="55"/>
      <c r="G464" s="4"/>
      <c r="H464" s="48" t="e">
        <f t="shared" si="23"/>
        <v>#DIV/0!</v>
      </c>
      <c r="I464" s="4"/>
      <c r="J464" s="4"/>
      <c r="K464" s="4"/>
      <c r="L464" s="4" t="e">
        <f t="shared" si="24"/>
        <v>#DIV/0!</v>
      </c>
      <c r="O464" t="s">
        <v>197</v>
      </c>
      <c r="AU464" s="22" t="e">
        <f t="shared" si="25"/>
        <v>#DIV/0!</v>
      </c>
      <c r="AV464" s="11" t="s">
        <v>166</v>
      </c>
      <c r="AW464" s="38">
        <v>170.664368129634</v>
      </c>
      <c r="AX464" s="38">
        <v>1.3010252169108299E-3</v>
      </c>
      <c r="AY464" s="11" t="s">
        <v>191</v>
      </c>
      <c r="AZ464" s="42">
        <v>5.0599009084661797E-9</v>
      </c>
      <c r="BA464" s="42">
        <v>1.35631307289559E-3</v>
      </c>
      <c r="BK464" s="25" t="s">
        <v>195</v>
      </c>
    </row>
    <row r="465" spans="2:63" ht="15.6" x14ac:dyDescent="0.3">
      <c r="B465" s="11" t="s">
        <v>177</v>
      </c>
      <c r="C465" s="4" t="s">
        <v>200</v>
      </c>
      <c r="D465" s="4"/>
      <c r="E465" s="4"/>
      <c r="F465" s="55"/>
      <c r="G465" s="4"/>
      <c r="H465" s="48" t="e">
        <f t="shared" si="23"/>
        <v>#DIV/0!</v>
      </c>
      <c r="I465" s="4"/>
      <c r="J465" s="4"/>
      <c r="K465" s="4"/>
      <c r="L465" s="4" t="e">
        <f t="shared" si="24"/>
        <v>#DIV/0!</v>
      </c>
      <c r="O465" t="s">
        <v>197</v>
      </c>
      <c r="AU465" s="22" t="e">
        <f t="shared" si="25"/>
        <v>#DIV/0!</v>
      </c>
      <c r="AV465" s="11" t="s">
        <v>166</v>
      </c>
      <c r="AW465" s="38">
        <v>205.352502645714</v>
      </c>
      <c r="AX465" s="38">
        <v>7.2834587064533902E-3</v>
      </c>
      <c r="AY465" s="11" t="s">
        <v>191</v>
      </c>
      <c r="AZ465" s="42">
        <v>2.03091762090474E-8</v>
      </c>
      <c r="BA465" s="42">
        <v>1.9278301913143499E-3</v>
      </c>
      <c r="BK465" s="25" t="s">
        <v>195</v>
      </c>
    </row>
    <row r="466" spans="2:63" ht="15.6" x14ac:dyDescent="0.3">
      <c r="B466" s="11" t="s">
        <v>177</v>
      </c>
      <c r="C466" s="4" t="s">
        <v>200</v>
      </c>
      <c r="D466" s="4"/>
      <c r="E466" s="4"/>
      <c r="F466" s="55"/>
      <c r="G466" s="4"/>
      <c r="H466" s="48" t="e">
        <f t="shared" si="23"/>
        <v>#DIV/0!</v>
      </c>
      <c r="I466" s="4"/>
      <c r="J466" s="4"/>
      <c r="K466" s="4"/>
      <c r="L466" s="4" t="e">
        <f t="shared" si="24"/>
        <v>#DIV/0!</v>
      </c>
      <c r="O466" t="s">
        <v>197</v>
      </c>
      <c r="AU466" s="22" t="e">
        <f t="shared" si="25"/>
        <v>#DIV/0!</v>
      </c>
      <c r="AV466" s="11" t="s">
        <v>166</v>
      </c>
      <c r="AW466" s="38">
        <v>121.568603705501</v>
      </c>
      <c r="AX466" s="38">
        <v>2.4672195188535698E-2</v>
      </c>
      <c r="AY466" s="11" t="s">
        <v>191</v>
      </c>
      <c r="AZ466" s="42">
        <v>3.0563782508757897E-8</v>
      </c>
      <c r="BA466" s="42">
        <v>6.5165353046373799E-3</v>
      </c>
      <c r="BK466" s="25" t="s">
        <v>195</v>
      </c>
    </row>
    <row r="467" spans="2:63" ht="15.6" x14ac:dyDescent="0.3">
      <c r="B467" s="11" t="s">
        <v>177</v>
      </c>
      <c r="C467" s="4" t="s">
        <v>200</v>
      </c>
      <c r="D467" s="4"/>
      <c r="E467" s="4"/>
      <c r="F467" s="55"/>
      <c r="G467" s="4"/>
      <c r="H467" s="48" t="e">
        <f t="shared" si="23"/>
        <v>#DIV/0!</v>
      </c>
      <c r="I467" s="4"/>
      <c r="J467" s="4"/>
      <c r="K467" s="4"/>
      <c r="L467" s="4" t="e">
        <f t="shared" si="24"/>
        <v>#DIV/0!</v>
      </c>
      <c r="O467" t="s">
        <v>197</v>
      </c>
      <c r="AU467" s="22" t="e">
        <f t="shared" si="25"/>
        <v>#DIV/0!</v>
      </c>
      <c r="AV467" s="11" t="s">
        <v>166</v>
      </c>
      <c r="AW467" s="38">
        <v>61.684858300179897</v>
      </c>
      <c r="AX467" s="38">
        <v>0.54009173639879804</v>
      </c>
      <c r="AY467" s="11" t="s">
        <v>191</v>
      </c>
      <c r="AZ467" s="42">
        <v>3.5992583242811199E-8</v>
      </c>
      <c r="BA467" s="42">
        <v>2.3696644410262001E-2</v>
      </c>
      <c r="BK467" s="25" t="s">
        <v>195</v>
      </c>
    </row>
    <row r="468" spans="2:63" ht="15.6" x14ac:dyDescent="0.3">
      <c r="B468" s="11" t="s">
        <v>177</v>
      </c>
      <c r="C468" s="4" t="s">
        <v>200</v>
      </c>
      <c r="D468" s="4"/>
      <c r="E468" s="4"/>
      <c r="F468" s="55"/>
      <c r="G468" s="4"/>
      <c r="H468" s="48" t="e">
        <f t="shared" si="23"/>
        <v>#DIV/0!</v>
      </c>
      <c r="I468" s="4"/>
      <c r="J468" s="4"/>
      <c r="K468" s="4"/>
      <c r="L468" s="4" t="e">
        <f t="shared" si="24"/>
        <v>#DIV/0!</v>
      </c>
      <c r="O468" t="s">
        <v>197</v>
      </c>
      <c r="AU468" s="22" t="e">
        <f t="shared" si="25"/>
        <v>#DIV/0!</v>
      </c>
      <c r="AV468" s="11" t="s">
        <v>166</v>
      </c>
      <c r="AW468" s="38">
        <v>59.811640497314102</v>
      </c>
      <c r="AX468" s="38">
        <v>0.119652582873207</v>
      </c>
      <c r="AY468" s="11" t="s">
        <v>191</v>
      </c>
      <c r="AZ468" s="42">
        <v>5.4166130365818798E-8</v>
      </c>
      <c r="BA468" s="42">
        <v>0.123210526594085</v>
      </c>
      <c r="BK468" s="25" t="s">
        <v>195</v>
      </c>
    </row>
    <row r="469" spans="2:63" ht="15.6" x14ac:dyDescent="0.3">
      <c r="B469" s="11" t="s">
        <v>177</v>
      </c>
      <c r="C469" s="4" t="s">
        <v>200</v>
      </c>
      <c r="D469" s="4"/>
      <c r="E469" s="4"/>
      <c r="F469" s="55"/>
      <c r="G469" s="4"/>
      <c r="H469" s="48" t="e">
        <f t="shared" si="23"/>
        <v>#DIV/0!</v>
      </c>
      <c r="I469" s="4"/>
      <c r="J469" s="4"/>
      <c r="K469" s="4"/>
      <c r="L469" s="4" t="e">
        <f t="shared" si="24"/>
        <v>#DIV/0!</v>
      </c>
      <c r="O469" t="s">
        <v>197</v>
      </c>
      <c r="AU469" s="22" t="e">
        <f t="shared" si="25"/>
        <v>#DIV/0!</v>
      </c>
      <c r="AV469" s="11" t="s">
        <v>166</v>
      </c>
      <c r="AW469" s="38">
        <v>31.299378519892301</v>
      </c>
      <c r="AX469" s="38">
        <v>0.43547280518550702</v>
      </c>
      <c r="AY469" s="11" t="s">
        <v>191</v>
      </c>
      <c r="AZ469" s="42">
        <v>1.1304580163146299E-7</v>
      </c>
      <c r="BA469" s="42">
        <v>0.36018067088667999</v>
      </c>
      <c r="BK469" s="25" t="s">
        <v>195</v>
      </c>
    </row>
    <row r="470" spans="2:63" ht="15.6" x14ac:dyDescent="0.3">
      <c r="B470" s="11" t="s">
        <v>177</v>
      </c>
      <c r="C470" s="4" t="s">
        <v>200</v>
      </c>
      <c r="D470" s="4"/>
      <c r="E470" s="4"/>
      <c r="F470" s="55"/>
      <c r="G470" s="4"/>
      <c r="H470" s="48" t="e">
        <f t="shared" si="23"/>
        <v>#DIV/0!</v>
      </c>
      <c r="I470" s="4"/>
      <c r="J470" s="4"/>
      <c r="K470" s="4"/>
      <c r="L470" s="4" t="e">
        <f t="shared" si="24"/>
        <v>#DIV/0!</v>
      </c>
      <c r="O470" t="s">
        <v>197</v>
      </c>
      <c r="AU470" s="22" t="e">
        <f t="shared" si="25"/>
        <v>#DIV/0!</v>
      </c>
      <c r="AV470" s="11" t="s">
        <v>166</v>
      </c>
      <c r="AW470" s="38">
        <v>22.993609043826702</v>
      </c>
      <c r="AX470" s="38">
        <v>0.54009173639879604</v>
      </c>
      <c r="AY470" s="11" t="s">
        <v>191</v>
      </c>
      <c r="AZ470" s="42">
        <v>2.00343449856826E-7</v>
      </c>
      <c r="BA470" s="42">
        <v>0.55238563112383199</v>
      </c>
      <c r="BK470" s="25" t="s">
        <v>195</v>
      </c>
    </row>
    <row r="471" spans="2:63" ht="15.6" x14ac:dyDescent="0.3">
      <c r="B471" s="11" t="s">
        <v>177</v>
      </c>
      <c r="C471" s="4" t="s">
        <v>200</v>
      </c>
      <c r="D471" s="4"/>
      <c r="E471" s="4"/>
      <c r="F471" s="55"/>
      <c r="G471" s="4"/>
      <c r="H471" s="48" t="e">
        <f t="shared" si="23"/>
        <v>#DIV/0!</v>
      </c>
      <c r="I471" s="4"/>
      <c r="J471" s="4"/>
      <c r="K471" s="4"/>
      <c r="L471" s="4" t="e">
        <f t="shared" si="24"/>
        <v>#DIV/0!</v>
      </c>
      <c r="O471" t="s">
        <v>197</v>
      </c>
      <c r="AU471" s="22" t="e">
        <f t="shared" si="25"/>
        <v>#DIV/0!</v>
      </c>
      <c r="AV471" s="11" t="s">
        <v>166</v>
      </c>
      <c r="AW471" s="38">
        <v>20.325241490569098</v>
      </c>
      <c r="AX471" s="38">
        <v>1.96565137048756</v>
      </c>
      <c r="AY471" s="11" t="s">
        <v>191</v>
      </c>
      <c r="AZ471" s="42">
        <v>7.5117243893765295E-8</v>
      </c>
      <c r="BA471" s="42">
        <v>1.3136555908035801</v>
      </c>
      <c r="BK471" s="25" t="s">
        <v>195</v>
      </c>
    </row>
    <row r="472" spans="2:63" ht="15.6" x14ac:dyDescent="0.3">
      <c r="B472" s="11" t="s">
        <v>177</v>
      </c>
      <c r="C472" s="4" t="s">
        <v>200</v>
      </c>
      <c r="D472" s="4"/>
      <c r="E472" s="4"/>
      <c r="F472" s="55"/>
      <c r="G472" s="4"/>
      <c r="H472" s="48" t="e">
        <f t="shared" si="23"/>
        <v>#DIV/0!</v>
      </c>
      <c r="I472" s="4"/>
      <c r="J472" s="4"/>
      <c r="K472" s="4"/>
      <c r="L472" s="4" t="e">
        <f t="shared" si="24"/>
        <v>#DIV/0!</v>
      </c>
      <c r="O472" t="s">
        <v>197</v>
      </c>
      <c r="AU472" s="22" t="e">
        <f t="shared" si="25"/>
        <v>#DIV/0!</v>
      </c>
      <c r="AV472" s="11" t="s">
        <v>166</v>
      </c>
      <c r="AW472" s="38">
        <v>26.826957952797201</v>
      </c>
      <c r="AX472" s="38">
        <v>1.2778901026006999</v>
      </c>
      <c r="AY472" s="11" t="s">
        <v>191</v>
      </c>
      <c r="AZ472" s="42">
        <v>8.8459720358308902E-8</v>
      </c>
      <c r="BA472" s="42">
        <v>2.0189503717392498</v>
      </c>
      <c r="BK472" s="25" t="s">
        <v>195</v>
      </c>
    </row>
    <row r="473" spans="2:63" ht="15.6" x14ac:dyDescent="0.3">
      <c r="B473" s="11" t="s">
        <v>177</v>
      </c>
      <c r="C473" s="4" t="s">
        <v>200</v>
      </c>
      <c r="D473" s="4"/>
      <c r="E473" s="4"/>
      <c r="F473" s="55"/>
      <c r="G473" s="4"/>
      <c r="H473" s="48" t="e">
        <f t="shared" si="23"/>
        <v>#DIV/0!</v>
      </c>
      <c r="I473" s="4"/>
      <c r="J473" s="4"/>
      <c r="K473" s="4"/>
      <c r="L473" s="4" t="e">
        <f t="shared" si="24"/>
        <v>#DIV/0!</v>
      </c>
      <c r="O473" t="s">
        <v>197</v>
      </c>
      <c r="AU473" s="22" t="e">
        <f t="shared" si="25"/>
        <v>#DIV/0!</v>
      </c>
      <c r="AV473" s="11" t="s">
        <v>166</v>
      </c>
      <c r="AW473" s="38">
        <v>31.299378519892301</v>
      </c>
      <c r="AX473" s="38">
        <v>1.7028203479725601</v>
      </c>
      <c r="AY473" s="11" t="s">
        <v>191</v>
      </c>
      <c r="AZ473" s="42">
        <v>1.7012542798525899E-7</v>
      </c>
      <c r="BA473" s="42">
        <v>1.6223468222279001</v>
      </c>
      <c r="BK473" s="25" t="s">
        <v>195</v>
      </c>
    </row>
    <row r="474" spans="2:63" ht="15.6" x14ac:dyDescent="0.3">
      <c r="B474" s="11" t="s">
        <v>177</v>
      </c>
      <c r="C474" s="4" t="s">
        <v>200</v>
      </c>
      <c r="D474" s="4"/>
      <c r="E474" s="4"/>
      <c r="F474" s="55"/>
      <c r="G474" s="4"/>
      <c r="H474" s="48" t="e">
        <f t="shared" si="23"/>
        <v>#DIV/0!</v>
      </c>
      <c r="I474" s="4"/>
      <c r="J474" s="4"/>
      <c r="K474" s="4"/>
      <c r="L474" s="4" t="e">
        <f t="shared" si="24"/>
        <v>#DIV/0!</v>
      </c>
      <c r="O474" t="s">
        <v>197</v>
      </c>
      <c r="AU474" s="22" t="e">
        <f t="shared" si="25"/>
        <v>#DIV/0!</v>
      </c>
      <c r="AV474" s="11" t="s">
        <v>166</v>
      </c>
      <c r="AW474" s="38">
        <v>41.311544164995098</v>
      </c>
      <c r="AX474" s="38">
        <v>1.58489319246111</v>
      </c>
      <c r="AY474" s="11" t="s">
        <v>191</v>
      </c>
      <c r="AZ474" s="42">
        <v>3.2718463420339302E-7</v>
      </c>
      <c r="BA474" s="42">
        <v>1.8664051199904701</v>
      </c>
      <c r="BK474" s="25" t="s">
        <v>195</v>
      </c>
    </row>
    <row r="475" spans="2:63" ht="15.6" x14ac:dyDescent="0.3">
      <c r="B475" s="11" t="s">
        <v>177</v>
      </c>
      <c r="C475" s="4" t="s">
        <v>200</v>
      </c>
      <c r="D475" s="4"/>
      <c r="E475" s="4"/>
      <c r="F475" s="55"/>
      <c r="G475" s="4"/>
      <c r="H475" s="48" t="e">
        <f t="shared" si="23"/>
        <v>#DIV/0!</v>
      </c>
      <c r="I475" s="4"/>
      <c r="J475" s="4"/>
      <c r="K475" s="4"/>
      <c r="L475" s="4" t="e">
        <f t="shared" si="24"/>
        <v>#DIV/0!</v>
      </c>
      <c r="O475" t="s">
        <v>197</v>
      </c>
      <c r="AU475" s="22" t="e">
        <f t="shared" si="25"/>
        <v>#DIV/0!</v>
      </c>
      <c r="AV475" s="11" t="s">
        <v>166</v>
      </c>
      <c r="AW475" s="38">
        <v>40.057013926518202</v>
      </c>
      <c r="AX475" s="38">
        <v>2.61927934481563</v>
      </c>
      <c r="AY475" s="11" t="s">
        <v>191</v>
      </c>
      <c r="AZ475" s="42">
        <v>4.53737562564706E-7</v>
      </c>
      <c r="BA475" s="42">
        <v>2.3108655958269502</v>
      </c>
      <c r="BK475" s="25" t="s">
        <v>195</v>
      </c>
    </row>
    <row r="476" spans="2:63" ht="15.6" x14ac:dyDescent="0.3">
      <c r="B476" s="11" t="s">
        <v>177</v>
      </c>
      <c r="C476" s="4" t="s">
        <v>200</v>
      </c>
      <c r="D476" s="4"/>
      <c r="E476" s="4"/>
      <c r="F476" s="55"/>
      <c r="G476" s="4"/>
      <c r="H476" s="48" t="e">
        <f t="shared" si="23"/>
        <v>#DIV/0!</v>
      </c>
      <c r="I476" s="4"/>
      <c r="J476" s="4"/>
      <c r="K476" s="4"/>
      <c r="L476" s="4" t="e">
        <f t="shared" si="24"/>
        <v>#DIV/0!</v>
      </c>
      <c r="O476" t="s">
        <v>197</v>
      </c>
      <c r="AU476" s="22" t="e">
        <f t="shared" si="25"/>
        <v>#DIV/0!</v>
      </c>
      <c r="AV476" s="11" t="s">
        <v>166</v>
      </c>
      <c r="AW476" s="38">
        <v>33.290585129724697</v>
      </c>
      <c r="AX476" s="38">
        <v>6.1973752329639096</v>
      </c>
      <c r="AY476" s="11" t="s">
        <v>191</v>
      </c>
      <c r="AZ476" s="42">
        <v>2.00343449856826E-7</v>
      </c>
      <c r="BA476" s="42">
        <v>5.4909181555364404</v>
      </c>
      <c r="BK476" s="25" t="s">
        <v>195</v>
      </c>
    </row>
    <row r="477" spans="2:63" ht="15.6" x14ac:dyDescent="0.3">
      <c r="B477" s="11" t="s">
        <v>177</v>
      </c>
      <c r="C477" s="4" t="s">
        <v>200</v>
      </c>
      <c r="D477" s="4"/>
      <c r="E477" s="4"/>
      <c r="F477" s="55"/>
      <c r="G477" s="4"/>
      <c r="H477" s="48" t="e">
        <f t="shared" si="23"/>
        <v>#DIV/0!</v>
      </c>
      <c r="I477" s="4"/>
      <c r="J477" s="4"/>
      <c r="K477" s="4"/>
      <c r="L477" s="4" t="e">
        <f t="shared" si="24"/>
        <v>#DIV/0!</v>
      </c>
      <c r="O477" t="s">
        <v>197</v>
      </c>
      <c r="AU477" s="22" t="e">
        <f t="shared" si="25"/>
        <v>#DIV/0!</v>
      </c>
      <c r="AV477" s="11" t="s">
        <v>166</v>
      </c>
      <c r="AW477" s="38">
        <v>42.605364554308998</v>
      </c>
      <c r="AX477" s="38">
        <v>8.2581566515266598</v>
      </c>
      <c r="AY477" s="11" t="s">
        <v>191</v>
      </c>
      <c r="AZ477" s="42">
        <v>2.7783501763512201E-7</v>
      </c>
      <c r="BA477" s="42">
        <v>5.8894681539347502</v>
      </c>
      <c r="BK477" s="25" t="s">
        <v>195</v>
      </c>
    </row>
    <row r="478" spans="2:63" ht="15.6" x14ac:dyDescent="0.3">
      <c r="B478" s="11" t="s">
        <v>177</v>
      </c>
      <c r="C478" s="4" t="s">
        <v>200</v>
      </c>
      <c r="D478" s="4"/>
      <c r="E478" s="4"/>
      <c r="F478" s="55"/>
      <c r="G478" s="4"/>
      <c r="H478" s="48" t="e">
        <f t="shared" si="23"/>
        <v>#DIV/0!</v>
      </c>
      <c r="I478" s="4"/>
      <c r="J478" s="4"/>
      <c r="K478" s="4"/>
      <c r="L478" s="4" t="e">
        <f t="shared" si="24"/>
        <v>#DIV/0!</v>
      </c>
      <c r="O478" t="s">
        <v>197</v>
      </c>
      <c r="AU478" s="22" t="e">
        <f t="shared" si="25"/>
        <v>#DIV/0!</v>
      </c>
      <c r="AV478" s="11" t="s">
        <v>166</v>
      </c>
      <c r="AW478" s="38">
        <v>46.735065655551203</v>
      </c>
      <c r="AX478" s="38">
        <v>14.663369088209199</v>
      </c>
      <c r="AY478" s="11" t="s">
        <v>191</v>
      </c>
      <c r="AZ478" s="42">
        <v>3.2718463420339302E-7</v>
      </c>
      <c r="BA478" s="42">
        <v>8.4246403869729907</v>
      </c>
      <c r="BK478" s="25" t="s">
        <v>195</v>
      </c>
    </row>
    <row r="479" spans="2:63" ht="15.6" x14ac:dyDescent="0.3">
      <c r="B479" s="11" t="s">
        <v>177</v>
      </c>
      <c r="C479" s="4" t="s">
        <v>200</v>
      </c>
      <c r="D479" s="4"/>
      <c r="E479" s="4"/>
      <c r="F479" s="55"/>
      <c r="G479" s="4"/>
      <c r="H479" s="48" t="e">
        <f t="shared" ref="H479:H542" si="26">((J479)*1000)/G479</f>
        <v>#DIV/0!</v>
      </c>
      <c r="I479" s="4"/>
      <c r="J479" s="4"/>
      <c r="K479" s="4"/>
      <c r="L479" s="4" t="e">
        <f t="shared" si="24"/>
        <v>#DIV/0!</v>
      </c>
      <c r="O479" t="s">
        <v>197</v>
      </c>
      <c r="AU479" s="22" t="e">
        <f t="shared" si="25"/>
        <v>#DIV/0!</v>
      </c>
      <c r="AV479" s="11" t="s">
        <v>166</v>
      </c>
      <c r="AW479" s="38">
        <v>19.1095297497044</v>
      </c>
      <c r="AX479" s="38">
        <v>5.3687122798864602</v>
      </c>
      <c r="AY479" s="11" t="s">
        <v>191</v>
      </c>
      <c r="AZ479" s="42">
        <v>6.8284090085858698E-7</v>
      </c>
      <c r="BA479" s="42">
        <v>5.07819852431476</v>
      </c>
      <c r="BK479" s="25" t="s">
        <v>195</v>
      </c>
    </row>
    <row r="480" spans="2:63" ht="15.6" x14ac:dyDescent="0.3">
      <c r="B480" s="11" t="s">
        <v>177</v>
      </c>
      <c r="C480" s="4" t="s">
        <v>200</v>
      </c>
      <c r="D480" s="4"/>
      <c r="E480" s="4"/>
      <c r="F480" s="55"/>
      <c r="G480" s="4"/>
      <c r="H480" s="48" t="e">
        <f t="shared" si="26"/>
        <v>#DIV/0!</v>
      </c>
      <c r="I480" s="4"/>
      <c r="J480" s="4"/>
      <c r="K480" s="4"/>
      <c r="L480" s="4" t="e">
        <f t="shared" si="24"/>
        <v>#DIV/0!</v>
      </c>
      <c r="O480" t="s">
        <v>197</v>
      </c>
      <c r="AU480" s="22" t="e">
        <f t="shared" si="25"/>
        <v>#DIV/0!</v>
      </c>
      <c r="AV480" s="11" t="s">
        <v>166</v>
      </c>
      <c r="AW480" s="38">
        <v>19.1095297497044</v>
      </c>
      <c r="AX480" s="38">
        <v>7.6862461003977396</v>
      </c>
      <c r="AY480" s="11" t="s">
        <v>191</v>
      </c>
      <c r="AZ480" s="42">
        <v>1.54649710882227E-6</v>
      </c>
      <c r="BA480" s="42">
        <v>8.35693806601906</v>
      </c>
      <c r="BK480" s="25" t="s">
        <v>195</v>
      </c>
    </row>
    <row r="481" spans="2:63" ht="15.6" x14ac:dyDescent="0.3">
      <c r="B481" s="11" t="s">
        <v>177</v>
      </c>
      <c r="C481" s="4" t="s">
        <v>200</v>
      </c>
      <c r="D481" s="4"/>
      <c r="E481" s="4"/>
      <c r="F481" s="55"/>
      <c r="G481" s="4"/>
      <c r="H481" s="48" t="e">
        <f t="shared" si="26"/>
        <v>#DIV/0!</v>
      </c>
      <c r="I481" s="4"/>
      <c r="J481" s="4"/>
      <c r="K481" s="4"/>
      <c r="L481" s="4" t="e">
        <f t="shared" si="24"/>
        <v>#DIV/0!</v>
      </c>
      <c r="O481" t="s">
        <v>197</v>
      </c>
      <c r="AU481" s="22" t="e">
        <f t="shared" si="25"/>
        <v>#DIV/0!</v>
      </c>
      <c r="AV481" s="11" t="s">
        <v>166</v>
      </c>
      <c r="AW481" s="38">
        <v>24.456418482131401</v>
      </c>
      <c r="AX481" s="38">
        <v>19.539304046896099</v>
      </c>
      <c r="AY481" s="11" t="s">
        <v>191</v>
      </c>
      <c r="AZ481" s="42">
        <v>1.4251026703029899E-6</v>
      </c>
      <c r="BA481" s="42">
        <v>18.411482411716701</v>
      </c>
      <c r="BK481" s="25" t="s">
        <v>195</v>
      </c>
    </row>
    <row r="482" spans="2:63" ht="15.6" x14ac:dyDescent="0.3">
      <c r="B482" s="11" t="s">
        <v>177</v>
      </c>
      <c r="C482" s="4" t="s">
        <v>200</v>
      </c>
      <c r="D482" s="4"/>
      <c r="E482" s="4"/>
      <c r="F482" s="55"/>
      <c r="G482" s="4"/>
      <c r="H482" s="48" t="e">
        <f t="shared" si="26"/>
        <v>#DIV/0!</v>
      </c>
      <c r="I482" s="4"/>
      <c r="J482" s="4"/>
      <c r="K482" s="4"/>
      <c r="L482" s="4" t="e">
        <f t="shared" si="24"/>
        <v>#DIV/0!</v>
      </c>
      <c r="O482" t="s">
        <v>197</v>
      </c>
      <c r="AU482" s="22" t="e">
        <f t="shared" si="25"/>
        <v>#DIV/0!</v>
      </c>
      <c r="AV482" s="11" t="s">
        <v>166</v>
      </c>
      <c r="AW482" s="38">
        <v>28.533637718446801</v>
      </c>
      <c r="AX482" s="38">
        <v>34.694428678997198</v>
      </c>
      <c r="AY482" s="11" t="s">
        <v>191</v>
      </c>
      <c r="AZ482" s="42">
        <v>6.8284090085858402E-7</v>
      </c>
      <c r="BA482" s="42">
        <v>30.544319519435</v>
      </c>
      <c r="BK482" s="25" t="s">
        <v>195</v>
      </c>
    </row>
    <row r="483" spans="2:63" ht="15.6" x14ac:dyDescent="0.3">
      <c r="B483" s="11" t="s">
        <v>177</v>
      </c>
      <c r="C483" s="4" t="s">
        <v>200</v>
      </c>
      <c r="D483" s="4"/>
      <c r="E483" s="4"/>
      <c r="F483" s="55"/>
      <c r="G483" s="4"/>
      <c r="H483" s="48" t="e">
        <f t="shared" si="26"/>
        <v>#DIV/0!</v>
      </c>
      <c r="I483" s="4"/>
      <c r="J483" s="4"/>
      <c r="K483" s="4"/>
      <c r="L483" s="4" t="e">
        <f t="shared" si="24"/>
        <v>#DIV/0!</v>
      </c>
      <c r="O483" t="s">
        <v>197</v>
      </c>
      <c r="AU483" s="22" t="e">
        <f t="shared" si="25"/>
        <v>#DIV/0!</v>
      </c>
      <c r="AV483" s="11" t="s">
        <v>166</v>
      </c>
      <c r="AW483" s="38">
        <v>27.667141148176501</v>
      </c>
      <c r="AX483" s="38">
        <v>43.029493473470801</v>
      </c>
      <c r="AY483" s="11" t="s">
        <v>191</v>
      </c>
      <c r="AZ483" s="42">
        <v>3.55055184016348E-7</v>
      </c>
      <c r="BA483" s="42">
        <v>24.711517081300801</v>
      </c>
      <c r="BK483" s="25" t="s">
        <v>195</v>
      </c>
    </row>
    <row r="484" spans="2:63" ht="15.6" x14ac:dyDescent="0.3">
      <c r="B484" s="11" t="s">
        <v>177</v>
      </c>
      <c r="C484" s="4" t="s">
        <v>200</v>
      </c>
      <c r="D484" s="4"/>
      <c r="E484" s="4"/>
      <c r="F484" s="55"/>
      <c r="G484" s="4"/>
      <c r="H484" s="48" t="e">
        <f t="shared" si="26"/>
        <v>#DIV/0!</v>
      </c>
      <c r="I484" s="4"/>
      <c r="J484" s="4"/>
      <c r="K484" s="4"/>
      <c r="L484" s="4" t="e">
        <f t="shared" si="24"/>
        <v>#DIV/0!</v>
      </c>
      <c r="O484" t="s">
        <v>197</v>
      </c>
      <c r="AU484" s="22" t="e">
        <f t="shared" si="25"/>
        <v>#DIV/0!</v>
      </c>
      <c r="AV484" s="11" t="s">
        <v>166</v>
      </c>
      <c r="AW484" s="38">
        <v>19.7080137744511</v>
      </c>
      <c r="AX484" s="38">
        <v>46.231189204490498</v>
      </c>
      <c r="AY484" s="11" t="s">
        <v>191</v>
      </c>
      <c r="AZ484" s="42">
        <v>1.4251026703029899E-6</v>
      </c>
      <c r="BA484" s="42">
        <v>43.562694191579901</v>
      </c>
      <c r="BK484" s="25" t="s">
        <v>195</v>
      </c>
    </row>
    <row r="485" spans="2:63" ht="15.6" x14ac:dyDescent="0.3">
      <c r="B485" s="11" t="s">
        <v>177</v>
      </c>
      <c r="C485" s="4" t="s">
        <v>200</v>
      </c>
      <c r="D485" s="4"/>
      <c r="E485" s="4"/>
      <c r="F485" s="55"/>
      <c r="G485" s="4"/>
      <c r="H485" s="48" t="e">
        <f t="shared" si="26"/>
        <v>#DIV/0!</v>
      </c>
      <c r="I485" s="4"/>
      <c r="J485" s="4"/>
      <c r="K485" s="4"/>
      <c r="L485" s="4" t="e">
        <f t="shared" si="24"/>
        <v>#DIV/0!</v>
      </c>
      <c r="O485" t="s">
        <v>197</v>
      </c>
      <c r="AU485" s="22" t="e">
        <f t="shared" si="25"/>
        <v>#DIV/0!</v>
      </c>
      <c r="AV485" s="11" t="s">
        <v>166</v>
      </c>
      <c r="AW485" s="38">
        <v>15.881548936437101</v>
      </c>
      <c r="AX485" s="38">
        <v>37.275937203149503</v>
      </c>
      <c r="AY485" s="11" t="s">
        <v>191</v>
      </c>
      <c r="AZ485" s="42">
        <v>4.2385658519833401E-8</v>
      </c>
      <c r="BA485" s="42">
        <v>0.482401776854465</v>
      </c>
      <c r="BK485" s="25" t="s">
        <v>195</v>
      </c>
    </row>
    <row r="486" spans="2:63" ht="15.6" x14ac:dyDescent="0.3">
      <c r="B486" s="11" t="s">
        <v>177</v>
      </c>
      <c r="C486" s="4" t="s">
        <v>200</v>
      </c>
      <c r="D486" s="4"/>
      <c r="E486" s="4"/>
      <c r="F486" s="55"/>
      <c r="G486" s="4"/>
      <c r="H486" s="48" t="e">
        <f t="shared" si="26"/>
        <v>#DIV/0!</v>
      </c>
      <c r="I486" s="4"/>
      <c r="J486" s="4"/>
      <c r="K486" s="4"/>
      <c r="L486" s="4" t="e">
        <f t="shared" si="24"/>
        <v>#DIV/0!</v>
      </c>
      <c r="O486" t="s">
        <v>197</v>
      </c>
      <c r="AU486" s="22" t="e">
        <f t="shared" si="25"/>
        <v>#DIV/0!</v>
      </c>
      <c r="AV486" s="11" t="s">
        <v>166</v>
      </c>
      <c r="AW486" s="38">
        <v>13.612207835766201</v>
      </c>
      <c r="AX486" s="38">
        <v>26.036608663423898</v>
      </c>
      <c r="AY486" s="11" t="s">
        <v>191</v>
      </c>
      <c r="AZ486" s="42">
        <v>2.8164635950054501E-8</v>
      </c>
      <c r="BA486" s="42">
        <v>0.59956675934339299</v>
      </c>
      <c r="BK486" s="25" t="s">
        <v>195</v>
      </c>
    </row>
    <row r="487" spans="2:63" ht="15.6" x14ac:dyDescent="0.3">
      <c r="B487" s="11" t="s">
        <v>177</v>
      </c>
      <c r="C487" s="4" t="s">
        <v>200</v>
      </c>
      <c r="D487" s="4"/>
      <c r="E487" s="4"/>
      <c r="F487" s="55"/>
      <c r="G487" s="4"/>
      <c r="H487" s="48" t="e">
        <f t="shared" si="26"/>
        <v>#DIV/0!</v>
      </c>
      <c r="I487" s="4"/>
      <c r="J487" s="4"/>
      <c r="K487" s="4"/>
      <c r="L487" s="4" t="e">
        <f t="shared" si="24"/>
        <v>#DIV/0!</v>
      </c>
      <c r="O487" t="s">
        <v>197</v>
      </c>
      <c r="AU487" s="22" t="e">
        <f t="shared" si="25"/>
        <v>#DIV/0!</v>
      </c>
      <c r="AV487" s="11" t="s">
        <v>166</v>
      </c>
      <c r="AW487" s="38">
        <v>14.9316273567057</v>
      </c>
      <c r="AX487" s="38">
        <v>66.187994292605694</v>
      </c>
      <c r="AY487" s="11" t="s">
        <v>191</v>
      </c>
      <c r="AZ487" s="42">
        <v>3.0563782508758003E-8</v>
      </c>
      <c r="BA487" s="42">
        <v>7.38860087491366</v>
      </c>
      <c r="BK487" s="25" t="s">
        <v>195</v>
      </c>
    </row>
    <row r="488" spans="2:63" ht="15.6" x14ac:dyDescent="0.3">
      <c r="B488" s="11" t="s">
        <v>177</v>
      </c>
      <c r="C488" s="4" t="s">
        <v>200</v>
      </c>
      <c r="D488" s="4"/>
      <c r="E488" s="4"/>
      <c r="F488" s="55"/>
      <c r="G488" s="4"/>
      <c r="H488" s="48" t="e">
        <f t="shared" si="26"/>
        <v>#DIV/0!</v>
      </c>
      <c r="I488" s="4"/>
      <c r="J488" s="4"/>
      <c r="K488" s="4"/>
      <c r="L488" s="4" t="e">
        <f t="shared" si="24"/>
        <v>#DIV/0!</v>
      </c>
      <c r="O488" t="s">
        <v>197</v>
      </c>
      <c r="AU488" s="22" t="e">
        <f t="shared" si="25"/>
        <v>#DIV/0!</v>
      </c>
      <c r="AV488" s="11" t="s">
        <v>166</v>
      </c>
      <c r="AW488" s="38">
        <v>14.038523346296399</v>
      </c>
      <c r="AX488" s="38">
        <v>101.810415016364</v>
      </c>
      <c r="AY488" s="11" t="s">
        <v>191</v>
      </c>
      <c r="AZ488" s="42">
        <v>1.87149792146773E-8</v>
      </c>
      <c r="BA488" s="42">
        <v>7.95861734215136</v>
      </c>
      <c r="BK488" s="25" t="s">
        <v>195</v>
      </c>
    </row>
    <row r="489" spans="2:63" ht="15.6" x14ac:dyDescent="0.3">
      <c r="B489" s="11" t="s">
        <v>177</v>
      </c>
      <c r="C489" s="4" t="s">
        <v>200</v>
      </c>
      <c r="D489" s="4"/>
      <c r="E489" s="4"/>
      <c r="F489" s="55"/>
      <c r="G489" s="4"/>
      <c r="H489" s="48" t="e">
        <f t="shared" si="26"/>
        <v>#DIV/0!</v>
      </c>
      <c r="I489" s="4"/>
      <c r="J489" s="4"/>
      <c r="K489" s="4"/>
      <c r="L489" s="4" t="e">
        <f t="shared" si="24"/>
        <v>#DIV/0!</v>
      </c>
      <c r="O489" t="s">
        <v>197</v>
      </c>
      <c r="AU489" s="22" t="e">
        <f t="shared" si="25"/>
        <v>#DIV/0!</v>
      </c>
      <c r="AV489" s="11" t="s">
        <v>166</v>
      </c>
      <c r="AW489" s="38">
        <v>6.6971936555254397</v>
      </c>
      <c r="AX489" s="38">
        <v>6.65850336218862</v>
      </c>
      <c r="AY489" s="11" t="s">
        <v>191</v>
      </c>
      <c r="AZ489" s="42">
        <v>1.87149792146773E-8</v>
      </c>
      <c r="BA489" s="42">
        <v>26.9592467549028</v>
      </c>
      <c r="BK489" s="25" t="s">
        <v>195</v>
      </c>
    </row>
    <row r="490" spans="2:63" ht="15.6" x14ac:dyDescent="0.3">
      <c r="B490" s="11" t="s">
        <v>177</v>
      </c>
      <c r="C490" s="4" t="s">
        <v>200</v>
      </c>
      <c r="D490" s="4"/>
      <c r="E490" s="4"/>
      <c r="F490" s="55"/>
      <c r="G490" s="4"/>
      <c r="H490" s="48" t="e">
        <f t="shared" si="26"/>
        <v>#DIV/0!</v>
      </c>
      <c r="I490" s="4"/>
      <c r="J490" s="4"/>
      <c r="K490" s="4"/>
      <c r="L490" s="4" t="e">
        <f t="shared" si="24"/>
        <v>#DIV/0!</v>
      </c>
      <c r="O490" t="s">
        <v>197</v>
      </c>
      <c r="AU490" s="22" t="e">
        <f t="shared" si="25"/>
        <v>#DIV/0!</v>
      </c>
      <c r="AV490" s="11" t="s">
        <v>166</v>
      </c>
      <c r="AW490" s="38">
        <v>5.2329911468149497</v>
      </c>
      <c r="AX490" s="38">
        <v>7.6862461003977396</v>
      </c>
      <c r="AY490" s="11" t="s">
        <v>191</v>
      </c>
      <c r="AZ490" s="42">
        <v>5.4166130365818798E-8</v>
      </c>
      <c r="BA490" s="42">
        <v>23.225896642244098</v>
      </c>
      <c r="BK490" s="25" t="s">
        <v>195</v>
      </c>
    </row>
    <row r="491" spans="2:63" ht="15.6" x14ac:dyDescent="0.3">
      <c r="B491" s="11" t="s">
        <v>177</v>
      </c>
      <c r="C491" s="4" t="s">
        <v>200</v>
      </c>
      <c r="D491" s="4"/>
      <c r="E491" s="4"/>
      <c r="F491" s="55"/>
      <c r="G491" s="4"/>
      <c r="H491" s="48" t="e">
        <f t="shared" si="26"/>
        <v>#DIV/0!</v>
      </c>
      <c r="I491" s="4"/>
      <c r="J491" s="4"/>
      <c r="K491" s="4"/>
      <c r="L491" s="4" t="e">
        <f t="shared" si="24"/>
        <v>#DIV/0!</v>
      </c>
      <c r="O491" t="s">
        <v>197</v>
      </c>
      <c r="AU491" s="22" t="e">
        <f t="shared" si="25"/>
        <v>#DIV/0!</v>
      </c>
      <c r="AV491" s="11" t="s">
        <v>166</v>
      </c>
      <c r="AW491" s="38">
        <v>4.7705826961439399</v>
      </c>
      <c r="AX491" s="38">
        <v>26.036608663423799</v>
      </c>
      <c r="AY491" s="11" t="s">
        <v>191</v>
      </c>
      <c r="AZ491" s="42">
        <v>4.1812080238557002E-7</v>
      </c>
      <c r="BA491" s="42">
        <v>159.558577846303</v>
      </c>
      <c r="BK491" s="25" t="s">
        <v>195</v>
      </c>
    </row>
    <row r="492" spans="2:63" ht="15.6" x14ac:dyDescent="0.3">
      <c r="B492" s="11" t="s">
        <v>177</v>
      </c>
      <c r="C492" s="4" t="s">
        <v>200</v>
      </c>
      <c r="D492" s="4"/>
      <c r="E492" s="4"/>
      <c r="F492" s="55"/>
      <c r="G492" s="4"/>
      <c r="H492" s="48" t="e">
        <f t="shared" si="26"/>
        <v>#DIV/0!</v>
      </c>
      <c r="I492" s="4"/>
      <c r="J492" s="4"/>
      <c r="K492" s="4"/>
      <c r="L492" s="4" t="e">
        <f t="shared" si="24"/>
        <v>#DIV/0!</v>
      </c>
      <c r="O492" t="s">
        <v>197</v>
      </c>
      <c r="AU492" s="22" t="e">
        <f t="shared" si="25"/>
        <v>#DIV/0!</v>
      </c>
      <c r="AV492" s="11" t="s">
        <v>166</v>
      </c>
      <c r="AW492" s="38">
        <v>2.7384196342643499</v>
      </c>
      <c r="AX492" s="38">
        <v>30.055369941428498</v>
      </c>
      <c r="AY492" s="11" t="s">
        <v>191</v>
      </c>
      <c r="AZ492" s="42">
        <v>1.67823228279206E-6</v>
      </c>
      <c r="BA492" s="42">
        <v>66.951275697957001</v>
      </c>
      <c r="BK492" s="25" t="s">
        <v>195</v>
      </c>
    </row>
    <row r="493" spans="2:63" ht="15.6" x14ac:dyDescent="0.3">
      <c r="B493" s="11" t="s">
        <v>177</v>
      </c>
      <c r="C493" s="4" t="s">
        <v>200</v>
      </c>
      <c r="D493" s="4"/>
      <c r="E493" s="4"/>
      <c r="F493" s="55"/>
      <c r="G493" s="4"/>
      <c r="H493" s="48" t="e">
        <f t="shared" si="26"/>
        <v>#DIV/0!</v>
      </c>
      <c r="I493" s="4"/>
      <c r="J493" s="4"/>
      <c r="K493" s="4"/>
      <c r="L493" s="4" t="e">
        <f t="shared" si="24"/>
        <v>#DIV/0!</v>
      </c>
      <c r="O493" t="s">
        <v>197</v>
      </c>
      <c r="AU493" s="22" t="e">
        <f t="shared" si="25"/>
        <v>#DIV/0!</v>
      </c>
      <c r="AV493" s="11" t="s">
        <v>166</v>
      </c>
      <c r="AW493" s="38">
        <v>5.0740780448223797</v>
      </c>
      <c r="AX493" s="38">
        <v>168.25734277107301</v>
      </c>
      <c r="AY493" s="11" t="s">
        <v>191</v>
      </c>
      <c r="AZ493" s="42">
        <v>1.9763232879260699E-6</v>
      </c>
      <c r="BA493" s="42">
        <v>95.771028293537995</v>
      </c>
      <c r="BK493" s="25" t="s">
        <v>195</v>
      </c>
    </row>
    <row r="494" spans="2:63" ht="15.6" x14ac:dyDescent="0.3">
      <c r="B494" s="11" t="s">
        <v>177</v>
      </c>
      <c r="C494" s="4" t="s">
        <v>200</v>
      </c>
      <c r="D494" s="4"/>
      <c r="E494" s="4"/>
      <c r="F494" s="55"/>
      <c r="G494" s="4"/>
      <c r="H494" s="48" t="e">
        <f t="shared" si="26"/>
        <v>#DIV/0!</v>
      </c>
      <c r="I494" s="4"/>
      <c r="J494" s="4"/>
      <c r="K494" s="4"/>
      <c r="L494" s="4" t="e">
        <f t="shared" si="24"/>
        <v>#DIV/0!</v>
      </c>
      <c r="O494" t="s">
        <v>197</v>
      </c>
      <c r="AU494" s="22" t="e">
        <f t="shared" si="25"/>
        <v>#DIV/0!</v>
      </c>
      <c r="AV494" s="11" t="s">
        <v>166</v>
      </c>
      <c r="AW494" s="38">
        <v>8.8395177337443709</v>
      </c>
      <c r="AX494" s="38">
        <v>370.53664835015098</v>
      </c>
      <c r="AY494" s="11" t="s">
        <v>191</v>
      </c>
      <c r="AZ494" s="42">
        <v>2.7407525224610401E-6</v>
      </c>
      <c r="BA494" s="42">
        <v>37.609851743569997</v>
      </c>
      <c r="BK494" s="25" t="s">
        <v>195</v>
      </c>
    </row>
    <row r="495" spans="2:63" ht="15.6" x14ac:dyDescent="0.3">
      <c r="B495" s="11" t="s">
        <v>177</v>
      </c>
      <c r="C495" s="4" t="s">
        <v>200</v>
      </c>
      <c r="D495" s="4"/>
      <c r="E495" s="4"/>
      <c r="F495" s="55"/>
      <c r="G495" s="4"/>
      <c r="H495" s="48" t="e">
        <f t="shared" si="26"/>
        <v>#DIV/0!</v>
      </c>
      <c r="I495" s="4"/>
      <c r="J495" s="4"/>
      <c r="K495" s="4"/>
      <c r="L495" s="4" t="e">
        <f t="shared" si="24"/>
        <v>#DIV/0!</v>
      </c>
      <c r="O495" t="s">
        <v>197</v>
      </c>
      <c r="AU495" s="22" t="e">
        <f t="shared" si="25"/>
        <v>#DIV/0!</v>
      </c>
      <c r="AV495" s="11" t="s">
        <v>166</v>
      </c>
      <c r="AW495" s="38">
        <v>14.9316273567057</v>
      </c>
      <c r="AX495" s="38">
        <v>370.53664835015297</v>
      </c>
      <c r="AY495" s="11" t="s">
        <v>191</v>
      </c>
      <c r="AZ495" s="42">
        <v>3.8008581061954098E-6</v>
      </c>
      <c r="BA495" s="42">
        <v>53.753661668435498</v>
      </c>
      <c r="BK495" s="25" t="s">
        <v>195</v>
      </c>
    </row>
    <row r="496" spans="2:63" ht="15.6" x14ac:dyDescent="0.3">
      <c r="B496" s="11" t="s">
        <v>177</v>
      </c>
      <c r="C496" s="4" t="s">
        <v>200</v>
      </c>
      <c r="D496" s="4"/>
      <c r="E496" s="4"/>
      <c r="F496" s="55"/>
      <c r="G496" s="4"/>
      <c r="H496" s="48" t="e">
        <f t="shared" si="26"/>
        <v>#DIV/0!</v>
      </c>
      <c r="I496" s="4"/>
      <c r="J496" s="4"/>
      <c r="K496" s="4"/>
      <c r="L496" s="4" t="e">
        <f t="shared" si="24"/>
        <v>#DIV/0!</v>
      </c>
      <c r="O496" t="s">
        <v>197</v>
      </c>
      <c r="AU496" s="22" t="e">
        <f t="shared" si="25"/>
        <v>#DIV/0!</v>
      </c>
      <c r="AV496" s="11" t="s">
        <v>166</v>
      </c>
      <c r="AW496" s="38">
        <v>15.3992652605949</v>
      </c>
      <c r="AX496" s="38">
        <v>815.99652953849102</v>
      </c>
      <c r="AY496" s="11" t="s">
        <v>191</v>
      </c>
      <c r="AZ496" s="42">
        <v>4.1246263829013401E-6</v>
      </c>
      <c r="BA496" s="42">
        <v>0.54377398663593701</v>
      </c>
      <c r="BK496" s="25" t="s">
        <v>195</v>
      </c>
    </row>
    <row r="497" spans="2:63" ht="15.6" x14ac:dyDescent="0.3">
      <c r="B497" s="11" t="s">
        <v>177</v>
      </c>
      <c r="C497" s="4" t="s">
        <v>200</v>
      </c>
      <c r="D497" s="4"/>
      <c r="E497" s="4"/>
      <c r="F497" s="55"/>
      <c r="G497" s="4"/>
      <c r="H497" s="48" t="e">
        <f t="shared" si="26"/>
        <v>#DIV/0!</v>
      </c>
      <c r="I497" s="4"/>
      <c r="J497" s="4"/>
      <c r="K497" s="4"/>
      <c r="L497" s="4" t="e">
        <f t="shared" si="24"/>
        <v>#DIV/0!</v>
      </c>
      <c r="O497" t="s">
        <v>197</v>
      </c>
      <c r="AU497" s="22" t="e">
        <f t="shared" si="25"/>
        <v>#DIV/0!</v>
      </c>
      <c r="AV497" s="11" t="s">
        <v>166</v>
      </c>
      <c r="AW497" s="38">
        <v>10.969291342637799</v>
      </c>
      <c r="AX497" s="38">
        <v>876.71238729687195</v>
      </c>
      <c r="AY497" s="11" t="s">
        <v>191</v>
      </c>
      <c r="AZ497" s="42">
        <v>2.97421788640827E-6</v>
      </c>
      <c r="BA497" s="42">
        <v>323.72938749899498</v>
      </c>
      <c r="BK497" s="25" t="s">
        <v>195</v>
      </c>
    </row>
    <row r="498" spans="2:63" ht="15.6" x14ac:dyDescent="0.3">
      <c r="B498" s="11" t="s">
        <v>177</v>
      </c>
      <c r="C498" s="4" t="s">
        <v>200</v>
      </c>
      <c r="D498" s="4"/>
      <c r="E498" s="4"/>
      <c r="F498" s="55"/>
      <c r="G498" s="4"/>
      <c r="H498" s="48" t="e">
        <f t="shared" si="26"/>
        <v>#DIV/0!</v>
      </c>
      <c r="I498" s="4"/>
      <c r="J498" s="4"/>
      <c r="K498" s="4"/>
      <c r="L498" s="4" t="e">
        <f t="shared" si="24"/>
        <v>#DIV/0!</v>
      </c>
      <c r="O498" t="s">
        <v>197</v>
      </c>
      <c r="AU498" s="22" t="e">
        <f t="shared" si="25"/>
        <v>#DIV/0!</v>
      </c>
      <c r="AV498" s="11" t="s">
        <v>166</v>
      </c>
      <c r="AW498" s="38">
        <v>9.1163591955387595</v>
      </c>
      <c r="AX498" s="38">
        <v>876.71238729686797</v>
      </c>
      <c r="AY498" s="11" t="s">
        <v>191</v>
      </c>
      <c r="AZ498" s="42">
        <v>6.2072524458536398E-6</v>
      </c>
      <c r="BA498" s="42">
        <v>819.81724998575203</v>
      </c>
      <c r="BK498" s="25" t="s">
        <v>195</v>
      </c>
    </row>
    <row r="499" spans="2:63" ht="15.6" x14ac:dyDescent="0.3">
      <c r="B499" s="11" t="s">
        <v>177</v>
      </c>
      <c r="C499" s="4" t="s">
        <v>200</v>
      </c>
      <c r="D499" s="4"/>
      <c r="E499" s="4"/>
      <c r="F499" s="55"/>
      <c r="G499" s="4"/>
      <c r="H499" s="48" t="e">
        <f t="shared" si="26"/>
        <v>#DIV/0!</v>
      </c>
      <c r="I499" s="4"/>
      <c r="J499" s="4"/>
      <c r="K499" s="4"/>
      <c r="L499" s="4" t="e">
        <f t="shared" si="24"/>
        <v>#DIV/0!</v>
      </c>
      <c r="O499" t="s">
        <v>197</v>
      </c>
      <c r="AU499" s="22" t="e">
        <f t="shared" si="25"/>
        <v>#DIV/0!</v>
      </c>
      <c r="AV499" s="11" t="s">
        <v>166</v>
      </c>
      <c r="AW499" s="38">
        <v>10.969291342637799</v>
      </c>
      <c r="AX499" s="38">
        <v>1556.7102758655501</v>
      </c>
      <c r="AY499" s="11" t="s">
        <v>191</v>
      </c>
      <c r="AZ499" s="42">
        <v>9.34144801242661E-6</v>
      </c>
      <c r="BA499" s="42">
        <v>818.07834616651996</v>
      </c>
      <c r="BK499" s="25" t="s">
        <v>195</v>
      </c>
    </row>
    <row r="500" spans="2:63" ht="15.6" x14ac:dyDescent="0.3">
      <c r="B500" s="11" t="s">
        <v>177</v>
      </c>
      <c r="C500" s="4" t="s">
        <v>200</v>
      </c>
      <c r="D500" s="4"/>
      <c r="E500" s="4"/>
      <c r="F500" s="55"/>
      <c r="G500" s="4"/>
      <c r="H500" s="48" t="e">
        <f t="shared" si="26"/>
        <v>#DIV/0!</v>
      </c>
      <c r="I500" s="4"/>
      <c r="J500" s="4"/>
      <c r="K500" s="4"/>
      <c r="L500" s="4" t="e">
        <f t="shared" si="24"/>
        <v>#DIV/0!</v>
      </c>
      <c r="O500" t="s">
        <v>197</v>
      </c>
      <c r="AU500" s="22" t="e">
        <f t="shared" si="25"/>
        <v>#DIV/0!</v>
      </c>
      <c r="AV500" s="11" t="s">
        <v>166</v>
      </c>
      <c r="AW500" s="38">
        <v>9.4018709487762706</v>
      </c>
      <c r="AX500" s="38">
        <v>2228.7017190598699</v>
      </c>
      <c r="AY500" s="11" t="s">
        <v>191</v>
      </c>
      <c r="AZ500" s="42">
        <v>1.10006948616164E-5</v>
      </c>
      <c r="BA500" s="42">
        <v>1013.75387903404</v>
      </c>
      <c r="BK500" s="25" t="s">
        <v>195</v>
      </c>
    </row>
    <row r="501" spans="2:63" ht="15.6" x14ac:dyDescent="0.3">
      <c r="B501" s="11" t="s">
        <v>177</v>
      </c>
      <c r="C501" s="4" t="s">
        <v>200</v>
      </c>
      <c r="D501" s="4"/>
      <c r="E501" s="4"/>
      <c r="F501" s="55"/>
      <c r="G501" s="4"/>
      <c r="H501" s="48" t="e">
        <f t="shared" si="26"/>
        <v>#DIV/0!</v>
      </c>
      <c r="I501" s="4"/>
      <c r="J501" s="4"/>
      <c r="K501" s="4"/>
      <c r="L501" s="4" t="e">
        <f t="shared" si="24"/>
        <v>#DIV/0!</v>
      </c>
      <c r="O501" t="s">
        <v>197</v>
      </c>
      <c r="AU501" s="22" t="e">
        <f t="shared" si="25"/>
        <v>#DIV/0!</v>
      </c>
      <c r="AV501" s="11" t="s">
        <v>166</v>
      </c>
      <c r="AW501" s="38">
        <v>21.618294487667399</v>
      </c>
      <c r="AX501" s="38">
        <v>34077.484777388199</v>
      </c>
      <c r="AY501" s="11" t="s">
        <v>191</v>
      </c>
      <c r="AZ501" s="42">
        <v>1.4845595843207E-3</v>
      </c>
      <c r="BA501" s="42">
        <v>26830.755738133801</v>
      </c>
      <c r="BK501" s="25" t="s">
        <v>195</v>
      </c>
    </row>
    <row r="502" spans="2:63" ht="15.6" x14ac:dyDescent="0.3">
      <c r="B502" s="11" t="s">
        <v>177</v>
      </c>
      <c r="C502" s="4" t="s">
        <v>200</v>
      </c>
      <c r="D502" s="4"/>
      <c r="E502" s="4"/>
      <c r="F502" s="55"/>
      <c r="G502" s="4"/>
      <c r="H502" s="48" t="e">
        <f t="shared" si="26"/>
        <v>#DIV/0!</v>
      </c>
      <c r="I502" s="4"/>
      <c r="J502" s="4"/>
      <c r="K502" s="4"/>
      <c r="L502" s="4" t="e">
        <f t="shared" si="24"/>
        <v>#DIV/0!</v>
      </c>
      <c r="O502" t="s">
        <v>197</v>
      </c>
      <c r="AU502" s="22" t="e">
        <f t="shared" si="25"/>
        <v>#DIV/0!</v>
      </c>
      <c r="AV502" s="11" t="s">
        <v>166</v>
      </c>
      <c r="AW502" s="38">
        <v>16.378937069540601</v>
      </c>
      <c r="AX502" s="38">
        <v>45409.096109724698</v>
      </c>
      <c r="AY502" s="11" t="s">
        <v>191</v>
      </c>
      <c r="AZ502" s="42">
        <v>1.2606418369688201E-3</v>
      </c>
      <c r="BA502" s="42">
        <v>38445.536281349399</v>
      </c>
      <c r="BK502" s="25" t="s">
        <v>195</v>
      </c>
    </row>
    <row r="503" spans="2:63" ht="15.6" x14ac:dyDescent="0.3">
      <c r="B503" s="11" t="s">
        <v>177</v>
      </c>
      <c r="C503" s="4" t="s">
        <v>200</v>
      </c>
      <c r="D503" s="4"/>
      <c r="E503" s="4"/>
      <c r="F503" s="55"/>
      <c r="G503" s="4"/>
      <c r="H503" s="48" t="e">
        <f t="shared" si="26"/>
        <v>#DIV/0!</v>
      </c>
      <c r="I503" s="4"/>
      <c r="J503" s="4"/>
      <c r="K503" s="4"/>
      <c r="L503" s="4" t="e">
        <f t="shared" si="24"/>
        <v>#DIV/0!</v>
      </c>
      <c r="O503" t="s">
        <v>197</v>
      </c>
      <c r="AU503" s="22" t="e">
        <f t="shared" si="25"/>
        <v>#DIV/0!</v>
      </c>
      <c r="AV503" s="11" t="s">
        <v>166</v>
      </c>
      <c r="AW503" s="38">
        <v>15.3992652605949</v>
      </c>
      <c r="AX503" s="38">
        <v>56318.275846762699</v>
      </c>
      <c r="AY503" s="11" t="s">
        <v>191</v>
      </c>
      <c r="AZ503" s="42">
        <v>1.48455958432071E-3</v>
      </c>
      <c r="BA503" s="42">
        <v>54994.748114616101</v>
      </c>
      <c r="BK503" s="25" t="s">
        <v>195</v>
      </c>
    </row>
    <row r="504" spans="2:63" ht="15.6" x14ac:dyDescent="0.3">
      <c r="B504" s="11" t="s">
        <v>178</v>
      </c>
      <c r="C504" s="4" t="s">
        <v>199</v>
      </c>
      <c r="D504" s="4"/>
      <c r="E504" s="4"/>
      <c r="F504" s="55"/>
      <c r="G504" s="4"/>
      <c r="H504" s="48" t="e">
        <f t="shared" si="26"/>
        <v>#DIV/0!</v>
      </c>
      <c r="I504" s="4"/>
      <c r="J504" s="4"/>
      <c r="K504" s="4"/>
      <c r="L504" s="4" t="e">
        <f t="shared" si="24"/>
        <v>#DIV/0!</v>
      </c>
      <c r="O504" t="s">
        <v>201</v>
      </c>
      <c r="AU504" s="22" t="e">
        <f t="shared" si="25"/>
        <v>#DIV/0!</v>
      </c>
      <c r="AV504" s="11" t="s">
        <v>166</v>
      </c>
      <c r="AW504" s="31">
        <v>797.60104496016197</v>
      </c>
      <c r="AX504" s="31">
        <v>4.4071298253383403E-3</v>
      </c>
      <c r="AY504" s="11" t="s">
        <v>191</v>
      </c>
      <c r="AZ504" s="42">
        <v>2.5602597203496901E-7</v>
      </c>
      <c r="BA504" s="42">
        <v>4.1899473010178897E-3</v>
      </c>
      <c r="BK504" s="25" t="s">
        <v>195</v>
      </c>
    </row>
    <row r="505" spans="2:63" ht="15.6" x14ac:dyDescent="0.3">
      <c r="B505" s="11" t="s">
        <v>178</v>
      </c>
      <c r="C505" s="4" t="s">
        <v>199</v>
      </c>
      <c r="D505" s="4"/>
      <c r="E505" s="4"/>
      <c r="F505" s="55"/>
      <c r="G505" s="4"/>
      <c r="H505" s="48" t="e">
        <f t="shared" si="26"/>
        <v>#DIV/0!</v>
      </c>
      <c r="I505" s="4"/>
      <c r="J505" s="4"/>
      <c r="K505" s="4"/>
      <c r="L505" s="4" t="e">
        <f t="shared" si="24"/>
        <v>#DIV/0!</v>
      </c>
      <c r="O505" t="s">
        <v>201</v>
      </c>
      <c r="AU505" s="22" t="e">
        <f t="shared" si="25"/>
        <v>#DIV/0!</v>
      </c>
      <c r="AV505" s="11" t="s">
        <v>166</v>
      </c>
      <c r="AW505" s="31">
        <v>930.57204092969903</v>
      </c>
      <c r="AX505" s="31">
        <v>8.4076635596207708E-3</v>
      </c>
      <c r="AY505" s="11" t="s">
        <v>191</v>
      </c>
      <c r="AZ505" s="42">
        <v>6.29240355933639E-7</v>
      </c>
      <c r="BA505" s="42">
        <v>7.4050921878270198E-3</v>
      </c>
      <c r="BK505" s="25" t="s">
        <v>195</v>
      </c>
    </row>
    <row r="506" spans="2:63" ht="15.6" x14ac:dyDescent="0.3">
      <c r="B506" s="11" t="s">
        <v>179</v>
      </c>
      <c r="C506" s="4" t="s">
        <v>200</v>
      </c>
      <c r="D506" s="4"/>
      <c r="E506" s="4"/>
      <c r="F506" s="55"/>
      <c r="G506" s="4"/>
      <c r="H506" s="48" t="e">
        <f t="shared" si="26"/>
        <v>#DIV/0!</v>
      </c>
      <c r="I506" s="4"/>
      <c r="J506" s="4"/>
      <c r="K506" s="4"/>
      <c r="L506" s="4" t="e">
        <f t="shared" si="24"/>
        <v>#DIV/0!</v>
      </c>
      <c r="O506" t="s">
        <v>201</v>
      </c>
      <c r="AU506" s="22" t="e">
        <f t="shared" si="25"/>
        <v>#DIV/0!</v>
      </c>
      <c r="AV506" s="11" t="s">
        <v>166</v>
      </c>
      <c r="AW506" s="31">
        <v>10.636180877702399</v>
      </c>
      <c r="AX506" s="31">
        <v>4.38085058847799E-2</v>
      </c>
      <c r="AY506" s="11" t="s">
        <v>191</v>
      </c>
      <c r="AZ506" s="44">
        <v>5.12931264904333E-10</v>
      </c>
      <c r="BA506" s="44">
        <v>4.30157907201986E-2</v>
      </c>
      <c r="BK506" s="25" t="s">
        <v>195</v>
      </c>
    </row>
    <row r="507" spans="2:63" ht="15.6" x14ac:dyDescent="0.3">
      <c r="B507" s="11" t="s">
        <v>179</v>
      </c>
      <c r="C507" s="4" t="s">
        <v>200</v>
      </c>
      <c r="D507" s="4"/>
      <c r="E507" s="4"/>
      <c r="F507" s="55"/>
      <c r="G507" s="4"/>
      <c r="H507" s="48" t="e">
        <f t="shared" si="26"/>
        <v>#DIV/0!</v>
      </c>
      <c r="I507" s="4"/>
      <c r="J507" s="4"/>
      <c r="K507" s="4"/>
      <c r="L507" s="4" t="e">
        <f t="shared" si="24"/>
        <v>#DIV/0!</v>
      </c>
      <c r="O507" t="s">
        <v>201</v>
      </c>
      <c r="AU507" s="22" t="e">
        <f t="shared" si="25"/>
        <v>#DIV/0!</v>
      </c>
      <c r="AV507" s="11" t="s">
        <v>166</v>
      </c>
      <c r="AW507" s="31">
        <v>5.9199962084337301</v>
      </c>
      <c r="AX507" s="31">
        <v>6.2719501431032998E-2</v>
      </c>
      <c r="AY507" s="11" t="s">
        <v>191</v>
      </c>
      <c r="AZ507" s="46">
        <v>2.6670766853501998E-10</v>
      </c>
      <c r="BA507" s="44">
        <v>7.1332127368246206E-2</v>
      </c>
      <c r="BK507" s="25" t="s">
        <v>195</v>
      </c>
    </row>
    <row r="508" spans="2:63" ht="15.6" x14ac:dyDescent="0.3">
      <c r="B508" s="11" t="s">
        <v>179</v>
      </c>
      <c r="C508" s="4" t="s">
        <v>200</v>
      </c>
      <c r="D508" s="4"/>
      <c r="E508" s="4"/>
      <c r="F508" s="55"/>
      <c r="G508" s="4"/>
      <c r="H508" s="48" t="e">
        <f t="shared" si="26"/>
        <v>#DIV/0!</v>
      </c>
      <c r="I508" s="4"/>
      <c r="J508" s="4"/>
      <c r="K508" s="4"/>
      <c r="L508" s="4" t="e">
        <f t="shared" si="24"/>
        <v>#DIV/0!</v>
      </c>
      <c r="O508" t="s">
        <v>201</v>
      </c>
      <c r="AU508" s="22" t="e">
        <f t="shared" si="25"/>
        <v>#DIV/0!</v>
      </c>
      <c r="AV508" s="11" t="s">
        <v>166</v>
      </c>
      <c r="AW508" s="31">
        <v>6.2966150468213504</v>
      </c>
      <c r="AX508" s="31">
        <v>8.3575295742648104E-2</v>
      </c>
      <c r="AY508" s="11" t="s">
        <v>191</v>
      </c>
      <c r="AZ508" s="44">
        <v>1.63311869910004E-10</v>
      </c>
      <c r="BA508" s="44">
        <v>6.6561474015302699E-2</v>
      </c>
      <c r="BK508" s="25" t="s">
        <v>195</v>
      </c>
    </row>
    <row r="509" spans="2:63" ht="15.6" x14ac:dyDescent="0.3">
      <c r="B509" s="11" t="s">
        <v>179</v>
      </c>
      <c r="C509" s="4" t="s">
        <v>200</v>
      </c>
      <c r="D509" s="4"/>
      <c r="E509" s="4"/>
      <c r="F509" s="55"/>
      <c r="G509" s="4"/>
      <c r="H509" s="48" t="e">
        <f t="shared" si="26"/>
        <v>#DIV/0!</v>
      </c>
      <c r="I509" s="4"/>
      <c r="J509" s="4"/>
      <c r="K509" s="4"/>
      <c r="L509" s="4" t="e">
        <f t="shared" si="24"/>
        <v>#DIV/0!</v>
      </c>
      <c r="O509" t="s">
        <v>201</v>
      </c>
      <c r="AU509" s="22" t="e">
        <f t="shared" si="25"/>
        <v>#DIV/0!</v>
      </c>
      <c r="AV509" s="11" t="s">
        <v>166</v>
      </c>
      <c r="AW509" s="31">
        <v>3.8443367967576898</v>
      </c>
      <c r="AX509" s="31">
        <v>1.0303553085422901</v>
      </c>
      <c r="AY509" s="11" t="s">
        <v>191</v>
      </c>
      <c r="AZ509" s="44">
        <v>1.3680270178135199E-9</v>
      </c>
      <c r="BA509" s="44">
        <v>0.93685953097605501</v>
      </c>
      <c r="BK509" s="25" t="s">
        <v>195</v>
      </c>
    </row>
    <row r="510" spans="2:63" ht="15.6" x14ac:dyDescent="0.3">
      <c r="B510" s="11" t="s">
        <v>179</v>
      </c>
      <c r="C510" s="4" t="s">
        <v>200</v>
      </c>
      <c r="D510" s="4"/>
      <c r="E510" s="4"/>
      <c r="F510" s="55"/>
      <c r="G510" s="4"/>
      <c r="H510" s="48" t="e">
        <f t="shared" si="26"/>
        <v>#DIV/0!</v>
      </c>
      <c r="I510" s="4"/>
      <c r="J510" s="4"/>
      <c r="K510" s="4"/>
      <c r="L510" s="4" t="e">
        <f t="shared" si="24"/>
        <v>#DIV/0!</v>
      </c>
      <c r="O510" t="s">
        <v>201</v>
      </c>
      <c r="AU510" s="22" t="e">
        <f t="shared" si="25"/>
        <v>#DIV/0!</v>
      </c>
      <c r="AV510" s="11" t="s">
        <v>166</v>
      </c>
      <c r="AW510" s="31">
        <v>3.0038522786645498</v>
      </c>
      <c r="AX510" s="31">
        <v>7.1539426543764897</v>
      </c>
      <c r="AY510" s="11" t="s">
        <v>191</v>
      </c>
      <c r="AZ510" s="44">
        <v>4.6627169588536599E-9</v>
      </c>
      <c r="BA510" s="44">
        <v>6.4634807041786502</v>
      </c>
      <c r="BK510" s="25" t="s">
        <v>195</v>
      </c>
    </row>
    <row r="511" spans="2:63" ht="15.6" x14ac:dyDescent="0.3">
      <c r="B511" s="11" t="s">
        <v>180</v>
      </c>
      <c r="C511" s="40" t="s">
        <v>203</v>
      </c>
      <c r="D511" s="40"/>
      <c r="E511" s="40"/>
      <c r="F511" s="54"/>
      <c r="G511" s="49"/>
      <c r="H511" s="48" t="e">
        <f t="shared" si="26"/>
        <v>#DIV/0!</v>
      </c>
      <c r="I511" s="40"/>
      <c r="J511" s="40"/>
      <c r="K511" s="40"/>
      <c r="L511" s="4" t="e">
        <f t="shared" si="24"/>
        <v>#DIV/0!</v>
      </c>
      <c r="AU511" s="22" t="e">
        <f t="shared" si="25"/>
        <v>#DIV/0!</v>
      </c>
      <c r="AV511" s="11" t="s">
        <v>166</v>
      </c>
      <c r="AW511" s="38">
        <v>896.15050194660398</v>
      </c>
      <c r="AX511" s="38">
        <v>4.4937143159206102E-5</v>
      </c>
      <c r="BK511" s="25" t="s">
        <v>204</v>
      </c>
    </row>
    <row r="512" spans="2:63" ht="15.6" x14ac:dyDescent="0.3">
      <c r="B512" s="11" t="s">
        <v>180</v>
      </c>
      <c r="C512" s="40" t="s">
        <v>203</v>
      </c>
      <c r="D512" s="40"/>
      <c r="E512" s="40"/>
      <c r="F512" s="54"/>
      <c r="G512" s="49"/>
      <c r="H512" s="48" t="e">
        <f t="shared" si="26"/>
        <v>#DIV/0!</v>
      </c>
      <c r="I512" s="40"/>
      <c r="J512" s="40"/>
      <c r="K512" s="40"/>
      <c r="L512" s="4" t="e">
        <f t="shared" si="24"/>
        <v>#DIV/0!</v>
      </c>
      <c r="AU512" s="22" t="e">
        <f t="shared" si="25"/>
        <v>#DIV/0!</v>
      </c>
      <c r="AV512" s="11" t="s">
        <v>166</v>
      </c>
      <c r="AW512" s="38">
        <v>929.50978988064799</v>
      </c>
      <c r="AX512" s="38">
        <v>6.1178735492368306E-5</v>
      </c>
      <c r="BK512" s="25" t="s">
        <v>204</v>
      </c>
    </row>
    <row r="513" spans="2:63" ht="15.6" x14ac:dyDescent="0.3">
      <c r="B513" s="11" t="s">
        <v>180</v>
      </c>
      <c r="C513" s="40" t="s">
        <v>203</v>
      </c>
      <c r="D513" s="40"/>
      <c r="E513" s="40"/>
      <c r="F513" s="54"/>
      <c r="G513" s="49"/>
      <c r="H513" s="48" t="e">
        <f t="shared" si="26"/>
        <v>#DIV/0!</v>
      </c>
      <c r="I513" s="40"/>
      <c r="J513" s="40"/>
      <c r="K513" s="40"/>
      <c r="L513" s="4" t="e">
        <f t="shared" si="24"/>
        <v>#DIV/0!</v>
      </c>
      <c r="AU513" s="22" t="e">
        <f t="shared" si="25"/>
        <v>#DIV/0!</v>
      </c>
      <c r="AV513" s="11" t="s">
        <v>166</v>
      </c>
      <c r="AW513" s="38">
        <v>557.22647955071704</v>
      </c>
      <c r="AX513" s="38">
        <v>3.0123691312065301E-4</v>
      </c>
      <c r="BK513" s="25" t="s">
        <v>204</v>
      </c>
    </row>
    <row r="514" spans="2:63" ht="15.6" x14ac:dyDescent="0.3">
      <c r="B514" s="11" t="s">
        <v>180</v>
      </c>
      <c r="C514" s="40" t="s">
        <v>203</v>
      </c>
      <c r="D514" s="40"/>
      <c r="E514" s="40"/>
      <c r="F514" s="54"/>
      <c r="G514" s="49"/>
      <c r="H514" s="48" t="e">
        <f t="shared" si="26"/>
        <v>#DIV/0!</v>
      </c>
      <c r="I514" s="40"/>
      <c r="J514" s="40"/>
      <c r="K514" s="40"/>
      <c r="L514" s="4" t="e">
        <f t="shared" si="24"/>
        <v>#DIV/0!</v>
      </c>
      <c r="AU514" s="22" t="e">
        <f t="shared" si="25"/>
        <v>#DIV/0!</v>
      </c>
      <c r="AV514" s="11" t="s">
        <v>166</v>
      </c>
      <c r="AW514" s="38">
        <v>372.759372031493</v>
      </c>
      <c r="AX514" s="38">
        <v>5.8780160722749202E-4</v>
      </c>
      <c r="BK514" s="25" t="s">
        <v>204</v>
      </c>
    </row>
    <row r="515" spans="2:63" ht="15.6" x14ac:dyDescent="0.3">
      <c r="B515" s="11" t="s">
        <v>180</v>
      </c>
      <c r="C515" s="40" t="s">
        <v>203</v>
      </c>
      <c r="D515" s="40"/>
      <c r="E515" s="40"/>
      <c r="F515" s="54"/>
      <c r="G515" s="49"/>
      <c r="H515" s="48" t="e">
        <f t="shared" si="26"/>
        <v>#DIV/0!</v>
      </c>
      <c r="I515" s="40"/>
      <c r="J515" s="40"/>
      <c r="K515" s="40"/>
      <c r="L515" s="4" t="e">
        <f t="shared" si="24"/>
        <v>#DIV/0!</v>
      </c>
      <c r="AU515" s="22" t="e">
        <f t="shared" si="25"/>
        <v>#DIV/0!</v>
      </c>
      <c r="AV515" s="11" t="s">
        <v>166</v>
      </c>
      <c r="AW515" s="38">
        <v>621.80010873209096</v>
      </c>
      <c r="AX515" s="38">
        <v>7.2203922941348002E-4</v>
      </c>
      <c r="BK515" s="25" t="s">
        <v>204</v>
      </c>
    </row>
    <row r="516" spans="2:63" ht="15.6" x14ac:dyDescent="0.3">
      <c r="B516" s="11" t="s">
        <v>180</v>
      </c>
      <c r="C516" s="40" t="s">
        <v>203</v>
      </c>
      <c r="D516" s="40"/>
      <c r="E516" s="40"/>
      <c r="F516" s="54"/>
      <c r="G516" s="49"/>
      <c r="H516" s="48" t="e">
        <f t="shared" si="26"/>
        <v>#DIV/0!</v>
      </c>
      <c r="I516" s="40"/>
      <c r="J516" s="40"/>
      <c r="K516" s="40"/>
      <c r="L516" s="4" t="e">
        <f t="shared" si="24"/>
        <v>#DIV/0!</v>
      </c>
      <c r="AU516" s="22" t="e">
        <f t="shared" si="25"/>
        <v>#DIV/0!</v>
      </c>
      <c r="AV516" s="11" t="s">
        <v>166</v>
      </c>
      <c r="AW516" s="38">
        <v>644.946677103762</v>
      </c>
      <c r="AX516" s="38">
        <v>9.830052363342329E-4</v>
      </c>
      <c r="BK516" s="25" t="s">
        <v>204</v>
      </c>
    </row>
    <row r="517" spans="2:63" ht="15.6" x14ac:dyDescent="0.3">
      <c r="B517" s="11" t="s">
        <v>180</v>
      </c>
      <c r="C517" s="40" t="s">
        <v>203</v>
      </c>
      <c r="D517" s="40"/>
      <c r="E517" s="40"/>
      <c r="F517" s="54"/>
      <c r="G517" s="49"/>
      <c r="H517" s="48" t="e">
        <f t="shared" si="26"/>
        <v>#DIV/0!</v>
      </c>
      <c r="I517" s="40"/>
      <c r="J517" s="40"/>
      <c r="K517" s="40"/>
      <c r="L517" s="4" t="e">
        <f t="shared" ref="L517:L580" si="27">J517/K517</f>
        <v>#DIV/0!</v>
      </c>
      <c r="AU517" s="22" t="e">
        <f t="shared" si="25"/>
        <v>#DIV/0!</v>
      </c>
      <c r="AV517" s="11" t="s">
        <v>166</v>
      </c>
      <c r="AW517" s="38">
        <v>401.02791394951998</v>
      </c>
      <c r="AX517" s="38">
        <v>5.6475624525178696E-3</v>
      </c>
      <c r="BK517" s="25" t="s">
        <v>204</v>
      </c>
    </row>
    <row r="518" spans="2:63" ht="15.6" x14ac:dyDescent="0.3">
      <c r="B518" s="11" t="s">
        <v>180</v>
      </c>
      <c r="C518" s="40" t="s">
        <v>203</v>
      </c>
      <c r="D518" s="40"/>
      <c r="E518" s="40"/>
      <c r="F518" s="54"/>
      <c r="G518" s="49"/>
      <c r="H518" s="48" t="e">
        <f t="shared" si="26"/>
        <v>#DIV/0!</v>
      </c>
      <c r="I518" s="40"/>
      <c r="J518" s="40"/>
      <c r="K518" s="40"/>
      <c r="L518" s="4" t="e">
        <f t="shared" si="27"/>
        <v>#DIV/0!</v>
      </c>
      <c r="AU518" s="22" t="e">
        <f t="shared" si="25"/>
        <v>#DIV/0!</v>
      </c>
      <c r="AV518" s="11" t="s">
        <v>166</v>
      </c>
      <c r="AW518" s="38">
        <v>359.381366380462</v>
      </c>
      <c r="AX518" s="38">
        <v>3.08200789505375E-2</v>
      </c>
      <c r="BK518" s="25" t="s">
        <v>204</v>
      </c>
    </row>
    <row r="519" spans="2:63" ht="15.6" x14ac:dyDescent="0.3">
      <c r="B519" s="11" t="s">
        <v>180</v>
      </c>
      <c r="C519" s="40" t="s">
        <v>203</v>
      </c>
      <c r="D519" s="40"/>
      <c r="E519" s="40"/>
      <c r="F519" s="54"/>
      <c r="G519" s="49"/>
      <c r="H519" s="48" t="e">
        <f t="shared" si="26"/>
        <v>#DIV/0!</v>
      </c>
      <c r="I519" s="40"/>
      <c r="J519" s="40"/>
      <c r="K519" s="40"/>
      <c r="L519" s="4" t="e">
        <f t="shared" si="27"/>
        <v>#DIV/0!</v>
      </c>
      <c r="AU519" s="22" t="e">
        <f t="shared" si="25"/>
        <v>#DIV/0!</v>
      </c>
      <c r="AV519" s="11" t="s">
        <v>166</v>
      </c>
      <c r="AW519" s="38">
        <v>179.460244029731</v>
      </c>
      <c r="AX519" s="38">
        <v>2.3832588580853801E-2</v>
      </c>
      <c r="BK519" s="25" t="s">
        <v>204</v>
      </c>
    </row>
    <row r="520" spans="2:63" ht="15.6" x14ac:dyDescent="0.3">
      <c r="B520" s="11" t="s">
        <v>180</v>
      </c>
      <c r="C520" s="40" t="s">
        <v>203</v>
      </c>
      <c r="D520" s="40"/>
      <c r="E520" s="40"/>
      <c r="F520" s="54"/>
      <c r="G520" s="49"/>
      <c r="H520" s="48" t="e">
        <f t="shared" si="26"/>
        <v>#DIV/0!</v>
      </c>
      <c r="I520" s="40"/>
      <c r="J520" s="40"/>
      <c r="K520" s="40"/>
      <c r="L520" s="4" t="e">
        <f t="shared" si="27"/>
        <v>#DIV/0!</v>
      </c>
      <c r="AU520" s="22" t="e">
        <f t="shared" si="25"/>
        <v>#DIV/0!</v>
      </c>
      <c r="AV520" s="11" t="s">
        <v>166</v>
      </c>
      <c r="AW520" s="38">
        <v>166.81005372000499</v>
      </c>
      <c r="AX520" s="38">
        <v>0.100572996445752</v>
      </c>
      <c r="BK520" s="25" t="s">
        <v>204</v>
      </c>
    </row>
    <row r="521" spans="2:63" ht="15.6" x14ac:dyDescent="0.3">
      <c r="B521" s="11" t="s">
        <v>180</v>
      </c>
      <c r="C521" s="40" t="s">
        <v>203</v>
      </c>
      <c r="D521" s="40"/>
      <c r="E521" s="40"/>
      <c r="F521" s="54"/>
      <c r="G521" s="49"/>
      <c r="H521" s="48" t="e">
        <f t="shared" si="26"/>
        <v>#DIV/0!</v>
      </c>
      <c r="I521" s="40"/>
      <c r="J521" s="40"/>
      <c r="K521" s="40"/>
      <c r="L521" s="4" t="e">
        <f t="shared" si="27"/>
        <v>#DIV/0!</v>
      </c>
      <c r="AU521" s="22" t="e">
        <f t="shared" si="25"/>
        <v>#DIV/0!</v>
      </c>
      <c r="AV521" s="11" t="s">
        <v>166</v>
      </c>
      <c r="AW521" s="38">
        <v>133.96277245180099</v>
      </c>
      <c r="AX521" s="38">
        <v>0.18641096900630999</v>
      </c>
      <c r="BK521" s="25" t="s">
        <v>204</v>
      </c>
    </row>
    <row r="522" spans="2:63" ht="15.6" x14ac:dyDescent="0.3">
      <c r="B522" s="11" t="s">
        <v>180</v>
      </c>
      <c r="C522" s="40" t="s">
        <v>203</v>
      </c>
      <c r="D522" s="40"/>
      <c r="E522" s="40"/>
      <c r="F522" s="54"/>
      <c r="G522" s="49"/>
      <c r="H522" s="48" t="e">
        <f t="shared" si="26"/>
        <v>#DIV/0!</v>
      </c>
      <c r="I522" s="40"/>
      <c r="J522" s="40"/>
      <c r="K522" s="40"/>
      <c r="L522" s="4" t="e">
        <f t="shared" si="27"/>
        <v>#DIV/0!</v>
      </c>
      <c r="AU522" s="22" t="e">
        <f t="shared" si="25"/>
        <v>#DIV/0!</v>
      </c>
      <c r="AV522" s="11" t="s">
        <v>166</v>
      </c>
      <c r="AW522" s="38">
        <v>120.05080577484</v>
      </c>
      <c r="AX522" s="38">
        <v>0.21750486862053001</v>
      </c>
      <c r="BK522" s="25" t="s">
        <v>204</v>
      </c>
    </row>
    <row r="523" spans="2:63" ht="15.6" x14ac:dyDescent="0.3">
      <c r="B523" s="11" t="s">
        <v>180</v>
      </c>
      <c r="C523" s="40" t="s">
        <v>203</v>
      </c>
      <c r="D523" s="40"/>
      <c r="E523" s="40"/>
      <c r="F523" s="54"/>
      <c r="G523" s="49"/>
      <c r="H523" s="48" t="e">
        <f t="shared" si="26"/>
        <v>#DIV/0!</v>
      </c>
      <c r="I523" s="40"/>
      <c r="J523" s="40"/>
      <c r="K523" s="40"/>
      <c r="L523" s="4" t="e">
        <f t="shared" si="27"/>
        <v>#DIV/0!</v>
      </c>
      <c r="AU523" s="22" t="e">
        <f t="shared" si="25"/>
        <v>#DIV/0!</v>
      </c>
      <c r="AV523" s="11" t="s">
        <v>166</v>
      </c>
      <c r="AW523" s="38">
        <v>124.519708473503</v>
      </c>
      <c r="AX523" s="38">
        <v>0.22898207619810801</v>
      </c>
      <c r="BK523" s="25" t="s">
        <v>204</v>
      </c>
    </row>
    <row r="524" spans="2:63" ht="15.6" x14ac:dyDescent="0.3">
      <c r="B524" s="11" t="s">
        <v>180</v>
      </c>
      <c r="C524" s="40" t="s">
        <v>203</v>
      </c>
      <c r="D524" s="40"/>
      <c r="E524" s="40"/>
      <c r="F524" s="54"/>
      <c r="G524" s="49"/>
      <c r="H524" s="48" t="e">
        <f t="shared" si="26"/>
        <v>#DIV/0!</v>
      </c>
      <c r="I524" s="40"/>
      <c r="J524" s="40"/>
      <c r="K524" s="40"/>
      <c r="L524" s="4" t="e">
        <f t="shared" si="27"/>
        <v>#DIV/0!</v>
      </c>
      <c r="AU524" s="22" t="e">
        <f t="shared" si="25"/>
        <v>#DIV/0!</v>
      </c>
      <c r="AV524" s="11" t="s">
        <v>166</v>
      </c>
      <c r="AW524" s="38">
        <v>107.583589854217</v>
      </c>
      <c r="AX524" s="38">
        <v>0.28127524629852402</v>
      </c>
      <c r="BK524" s="25" t="s">
        <v>204</v>
      </c>
    </row>
    <row r="525" spans="2:63" ht="15.6" x14ac:dyDescent="0.3">
      <c r="B525" s="11" t="s">
        <v>180</v>
      </c>
      <c r="C525" s="40" t="s">
        <v>203</v>
      </c>
      <c r="D525" s="40"/>
      <c r="E525" s="40"/>
      <c r="F525" s="54"/>
      <c r="G525" s="49"/>
      <c r="H525" s="48" t="e">
        <f t="shared" si="26"/>
        <v>#DIV/0!</v>
      </c>
      <c r="I525" s="40"/>
      <c r="J525" s="40"/>
      <c r="K525" s="40"/>
      <c r="L525" s="4" t="e">
        <f t="shared" si="27"/>
        <v>#DIV/0!</v>
      </c>
      <c r="AU525" s="22" t="e">
        <f t="shared" ref="AU525:AU588" si="28">(AS525*AT525)/(AG525)</f>
        <v>#DIV/0!</v>
      </c>
      <c r="AV525" s="11" t="s">
        <v>166</v>
      </c>
      <c r="AW525" s="38">
        <v>100</v>
      </c>
      <c r="AX525" s="38">
        <v>0.28127524629852502</v>
      </c>
      <c r="BK525" s="25" t="s">
        <v>204</v>
      </c>
    </row>
    <row r="526" spans="2:63" ht="15.6" x14ac:dyDescent="0.3">
      <c r="B526" s="11" t="s">
        <v>180</v>
      </c>
      <c r="C526" s="40" t="s">
        <v>203</v>
      </c>
      <c r="D526" s="40"/>
      <c r="E526" s="40"/>
      <c r="F526" s="54"/>
      <c r="G526" s="49"/>
      <c r="H526" s="48" t="e">
        <f t="shared" si="26"/>
        <v>#DIV/0!</v>
      </c>
      <c r="I526" s="40"/>
      <c r="J526" s="40"/>
      <c r="K526" s="40"/>
      <c r="L526" s="4" t="e">
        <f t="shared" si="27"/>
        <v>#DIV/0!</v>
      </c>
      <c r="AU526" s="22" t="e">
        <f t="shared" si="28"/>
        <v>#DIV/0!</v>
      </c>
      <c r="AV526" s="11" t="s">
        <v>166</v>
      </c>
      <c r="AW526" s="38">
        <v>103.722509540705</v>
      </c>
      <c r="AX526" s="38">
        <v>0.32819278725114698</v>
      </c>
      <c r="BK526" s="25" t="s">
        <v>204</v>
      </c>
    </row>
    <row r="527" spans="2:63" ht="15.6" x14ac:dyDescent="0.3">
      <c r="B527" s="11" t="s">
        <v>180</v>
      </c>
      <c r="C527" s="40" t="s">
        <v>203</v>
      </c>
      <c r="D527" s="40"/>
      <c r="E527" s="40"/>
      <c r="F527" s="54"/>
      <c r="G527" s="49"/>
      <c r="H527" s="48" t="e">
        <f t="shared" si="26"/>
        <v>#DIV/0!</v>
      </c>
      <c r="I527" s="40"/>
      <c r="J527" s="40"/>
      <c r="K527" s="40"/>
      <c r="L527" s="4" t="e">
        <f t="shared" si="27"/>
        <v>#DIV/0!</v>
      </c>
      <c r="AU527" s="22" t="e">
        <f t="shared" si="28"/>
        <v>#DIV/0!</v>
      </c>
      <c r="AV527" s="11" t="s">
        <v>166</v>
      </c>
      <c r="AW527" s="38">
        <v>100</v>
      </c>
      <c r="AX527" s="38">
        <v>0.32819278725114698</v>
      </c>
      <c r="BK527" s="25" t="s">
        <v>204</v>
      </c>
    </row>
    <row r="528" spans="2:63" ht="15.6" x14ac:dyDescent="0.3">
      <c r="B528" s="11" t="s">
        <v>180</v>
      </c>
      <c r="C528" s="40" t="s">
        <v>203</v>
      </c>
      <c r="D528" s="40"/>
      <c r="E528" s="40"/>
      <c r="F528" s="54"/>
      <c r="G528" s="49"/>
      <c r="H528" s="48" t="e">
        <f t="shared" si="26"/>
        <v>#DIV/0!</v>
      </c>
      <c r="I528" s="40"/>
      <c r="J528" s="40"/>
      <c r="K528" s="40"/>
      <c r="L528" s="4" t="e">
        <f t="shared" si="27"/>
        <v>#DIV/0!</v>
      </c>
      <c r="AU528" s="22" t="e">
        <f t="shared" si="28"/>
        <v>#DIV/0!</v>
      </c>
      <c r="AV528" s="11" t="s">
        <v>166</v>
      </c>
      <c r="AW528" s="38">
        <v>103.722509540705</v>
      </c>
      <c r="AX528" s="38">
        <v>0.47038837009447199</v>
      </c>
      <c r="BK528" s="25" t="s">
        <v>204</v>
      </c>
    </row>
    <row r="529" spans="2:63" ht="15.6" x14ac:dyDescent="0.3">
      <c r="B529" s="11" t="s">
        <v>180</v>
      </c>
      <c r="C529" s="40" t="s">
        <v>203</v>
      </c>
      <c r="D529" s="40"/>
      <c r="E529" s="40"/>
      <c r="F529" s="54"/>
      <c r="G529" s="49"/>
      <c r="H529" s="48" t="e">
        <f t="shared" si="26"/>
        <v>#DIV/0!</v>
      </c>
      <c r="I529" s="40"/>
      <c r="J529" s="40"/>
      <c r="K529" s="40"/>
      <c r="L529" s="4" t="e">
        <f t="shared" si="27"/>
        <v>#DIV/0!</v>
      </c>
      <c r="AU529" s="22" t="e">
        <f t="shared" si="28"/>
        <v>#DIV/0!</v>
      </c>
      <c r="AV529" s="11" t="s">
        <v>166</v>
      </c>
      <c r="AW529" s="38">
        <v>64.494667710376206</v>
      </c>
      <c r="AX529" s="38">
        <v>19.072034441275701</v>
      </c>
      <c r="BK529" s="25" t="s">
        <v>204</v>
      </c>
    </row>
    <row r="530" spans="2:63" ht="15.6" x14ac:dyDescent="0.3">
      <c r="B530" s="11" t="s">
        <v>180</v>
      </c>
      <c r="C530" s="40" t="s">
        <v>203</v>
      </c>
      <c r="D530" s="40"/>
      <c r="E530" s="40"/>
      <c r="F530" s="54"/>
      <c r="G530" s="49"/>
      <c r="H530" s="48" t="e">
        <f t="shared" si="26"/>
        <v>#DIV/0!</v>
      </c>
      <c r="I530" s="40"/>
      <c r="J530" s="40"/>
      <c r="K530" s="40"/>
      <c r="L530" s="4" t="e">
        <f t="shared" si="27"/>
        <v>#DIV/0!</v>
      </c>
      <c r="AU530" s="22" t="e">
        <f t="shared" si="28"/>
        <v>#DIV/0!</v>
      </c>
      <c r="AV530" s="11" t="s">
        <v>166</v>
      </c>
      <c r="AW530" s="38">
        <v>62.180010873209099</v>
      </c>
      <c r="AX530" s="38">
        <v>20.0784197217409</v>
      </c>
      <c r="BK530" s="25" t="s">
        <v>204</v>
      </c>
    </row>
    <row r="531" spans="2:63" ht="15.6" x14ac:dyDescent="0.3">
      <c r="B531" s="11" t="s">
        <v>180</v>
      </c>
      <c r="C531" s="40" t="s">
        <v>203</v>
      </c>
      <c r="D531" s="40"/>
      <c r="E531" s="40"/>
      <c r="F531" s="54"/>
      <c r="G531" s="49"/>
      <c r="H531" s="48" t="e">
        <f t="shared" si="26"/>
        <v>#DIV/0!</v>
      </c>
      <c r="I531" s="40"/>
      <c r="J531" s="40"/>
      <c r="K531" s="40"/>
      <c r="L531" s="4" t="e">
        <f t="shared" si="27"/>
        <v>#DIV/0!</v>
      </c>
      <c r="AU531" s="22" t="e">
        <f t="shared" si="28"/>
        <v>#DIV/0!</v>
      </c>
      <c r="AV531" s="11" t="s">
        <v>166</v>
      </c>
      <c r="AW531" s="38">
        <v>55.7226479550717</v>
      </c>
      <c r="AX531" s="38">
        <v>25.965223161835599</v>
      </c>
      <c r="BK531" s="25" t="s">
        <v>204</v>
      </c>
    </row>
    <row r="532" spans="2:63" ht="15.6" x14ac:dyDescent="0.3">
      <c r="B532" s="11" t="s">
        <v>180</v>
      </c>
      <c r="C532" s="40" t="s">
        <v>203</v>
      </c>
      <c r="D532" s="40"/>
      <c r="E532" s="40"/>
      <c r="F532" s="54"/>
      <c r="G532" s="49"/>
      <c r="H532" s="48" t="e">
        <f t="shared" si="26"/>
        <v>#DIV/0!</v>
      </c>
      <c r="I532" s="40"/>
      <c r="J532" s="40"/>
      <c r="K532" s="40"/>
      <c r="L532" s="4" t="e">
        <f t="shared" si="27"/>
        <v>#DIV/0!</v>
      </c>
      <c r="AU532" s="22" t="e">
        <f t="shared" si="28"/>
        <v>#DIV/0!</v>
      </c>
      <c r="AV532" s="11" t="s">
        <v>166</v>
      </c>
      <c r="AW532" s="38">
        <v>57.796928841533102</v>
      </c>
      <c r="AX532" s="38">
        <v>27.3353453936577</v>
      </c>
      <c r="BK532" s="25" t="s">
        <v>204</v>
      </c>
    </row>
    <row r="533" spans="2:63" ht="15.6" x14ac:dyDescent="0.3">
      <c r="B533" s="11" t="s">
        <v>180</v>
      </c>
      <c r="C533" s="40" t="s">
        <v>203</v>
      </c>
      <c r="D533" s="40"/>
      <c r="E533" s="40"/>
      <c r="F533" s="54"/>
      <c r="G533" s="49"/>
      <c r="H533" s="48" t="e">
        <f t="shared" si="26"/>
        <v>#DIV/0!</v>
      </c>
      <c r="I533" s="40"/>
      <c r="J533" s="40"/>
      <c r="K533" s="40"/>
      <c r="L533" s="4" t="e">
        <f t="shared" si="27"/>
        <v>#DIV/0!</v>
      </c>
      <c r="AU533" s="22" t="e">
        <f t="shared" si="28"/>
        <v>#DIV/0!</v>
      </c>
      <c r="AV533" s="11" t="s">
        <v>166</v>
      </c>
      <c r="AW533" s="38">
        <v>59.948425031893997</v>
      </c>
      <c r="AX533" s="38">
        <v>28.777765672695899</v>
      </c>
      <c r="BK533" s="25" t="s">
        <v>204</v>
      </c>
    </row>
    <row r="534" spans="2:63" ht="15.6" x14ac:dyDescent="0.3">
      <c r="B534" s="11" t="s">
        <v>181</v>
      </c>
      <c r="C534" s="40" t="s">
        <v>192</v>
      </c>
      <c r="D534" s="40"/>
      <c r="E534" s="40"/>
      <c r="F534" s="54"/>
      <c r="G534" s="49"/>
      <c r="H534" s="48" t="e">
        <f t="shared" si="26"/>
        <v>#DIV/0!</v>
      </c>
      <c r="I534" s="40"/>
      <c r="J534" s="40"/>
      <c r="K534" s="40"/>
      <c r="L534" s="4" t="e">
        <f t="shared" si="27"/>
        <v>#DIV/0!</v>
      </c>
      <c r="AU534" s="22" t="e">
        <f t="shared" si="28"/>
        <v>#DIV/0!</v>
      </c>
      <c r="AV534" s="11" t="s">
        <v>166</v>
      </c>
      <c r="AW534" s="31">
        <v>719.68567300115205</v>
      </c>
      <c r="AX534" s="31">
        <v>5.5833938392776505E-4</v>
      </c>
      <c r="BK534" s="25" t="s">
        <v>204</v>
      </c>
    </row>
    <row r="535" spans="2:63" ht="15.6" x14ac:dyDescent="0.3">
      <c r="B535" s="11" t="s">
        <v>181</v>
      </c>
      <c r="C535" s="40" t="s">
        <v>192</v>
      </c>
      <c r="D535" s="40"/>
      <c r="E535" s="40"/>
      <c r="F535" s="54"/>
      <c r="G535" s="49"/>
      <c r="H535" s="48" t="e">
        <f t="shared" si="26"/>
        <v>#DIV/0!</v>
      </c>
      <c r="I535" s="40"/>
      <c r="J535" s="40"/>
      <c r="K535" s="40"/>
      <c r="L535" s="4" t="e">
        <f t="shared" si="27"/>
        <v>#DIV/0!</v>
      </c>
      <c r="AU535" s="22" t="e">
        <f t="shared" si="28"/>
        <v>#DIV/0!</v>
      </c>
      <c r="AV535" s="11" t="s">
        <v>166</v>
      </c>
      <c r="AW535" s="31">
        <v>557.22647955071602</v>
      </c>
      <c r="AX535" s="31">
        <v>5.3644911848838E-3</v>
      </c>
      <c r="BK535" s="25" t="s">
        <v>204</v>
      </c>
    </row>
    <row r="536" spans="2:63" ht="15.6" x14ac:dyDescent="0.3">
      <c r="B536" s="11" t="s">
        <v>181</v>
      </c>
      <c r="C536" s="40" t="s">
        <v>192</v>
      </c>
      <c r="D536" s="40"/>
      <c r="E536" s="40"/>
      <c r="F536" s="54"/>
      <c r="G536" s="49"/>
      <c r="H536" s="48" t="e">
        <f t="shared" si="26"/>
        <v>#DIV/0!</v>
      </c>
      <c r="I536" s="40"/>
      <c r="J536" s="40"/>
      <c r="K536" s="40"/>
      <c r="L536" s="4" t="e">
        <f t="shared" si="27"/>
        <v>#DIV/0!</v>
      </c>
      <c r="AU536" s="22" t="e">
        <f t="shared" si="28"/>
        <v>#DIV/0!</v>
      </c>
      <c r="AV536" s="11" t="s">
        <v>166</v>
      </c>
      <c r="AW536" s="31">
        <v>372.759372031493</v>
      </c>
      <c r="AX536" s="31">
        <v>5.9455707085443897E-3</v>
      </c>
      <c r="BK536" s="25" t="s">
        <v>204</v>
      </c>
    </row>
    <row r="537" spans="2:63" ht="15.6" x14ac:dyDescent="0.3">
      <c r="B537" s="11" t="s">
        <v>181</v>
      </c>
      <c r="C537" s="40" t="s">
        <v>192</v>
      </c>
      <c r="D537" s="40"/>
      <c r="E537" s="40"/>
      <c r="F537" s="54"/>
      <c r="G537" s="49"/>
      <c r="H537" s="48" t="e">
        <f t="shared" si="26"/>
        <v>#DIV/0!</v>
      </c>
      <c r="I537" s="40"/>
      <c r="J537" s="40"/>
      <c r="K537" s="40"/>
      <c r="L537" s="4" t="e">
        <f t="shared" si="27"/>
        <v>#DIV/0!</v>
      </c>
      <c r="AU537" s="22" t="e">
        <f t="shared" si="28"/>
        <v>#DIV/0!</v>
      </c>
      <c r="AV537" s="11" t="s">
        <v>166</v>
      </c>
      <c r="AW537" s="31">
        <v>386.63537521924002</v>
      </c>
      <c r="AX537" s="31">
        <v>6.93730944444717E-3</v>
      </c>
      <c r="BK537" s="25" t="s">
        <v>204</v>
      </c>
    </row>
    <row r="538" spans="2:63" ht="15.6" x14ac:dyDescent="0.3">
      <c r="B538" s="11" t="s">
        <v>181</v>
      </c>
      <c r="C538" s="40" t="s">
        <v>192</v>
      </c>
      <c r="D538" s="40"/>
      <c r="E538" s="40"/>
      <c r="F538" s="54"/>
      <c r="G538" s="49"/>
      <c r="H538" s="48" t="e">
        <f t="shared" si="26"/>
        <v>#DIV/0!</v>
      </c>
      <c r="I538" s="40"/>
      <c r="J538" s="40"/>
      <c r="K538" s="40"/>
      <c r="L538" s="4" t="e">
        <f t="shared" si="27"/>
        <v>#DIV/0!</v>
      </c>
      <c r="AU538" s="22" t="e">
        <f t="shared" si="28"/>
        <v>#DIV/0!</v>
      </c>
      <c r="AV538" s="11" t="s">
        <v>166</v>
      </c>
      <c r="AW538" s="31">
        <v>386.63537521924002</v>
      </c>
      <c r="AX538" s="31">
        <v>8.0944731275088104E-3</v>
      </c>
      <c r="BK538" s="25" t="s">
        <v>204</v>
      </c>
    </row>
    <row r="539" spans="2:63" ht="15.6" x14ac:dyDescent="0.3">
      <c r="B539" s="11" t="s">
        <v>181</v>
      </c>
      <c r="C539" s="40" t="s">
        <v>192</v>
      </c>
      <c r="D539" s="40"/>
      <c r="E539" s="40"/>
      <c r="F539" s="54"/>
      <c r="G539" s="49"/>
      <c r="H539" s="48" t="e">
        <f t="shared" si="26"/>
        <v>#DIV/0!</v>
      </c>
      <c r="I539" s="40"/>
      <c r="J539" s="40"/>
      <c r="K539" s="40"/>
      <c r="L539" s="4" t="e">
        <f t="shared" si="27"/>
        <v>#DIV/0!</v>
      </c>
      <c r="AU539" s="22" t="e">
        <f t="shared" si="28"/>
        <v>#DIV/0!</v>
      </c>
      <c r="AV539" s="11" t="s">
        <v>166</v>
      </c>
      <c r="AW539" s="31">
        <v>431.44022614437699</v>
      </c>
      <c r="AX539" s="31">
        <v>1.16015530173997E-2</v>
      </c>
      <c r="BK539" s="25" t="s">
        <v>204</v>
      </c>
    </row>
    <row r="540" spans="2:63" ht="15.6" x14ac:dyDescent="0.3">
      <c r="B540" s="11" t="s">
        <v>181</v>
      </c>
      <c r="C540" s="40" t="s">
        <v>192</v>
      </c>
      <c r="D540" s="40"/>
      <c r="E540" s="40"/>
      <c r="F540" s="54"/>
      <c r="G540" s="49"/>
      <c r="H540" s="48" t="e">
        <f t="shared" si="26"/>
        <v>#DIV/0!</v>
      </c>
      <c r="I540" s="40"/>
      <c r="J540" s="40"/>
      <c r="K540" s="40"/>
      <c r="L540" s="4" t="e">
        <f t="shared" si="27"/>
        <v>#DIV/0!</v>
      </c>
      <c r="AU540" s="22" t="e">
        <f t="shared" si="28"/>
        <v>#DIV/0!</v>
      </c>
      <c r="AV540" s="11" t="s">
        <v>166</v>
      </c>
      <c r="AW540" s="31">
        <v>346.48348557303598</v>
      </c>
      <c r="AX540" s="31">
        <v>1.6628140003098701E-2</v>
      </c>
      <c r="BK540" s="25" t="s">
        <v>204</v>
      </c>
    </row>
    <row r="541" spans="2:63" ht="15.6" x14ac:dyDescent="0.3">
      <c r="B541" s="11" t="s">
        <v>181</v>
      </c>
      <c r="C541" s="40" t="s">
        <v>192</v>
      </c>
      <c r="D541" s="40"/>
      <c r="E541" s="40"/>
      <c r="F541" s="54"/>
      <c r="G541" s="49"/>
      <c r="H541" s="48" t="e">
        <f t="shared" si="26"/>
        <v>#DIV/0!</v>
      </c>
      <c r="I541" s="40"/>
      <c r="J541" s="40"/>
      <c r="K541" s="40"/>
      <c r="L541" s="4" t="e">
        <f t="shared" si="27"/>
        <v>#DIV/0!</v>
      </c>
      <c r="AU541" s="22" t="e">
        <f t="shared" si="28"/>
        <v>#DIV/0!</v>
      </c>
      <c r="AV541" s="11" t="s">
        <v>166</v>
      </c>
      <c r="AW541" s="31">
        <v>207.711392596645</v>
      </c>
      <c r="AX541" s="31">
        <v>1.94017628150162E-2</v>
      </c>
      <c r="BK541" s="25" t="s">
        <v>204</v>
      </c>
    </row>
    <row r="542" spans="2:63" ht="15.6" x14ac:dyDescent="0.3">
      <c r="B542" s="11" t="s">
        <v>181</v>
      </c>
      <c r="C542" s="40" t="s">
        <v>192</v>
      </c>
      <c r="D542" s="40"/>
      <c r="E542" s="40"/>
      <c r="F542" s="54"/>
      <c r="G542" s="49"/>
      <c r="H542" s="48" t="e">
        <f t="shared" si="26"/>
        <v>#DIV/0!</v>
      </c>
      <c r="I542" s="40"/>
      <c r="J542" s="40"/>
      <c r="K542" s="40"/>
      <c r="L542" s="4" t="e">
        <f t="shared" si="27"/>
        <v>#DIV/0!</v>
      </c>
      <c r="AU542" s="22" t="e">
        <f t="shared" si="28"/>
        <v>#DIV/0!</v>
      </c>
      <c r="AV542" s="11" t="s">
        <v>166</v>
      </c>
      <c r="AW542" s="31">
        <v>278.25594022071198</v>
      </c>
      <c r="AX542" s="31">
        <v>3.5960959050559502E-2</v>
      </c>
      <c r="BK542" s="25" t="s">
        <v>204</v>
      </c>
    </row>
    <row r="543" spans="2:63" ht="15.6" x14ac:dyDescent="0.3">
      <c r="B543" s="11" t="s">
        <v>181</v>
      </c>
      <c r="C543" s="40" t="s">
        <v>192</v>
      </c>
      <c r="D543" s="40"/>
      <c r="E543" s="40"/>
      <c r="F543" s="54"/>
      <c r="G543" s="49"/>
      <c r="H543" s="48" t="e">
        <f t="shared" ref="H543:H606" si="29">((J543)*1000)/G543</f>
        <v>#DIV/0!</v>
      </c>
      <c r="I543" s="40"/>
      <c r="J543" s="40"/>
      <c r="K543" s="40"/>
      <c r="L543" s="4" t="e">
        <f t="shared" si="27"/>
        <v>#DIV/0!</v>
      </c>
      <c r="AU543" s="22" t="e">
        <f t="shared" si="28"/>
        <v>#DIV/0!</v>
      </c>
      <c r="AV543" s="11" t="s">
        <v>166</v>
      </c>
      <c r="AW543" s="31">
        <v>138.94954943731301</v>
      </c>
      <c r="AX543" s="31">
        <v>0.26717696209304198</v>
      </c>
      <c r="BK543" s="25" t="s">
        <v>204</v>
      </c>
    </row>
    <row r="544" spans="2:63" ht="15.6" x14ac:dyDescent="0.3">
      <c r="B544" s="11" t="s">
        <v>181</v>
      </c>
      <c r="C544" s="40" t="s">
        <v>192</v>
      </c>
      <c r="D544" s="40"/>
      <c r="E544" s="40"/>
      <c r="F544" s="54"/>
      <c r="G544" s="49"/>
      <c r="H544" s="48" t="e">
        <f t="shared" si="29"/>
        <v>#DIV/0!</v>
      </c>
      <c r="I544" s="40"/>
      <c r="J544" s="40"/>
      <c r="K544" s="40"/>
      <c r="L544" s="4" t="e">
        <f t="shared" si="27"/>
        <v>#DIV/0!</v>
      </c>
      <c r="AU544" s="22" t="e">
        <f t="shared" si="28"/>
        <v>#DIV/0!</v>
      </c>
      <c r="AV544" s="11" t="s">
        <v>166</v>
      </c>
      <c r="AW544" s="31">
        <v>48.143724207843398</v>
      </c>
      <c r="AX544" s="31">
        <v>2.0897736824080102</v>
      </c>
      <c r="BK544" s="25" t="s">
        <v>204</v>
      </c>
    </row>
    <row r="545" spans="2:63" ht="15.6" x14ac:dyDescent="0.3">
      <c r="B545" s="11" t="s">
        <v>181</v>
      </c>
      <c r="C545" s="40" t="s">
        <v>192</v>
      </c>
      <c r="D545" s="40"/>
      <c r="E545" s="40"/>
      <c r="F545" s="54"/>
      <c r="G545" s="49"/>
      <c r="H545" s="48" t="e">
        <f t="shared" si="29"/>
        <v>#DIV/0!</v>
      </c>
      <c r="I545" s="40"/>
      <c r="J545" s="40"/>
      <c r="K545" s="40"/>
      <c r="L545" s="4" t="e">
        <f t="shared" si="27"/>
        <v>#DIV/0!</v>
      </c>
      <c r="AU545" s="22" t="e">
        <f t="shared" si="28"/>
        <v>#DIV/0!</v>
      </c>
      <c r="AV545" s="11" t="s">
        <v>166</v>
      </c>
      <c r="AW545" s="31">
        <v>64.494667710376206</v>
      </c>
      <c r="AX545" s="31">
        <v>3.3196462865076302</v>
      </c>
      <c r="BK545" s="25" t="s">
        <v>204</v>
      </c>
    </row>
    <row r="546" spans="2:63" ht="15.6" x14ac:dyDescent="0.3">
      <c r="B546" s="11" t="s">
        <v>181</v>
      </c>
      <c r="C546" s="40" t="s">
        <v>192</v>
      </c>
      <c r="D546" s="40"/>
      <c r="E546" s="40"/>
      <c r="F546" s="54"/>
      <c r="G546" s="49"/>
      <c r="H546" s="48" t="e">
        <f t="shared" si="29"/>
        <v>#DIV/0!</v>
      </c>
      <c r="I546" s="40"/>
      <c r="J546" s="40"/>
      <c r="K546" s="40"/>
      <c r="L546" s="4" t="e">
        <f t="shared" si="27"/>
        <v>#DIV/0!</v>
      </c>
      <c r="AU546" s="22" t="e">
        <f t="shared" si="28"/>
        <v>#DIV/0!</v>
      </c>
      <c r="AV546" s="11" t="s">
        <v>166</v>
      </c>
      <c r="AW546" s="31">
        <v>24.935920049841499</v>
      </c>
      <c r="AX546" s="31">
        <v>439.21776811360002</v>
      </c>
      <c r="BK546" s="25" t="s">
        <v>204</v>
      </c>
    </row>
    <row r="547" spans="2:63" ht="15.6" x14ac:dyDescent="0.3">
      <c r="B547" s="11" t="s">
        <v>181</v>
      </c>
      <c r="C547" s="40" t="s">
        <v>192</v>
      </c>
      <c r="D547" s="40"/>
      <c r="E547" s="40"/>
      <c r="F547" s="54"/>
      <c r="G547" s="49"/>
      <c r="H547" s="48" t="e">
        <f t="shared" si="29"/>
        <v>#DIV/0!</v>
      </c>
      <c r="I547" s="40"/>
      <c r="J547" s="40"/>
      <c r="K547" s="40"/>
      <c r="L547" s="4" t="e">
        <f t="shared" si="27"/>
        <v>#DIV/0!</v>
      </c>
      <c r="AU547" s="22" t="e">
        <f t="shared" si="28"/>
        <v>#DIV/0!</v>
      </c>
      <c r="AV547" s="11" t="s">
        <v>166</v>
      </c>
      <c r="AW547" s="31">
        <v>20.771139259664501</v>
      </c>
      <c r="AX547" s="31">
        <v>597.96386173840096</v>
      </c>
      <c r="BK547" s="25" t="s">
        <v>204</v>
      </c>
    </row>
    <row r="548" spans="2:63" ht="15.6" x14ac:dyDescent="0.3">
      <c r="B548" s="11" t="s">
        <v>182</v>
      </c>
      <c r="C548" s="40" t="s">
        <v>205</v>
      </c>
      <c r="D548" s="40"/>
      <c r="E548" s="40"/>
      <c r="F548" s="54"/>
      <c r="G548" s="49"/>
      <c r="H548" s="48" t="e">
        <f t="shared" si="29"/>
        <v>#DIV/0!</v>
      </c>
      <c r="I548" s="40"/>
      <c r="J548" s="40"/>
      <c r="K548" s="40"/>
      <c r="L548" s="4" t="e">
        <f t="shared" si="27"/>
        <v>#DIV/0!</v>
      </c>
      <c r="AU548" s="22" t="e">
        <f t="shared" si="28"/>
        <v>#DIV/0!</v>
      </c>
      <c r="AV548" s="11" t="s">
        <v>166</v>
      </c>
      <c r="AW548" s="31">
        <v>622.35135834515199</v>
      </c>
      <c r="AX548" s="31">
        <v>7.6013949892786295E-4</v>
      </c>
      <c r="BK548" s="25" t="s">
        <v>204</v>
      </c>
    </row>
    <row r="549" spans="2:63" ht="15.6" x14ac:dyDescent="0.3">
      <c r="B549" s="11" t="s">
        <v>182</v>
      </c>
      <c r="C549" s="40" t="s">
        <v>205</v>
      </c>
      <c r="D549" s="40"/>
      <c r="E549" s="40"/>
      <c r="F549" s="54"/>
      <c r="G549" s="49"/>
      <c r="H549" s="48" t="e">
        <f t="shared" si="29"/>
        <v>#DIV/0!</v>
      </c>
      <c r="I549" s="40"/>
      <c r="J549" s="40"/>
      <c r="K549" s="40"/>
      <c r="L549" s="4" t="e">
        <f t="shared" si="27"/>
        <v>#DIV/0!</v>
      </c>
      <c r="AU549" s="22" t="e">
        <f t="shared" si="28"/>
        <v>#DIV/0!</v>
      </c>
      <c r="AV549" s="11" t="s">
        <v>166</v>
      </c>
      <c r="AW549" s="31">
        <v>402.01376197790597</v>
      </c>
      <c r="AX549" s="31">
        <v>5.6475624525178696E-3</v>
      </c>
      <c r="BK549" s="25" t="s">
        <v>204</v>
      </c>
    </row>
    <row r="550" spans="2:63" ht="15.6" x14ac:dyDescent="0.3">
      <c r="B550" s="11" t="s">
        <v>182</v>
      </c>
      <c r="C550" s="40" t="s">
        <v>205</v>
      </c>
      <c r="D550" s="40"/>
      <c r="E550" s="40"/>
      <c r="F550" s="54"/>
      <c r="G550" s="49"/>
      <c r="H550" s="48" t="e">
        <f t="shared" si="29"/>
        <v>#DIV/0!</v>
      </c>
      <c r="I550" s="40"/>
      <c r="J550" s="40"/>
      <c r="K550" s="40"/>
      <c r="L550" s="4" t="e">
        <f t="shared" si="27"/>
        <v>#DIV/0!</v>
      </c>
      <c r="AU550" s="22" t="e">
        <f t="shared" si="28"/>
        <v>#DIV/0!</v>
      </c>
      <c r="AV550" s="11" t="s">
        <v>166</v>
      </c>
      <c r="AW550" s="31">
        <v>351.12646861820502</v>
      </c>
      <c r="AX550" s="31">
        <v>3.08200789505374E-2</v>
      </c>
      <c r="BK550" s="25" t="s">
        <v>204</v>
      </c>
    </row>
    <row r="551" spans="2:63" ht="15.6" x14ac:dyDescent="0.3">
      <c r="B551" s="11" t="s">
        <v>182</v>
      </c>
      <c r="C551" s="40" t="s">
        <v>205</v>
      </c>
      <c r="D551" s="40"/>
      <c r="E551" s="40"/>
      <c r="F551" s="54"/>
      <c r="G551" s="49"/>
      <c r="H551" s="48" t="e">
        <f t="shared" si="29"/>
        <v>#DIV/0!</v>
      </c>
      <c r="I551" s="40"/>
      <c r="J551" s="40"/>
      <c r="K551" s="40"/>
      <c r="L551" s="4" t="e">
        <f t="shared" si="27"/>
        <v>#DIV/0!</v>
      </c>
      <c r="AU551" s="22" t="e">
        <f t="shared" si="28"/>
        <v>#DIV/0!</v>
      </c>
      <c r="AV551" s="11" t="s">
        <v>166</v>
      </c>
      <c r="AW551" s="31">
        <v>189.00047338720799</v>
      </c>
      <c r="AX551" s="31">
        <v>2.3832588580853801E-2</v>
      </c>
      <c r="BK551" s="25" t="s">
        <v>204</v>
      </c>
    </row>
    <row r="552" spans="2:63" ht="15.6" x14ac:dyDescent="0.3">
      <c r="B552" s="11" t="s">
        <v>182</v>
      </c>
      <c r="C552" s="40" t="s">
        <v>205</v>
      </c>
      <c r="D552" s="40"/>
      <c r="E552" s="40"/>
      <c r="F552" s="54"/>
      <c r="G552" s="49"/>
      <c r="H552" s="48" t="e">
        <f t="shared" si="29"/>
        <v>#DIV/0!</v>
      </c>
      <c r="I552" s="40"/>
      <c r="J552" s="40"/>
      <c r="K552" s="40"/>
      <c r="L552" s="4" t="e">
        <f t="shared" si="27"/>
        <v>#DIV/0!</v>
      </c>
      <c r="AU552" s="22" t="e">
        <f t="shared" si="28"/>
        <v>#DIV/0!</v>
      </c>
      <c r="AV552" s="11" t="s">
        <v>166</v>
      </c>
      <c r="AW552" s="31">
        <v>122.061285143809</v>
      </c>
      <c r="AX552" s="31">
        <v>0.22898207619810801</v>
      </c>
      <c r="BK552" s="25" t="s">
        <v>204</v>
      </c>
    </row>
    <row r="553" spans="2:63" ht="15.6" x14ac:dyDescent="0.3">
      <c r="B553" s="11" t="s">
        <v>183</v>
      </c>
      <c r="C553" s="40" t="s">
        <v>206</v>
      </c>
      <c r="D553" s="40"/>
      <c r="E553" s="40"/>
      <c r="F553" s="54"/>
      <c r="G553" s="49"/>
      <c r="H553" s="48" t="e">
        <f t="shared" si="29"/>
        <v>#DIV/0!</v>
      </c>
      <c r="I553" s="40"/>
      <c r="J553" s="40"/>
      <c r="K553" s="40"/>
      <c r="L553" s="4" t="e">
        <f t="shared" si="27"/>
        <v>#DIV/0!</v>
      </c>
      <c r="AU553" s="22" t="e">
        <f t="shared" si="28"/>
        <v>#DIV/0!</v>
      </c>
      <c r="AV553" s="11" t="s">
        <v>166</v>
      </c>
      <c r="AW553" s="31">
        <v>839.92579745051603</v>
      </c>
      <c r="AX553" s="31">
        <v>5.6475624525178696E-3</v>
      </c>
      <c r="BK553" s="25" t="s">
        <v>204</v>
      </c>
    </row>
    <row r="554" spans="2:63" ht="15.6" x14ac:dyDescent="0.3">
      <c r="B554" s="11" t="s">
        <v>183</v>
      </c>
      <c r="C554" s="40" t="s">
        <v>206</v>
      </c>
      <c r="D554" s="40"/>
      <c r="E554" s="40"/>
      <c r="F554" s="54"/>
      <c r="G554" s="49"/>
      <c r="H554" s="48" t="e">
        <f t="shared" si="29"/>
        <v>#DIV/0!</v>
      </c>
      <c r="I554" s="40"/>
      <c r="J554" s="40"/>
      <c r="K554" s="40"/>
      <c r="L554" s="4" t="e">
        <f t="shared" si="27"/>
        <v>#DIV/0!</v>
      </c>
      <c r="AU554" s="22" t="e">
        <f t="shared" si="28"/>
        <v>#DIV/0!</v>
      </c>
      <c r="AV554" s="11" t="s">
        <v>166</v>
      </c>
      <c r="AW554" s="31">
        <v>652.51510673984501</v>
      </c>
      <c r="AX554" s="31">
        <v>2.7807934671431798E-2</v>
      </c>
      <c r="BK554" s="25" t="s">
        <v>204</v>
      </c>
    </row>
    <row r="555" spans="2:63" ht="15.6" x14ac:dyDescent="0.3">
      <c r="B555" s="11" t="s">
        <v>183</v>
      </c>
      <c r="C555" s="40" t="s">
        <v>206</v>
      </c>
      <c r="D555" s="40"/>
      <c r="E555" s="40"/>
      <c r="F555" s="54"/>
      <c r="G555" s="49"/>
      <c r="H555" s="48" t="e">
        <f t="shared" si="29"/>
        <v>#DIV/0!</v>
      </c>
      <c r="I555" s="40"/>
      <c r="J555" s="40"/>
      <c r="K555" s="40"/>
      <c r="L555" s="4" t="e">
        <f t="shared" si="27"/>
        <v>#DIV/0!</v>
      </c>
      <c r="AU555" s="22" t="e">
        <f t="shared" si="28"/>
        <v>#DIV/0!</v>
      </c>
      <c r="AV555" s="11" t="s">
        <v>166</v>
      </c>
      <c r="AW555" s="31">
        <v>401.14603503065001</v>
      </c>
      <c r="AX555" s="31">
        <v>8.1875009758845402E-2</v>
      </c>
      <c r="BK555" s="25" t="s">
        <v>204</v>
      </c>
    </row>
    <row r="556" spans="2:63" ht="15.6" x14ac:dyDescent="0.3">
      <c r="B556" s="11" t="s">
        <v>183</v>
      </c>
      <c r="C556" s="40" t="s">
        <v>206</v>
      </c>
      <c r="D556" s="40"/>
      <c r="E556" s="40"/>
      <c r="F556" s="54"/>
      <c r="G556" s="49"/>
      <c r="H556" s="48" t="e">
        <f t="shared" si="29"/>
        <v>#DIV/0!</v>
      </c>
      <c r="I556" s="40"/>
      <c r="J556" s="40"/>
      <c r="K556" s="40"/>
      <c r="L556" s="4" t="e">
        <f t="shared" si="27"/>
        <v>#DIV/0!</v>
      </c>
      <c r="AU556" s="22" t="e">
        <f t="shared" si="28"/>
        <v>#DIV/0!</v>
      </c>
      <c r="AV556" s="11" t="s">
        <v>166</v>
      </c>
      <c r="AW556" s="31">
        <v>296.48067497835001</v>
      </c>
      <c r="AX556" s="31">
        <v>0.25378532242935098</v>
      </c>
      <c r="BK556" s="25" t="s">
        <v>204</v>
      </c>
    </row>
    <row r="557" spans="2:63" ht="15.6" x14ac:dyDescent="0.3">
      <c r="B557" s="11" t="s">
        <v>183</v>
      </c>
      <c r="C557" s="40" t="s">
        <v>206</v>
      </c>
      <c r="D557" s="40"/>
      <c r="E557" s="40"/>
      <c r="F557" s="54"/>
      <c r="G557" s="49"/>
      <c r="H557" s="48" t="e">
        <f t="shared" si="29"/>
        <v>#DIV/0!</v>
      </c>
      <c r="I557" s="40"/>
      <c r="J557" s="40"/>
      <c r="K557" s="40"/>
      <c r="L557" s="4" t="e">
        <f t="shared" si="27"/>
        <v>#DIV/0!</v>
      </c>
      <c r="AU557" s="22" t="e">
        <f t="shared" si="28"/>
        <v>#DIV/0!</v>
      </c>
      <c r="AV557" s="11" t="s">
        <v>166</v>
      </c>
      <c r="AW557" s="31">
        <v>188.616036676351</v>
      </c>
      <c r="AX557" s="31">
        <v>0.29611746297476099</v>
      </c>
      <c r="BK557" s="25" t="s">
        <v>204</v>
      </c>
    </row>
    <row r="558" spans="2:63" ht="15.6" x14ac:dyDescent="0.3">
      <c r="B558" s="11" t="s">
        <v>183</v>
      </c>
      <c r="C558" s="40" t="s">
        <v>206</v>
      </c>
      <c r="D558" s="40"/>
      <c r="E558" s="40"/>
      <c r="F558" s="54"/>
      <c r="G558" s="49"/>
      <c r="H558" s="48" t="e">
        <f t="shared" si="29"/>
        <v>#DIV/0!</v>
      </c>
      <c r="I558" s="40"/>
      <c r="J558" s="40"/>
      <c r="K558" s="40"/>
      <c r="L558" s="4" t="e">
        <f t="shared" si="27"/>
        <v>#DIV/0!</v>
      </c>
      <c r="AU558" s="22" t="e">
        <f t="shared" si="28"/>
        <v>#DIV/0!</v>
      </c>
      <c r="AV558" s="11" t="s">
        <v>166</v>
      </c>
      <c r="AW558" s="31">
        <v>167.85729532420299</v>
      </c>
      <c r="AX558" s="31">
        <v>0.136923006552298</v>
      </c>
      <c r="BK558" s="25" t="s">
        <v>204</v>
      </c>
    </row>
    <row r="559" spans="2:63" ht="15.6" x14ac:dyDescent="0.3">
      <c r="B559" s="11" t="s">
        <v>183</v>
      </c>
      <c r="C559" s="40" t="s">
        <v>206</v>
      </c>
      <c r="D559" s="40"/>
      <c r="E559" s="40"/>
      <c r="F559" s="54"/>
      <c r="G559" s="49"/>
      <c r="H559" s="48" t="e">
        <f t="shared" si="29"/>
        <v>#DIV/0!</v>
      </c>
      <c r="I559" s="40"/>
      <c r="J559" s="40"/>
      <c r="K559" s="40"/>
      <c r="L559" s="4" t="e">
        <f t="shared" si="27"/>
        <v>#DIV/0!</v>
      </c>
      <c r="AU559" s="22" t="e">
        <f t="shared" si="28"/>
        <v>#DIV/0!</v>
      </c>
      <c r="AV559" s="11" t="s">
        <v>166</v>
      </c>
      <c r="AW559" s="31">
        <v>119.839889139332</v>
      </c>
      <c r="AX559" s="31">
        <v>1.70125427985258</v>
      </c>
      <c r="BK559" s="25" t="s">
        <v>204</v>
      </c>
    </row>
    <row r="560" spans="2:63" ht="15.6" x14ac:dyDescent="0.3">
      <c r="B560" s="11" t="s">
        <v>183</v>
      </c>
      <c r="C560" s="40" t="s">
        <v>206</v>
      </c>
      <c r="D560" s="40"/>
      <c r="E560" s="40"/>
      <c r="F560" s="54"/>
      <c r="G560" s="49"/>
      <c r="H560" s="48" t="e">
        <f t="shared" si="29"/>
        <v>#DIV/0!</v>
      </c>
      <c r="I560" s="40"/>
      <c r="J560" s="40"/>
      <c r="K560" s="40"/>
      <c r="L560" s="4" t="e">
        <f t="shared" si="27"/>
        <v>#DIV/0!</v>
      </c>
      <c r="AU560" s="22" t="e">
        <f t="shared" si="28"/>
        <v>#DIV/0!</v>
      </c>
      <c r="AV560" s="11" t="s">
        <v>166</v>
      </c>
      <c r="AW560" s="31">
        <v>128.05174989468301</v>
      </c>
      <c r="AX560" s="31">
        <v>4.0777616412804898</v>
      </c>
      <c r="BK560" s="25" t="s">
        <v>204</v>
      </c>
    </row>
    <row r="561" spans="2:63" ht="15.6" x14ac:dyDescent="0.3">
      <c r="B561" s="11" t="s">
        <v>183</v>
      </c>
      <c r="C561" s="40" t="s">
        <v>206</v>
      </c>
      <c r="D561" s="40"/>
      <c r="E561" s="40"/>
      <c r="F561" s="54"/>
      <c r="G561" s="49"/>
      <c r="H561" s="48" t="e">
        <f t="shared" si="29"/>
        <v>#DIV/0!</v>
      </c>
      <c r="I561" s="40"/>
      <c r="J561" s="40"/>
      <c r="K561" s="40"/>
      <c r="L561" s="4" t="e">
        <f t="shared" si="27"/>
        <v>#DIV/0!</v>
      </c>
      <c r="AU561" s="22" t="e">
        <f t="shared" si="28"/>
        <v>#DIV/0!</v>
      </c>
      <c r="AV561" s="11" t="s">
        <v>166</v>
      </c>
      <c r="AW561" s="31">
        <v>127.977277524063</v>
      </c>
      <c r="AX561" s="31">
        <v>8.3767764006828909</v>
      </c>
      <c r="BK561" s="25" t="s">
        <v>204</v>
      </c>
    </row>
    <row r="562" spans="2:63" ht="15.6" x14ac:dyDescent="0.3">
      <c r="B562" s="11" t="s">
        <v>183</v>
      </c>
      <c r="C562" s="40" t="s">
        <v>206</v>
      </c>
      <c r="D562" s="40"/>
      <c r="E562" s="40"/>
      <c r="F562" s="54"/>
      <c r="G562" s="49"/>
      <c r="H562" s="48" t="e">
        <f t="shared" si="29"/>
        <v>#DIV/0!</v>
      </c>
      <c r="I562" s="40"/>
      <c r="J562" s="40"/>
      <c r="K562" s="40"/>
      <c r="L562" s="4" t="e">
        <f t="shared" si="27"/>
        <v>#DIV/0!</v>
      </c>
      <c r="AU562" s="22" t="e">
        <f t="shared" si="28"/>
        <v>#DIV/0!</v>
      </c>
      <c r="AV562" s="11" t="s">
        <v>166</v>
      </c>
      <c r="AW562" s="31">
        <v>102.98355444419801</v>
      </c>
      <c r="AX562" s="31">
        <v>5.0090095654714997</v>
      </c>
      <c r="BK562" s="25" t="s">
        <v>204</v>
      </c>
    </row>
    <row r="563" spans="2:63" ht="15.6" x14ac:dyDescent="0.3">
      <c r="B563" s="11" t="s">
        <v>183</v>
      </c>
      <c r="C563" s="40" t="s">
        <v>206</v>
      </c>
      <c r="D563" s="40"/>
      <c r="E563" s="40"/>
      <c r="F563" s="54"/>
      <c r="G563" s="49"/>
      <c r="H563" s="48" t="e">
        <f t="shared" si="29"/>
        <v>#DIV/0!</v>
      </c>
      <c r="I563" s="40"/>
      <c r="J563" s="40"/>
      <c r="K563" s="40"/>
      <c r="L563" s="4" t="e">
        <f t="shared" si="27"/>
        <v>#DIV/0!</v>
      </c>
      <c r="AU563" s="22" t="e">
        <f t="shared" si="28"/>
        <v>#DIV/0!</v>
      </c>
      <c r="AV563" s="11" t="s">
        <v>166</v>
      </c>
      <c r="AW563" s="31">
        <v>76.141982845131395</v>
      </c>
      <c r="AX563" s="31">
        <v>9.7740474190251199</v>
      </c>
      <c r="BK563" s="25" t="s">
        <v>204</v>
      </c>
    </row>
    <row r="564" spans="2:63" ht="15.6" x14ac:dyDescent="0.3">
      <c r="B564" s="11" t="s">
        <v>183</v>
      </c>
      <c r="C564" s="40" t="s">
        <v>206</v>
      </c>
      <c r="D564" s="40"/>
      <c r="E564" s="40"/>
      <c r="F564" s="54"/>
      <c r="G564" s="49"/>
      <c r="H564" s="48" t="e">
        <f t="shared" si="29"/>
        <v>#DIV/0!</v>
      </c>
      <c r="I564" s="40"/>
      <c r="J564" s="40"/>
      <c r="K564" s="40"/>
      <c r="L564" s="4" t="e">
        <f t="shared" si="27"/>
        <v>#DIV/0!</v>
      </c>
      <c r="AU564" s="22" t="e">
        <f t="shared" si="28"/>
        <v>#DIV/0!</v>
      </c>
      <c r="AV564" s="11" t="s">
        <v>166</v>
      </c>
      <c r="AW564" s="31">
        <v>73.612641550237498</v>
      </c>
      <c r="AX564" s="31">
        <v>14.0088338722174</v>
      </c>
      <c r="BK564" s="25" t="s">
        <v>204</v>
      </c>
    </row>
    <row r="565" spans="2:63" ht="15.6" x14ac:dyDescent="0.3">
      <c r="B565" s="11" t="s">
        <v>183</v>
      </c>
      <c r="C565" s="40" t="s">
        <v>206</v>
      </c>
      <c r="D565" s="40"/>
      <c r="E565" s="40"/>
      <c r="F565" s="54"/>
      <c r="G565" s="49"/>
      <c r="H565" s="48" t="e">
        <f t="shared" si="29"/>
        <v>#DIV/0!</v>
      </c>
      <c r="I565" s="40"/>
      <c r="J565" s="40"/>
      <c r="K565" s="40"/>
      <c r="L565" s="4" t="e">
        <f t="shared" si="27"/>
        <v>#DIV/0!</v>
      </c>
      <c r="AU565" s="22" t="e">
        <f t="shared" si="28"/>
        <v>#DIV/0!</v>
      </c>
      <c r="AV565" s="11" t="s">
        <v>166</v>
      </c>
      <c r="AW565" s="31">
        <v>66.545321504086701</v>
      </c>
      <c r="AX565" s="31">
        <v>24.6637752014779</v>
      </c>
      <c r="BK565" s="25" t="s">
        <v>204</v>
      </c>
    </row>
    <row r="566" spans="2:63" ht="15.6" x14ac:dyDescent="0.3">
      <c r="B566" s="11" t="s">
        <v>183</v>
      </c>
      <c r="C566" s="40" t="s">
        <v>206</v>
      </c>
      <c r="D566" s="40"/>
      <c r="E566" s="40"/>
      <c r="F566" s="54"/>
      <c r="G566" s="49"/>
      <c r="H566" s="48" t="e">
        <f t="shared" si="29"/>
        <v>#DIV/0!</v>
      </c>
      <c r="I566" s="40"/>
      <c r="J566" s="40"/>
      <c r="K566" s="40"/>
      <c r="L566" s="4" t="e">
        <f t="shared" si="27"/>
        <v>#DIV/0!</v>
      </c>
      <c r="AU566" s="22" t="e">
        <f t="shared" si="28"/>
        <v>#DIV/0!</v>
      </c>
      <c r="AV566" s="11" t="s">
        <v>166</v>
      </c>
      <c r="AW566" s="31">
        <v>57.258958846493798</v>
      </c>
      <c r="AX566" s="31">
        <v>14.7480462645236</v>
      </c>
      <c r="BK566" s="25" t="s">
        <v>204</v>
      </c>
    </row>
    <row r="567" spans="2:63" ht="15.6" x14ac:dyDescent="0.3">
      <c r="B567" s="11" t="s">
        <v>183</v>
      </c>
      <c r="C567" s="40" t="s">
        <v>206</v>
      </c>
      <c r="D567" s="40"/>
      <c r="E567" s="40"/>
      <c r="F567" s="54"/>
      <c r="G567" s="49"/>
      <c r="H567" s="48" t="e">
        <f t="shared" si="29"/>
        <v>#DIV/0!</v>
      </c>
      <c r="I567" s="40"/>
      <c r="J567" s="40"/>
      <c r="K567" s="40"/>
      <c r="L567" s="4" t="e">
        <f t="shared" si="27"/>
        <v>#DIV/0!</v>
      </c>
      <c r="AU567" s="22" t="e">
        <f t="shared" si="28"/>
        <v>#DIV/0!</v>
      </c>
      <c r="AV567" s="11" t="s">
        <v>166</v>
      </c>
      <c r="AW567" s="31">
        <v>60.181515155884597</v>
      </c>
      <c r="AX567" s="31">
        <v>25.965223161835599</v>
      </c>
      <c r="BK567" s="25" t="s">
        <v>204</v>
      </c>
    </row>
    <row r="568" spans="2:63" ht="15.6" x14ac:dyDescent="0.3">
      <c r="B568" s="11" t="s">
        <v>183</v>
      </c>
      <c r="C568" s="40" t="s">
        <v>206</v>
      </c>
      <c r="D568" s="40"/>
      <c r="E568" s="40"/>
      <c r="F568" s="54"/>
      <c r="G568" s="49"/>
      <c r="H568" s="48" t="e">
        <f t="shared" si="29"/>
        <v>#DIV/0!</v>
      </c>
      <c r="I568" s="40"/>
      <c r="J568" s="40"/>
      <c r="K568" s="40"/>
      <c r="L568" s="4" t="e">
        <f t="shared" si="27"/>
        <v>#DIV/0!</v>
      </c>
      <c r="AU568" s="22" t="e">
        <f t="shared" si="28"/>
        <v>#DIV/0!</v>
      </c>
      <c r="AV568" s="11" t="s">
        <v>166</v>
      </c>
      <c r="AW568" s="31">
        <v>58.182360605593097</v>
      </c>
      <c r="AX568" s="31">
        <v>37.215135361547901</v>
      </c>
      <c r="BK568" s="25" t="s">
        <v>204</v>
      </c>
    </row>
    <row r="569" spans="2:63" ht="15.6" x14ac:dyDescent="0.3">
      <c r="B569" s="11" t="s">
        <v>183</v>
      </c>
      <c r="C569" s="40" t="s">
        <v>206</v>
      </c>
      <c r="D569" s="40"/>
      <c r="E569" s="40"/>
      <c r="F569" s="54"/>
      <c r="G569" s="49"/>
      <c r="H569" s="48" t="e">
        <f t="shared" si="29"/>
        <v>#DIV/0!</v>
      </c>
      <c r="I569" s="40"/>
      <c r="J569" s="40"/>
      <c r="K569" s="40"/>
      <c r="L569" s="4" t="e">
        <f t="shared" si="27"/>
        <v>#DIV/0!</v>
      </c>
      <c r="AU569" s="22" t="e">
        <f t="shared" si="28"/>
        <v>#DIV/0!</v>
      </c>
      <c r="AV569" s="11" t="s">
        <v>166</v>
      </c>
      <c r="AW569" s="31">
        <v>50.904232200013098</v>
      </c>
      <c r="AX569" s="31">
        <v>24.6637752014779</v>
      </c>
      <c r="BK569" s="25" t="s">
        <v>204</v>
      </c>
    </row>
    <row r="570" spans="2:63" ht="15.6" x14ac:dyDescent="0.3">
      <c r="B570" s="11" t="s">
        <v>183</v>
      </c>
      <c r="C570" s="40" t="s">
        <v>206</v>
      </c>
      <c r="D570" s="40"/>
      <c r="E570" s="40"/>
      <c r="F570" s="54"/>
      <c r="G570" s="49"/>
      <c r="H570" s="48" t="e">
        <f t="shared" si="29"/>
        <v>#DIV/0!</v>
      </c>
      <c r="I570" s="40"/>
      <c r="J570" s="40"/>
      <c r="K570" s="40"/>
      <c r="L570" s="4" t="e">
        <f t="shared" si="27"/>
        <v>#DIV/0!</v>
      </c>
      <c r="AU570" s="22" t="e">
        <f t="shared" si="28"/>
        <v>#DIV/0!</v>
      </c>
      <c r="AV570" s="11" t="s">
        <v>166</v>
      </c>
      <c r="AW570" s="31">
        <v>69.933144889398093</v>
      </c>
      <c r="AX570" s="31">
        <v>50.665769172965</v>
      </c>
      <c r="BK570" s="25" t="s">
        <v>204</v>
      </c>
    </row>
    <row r="571" spans="2:63" ht="15.6" x14ac:dyDescent="0.3">
      <c r="B571" s="11" t="s">
        <v>183</v>
      </c>
      <c r="C571" s="40" t="s">
        <v>206</v>
      </c>
      <c r="D571" s="40"/>
      <c r="E571" s="40"/>
      <c r="F571" s="54"/>
      <c r="G571" s="49"/>
      <c r="H571" s="48" t="e">
        <f t="shared" si="29"/>
        <v>#DIV/0!</v>
      </c>
      <c r="I571" s="40"/>
      <c r="J571" s="40"/>
      <c r="K571" s="40"/>
      <c r="L571" s="4" t="e">
        <f t="shared" si="27"/>
        <v>#DIV/0!</v>
      </c>
      <c r="AU571" s="22" t="e">
        <f t="shared" si="28"/>
        <v>#DIV/0!</v>
      </c>
      <c r="AV571" s="11" t="s">
        <v>166</v>
      </c>
      <c r="AW571" s="31">
        <v>49.188723670108097</v>
      </c>
      <c r="AX571" s="31">
        <v>65.520495211962</v>
      </c>
      <c r="BK571" s="25" t="s">
        <v>204</v>
      </c>
    </row>
    <row r="572" spans="2:63" ht="15.6" x14ac:dyDescent="0.3">
      <c r="B572" s="11" t="s">
        <v>183</v>
      </c>
      <c r="C572" s="40" t="s">
        <v>206</v>
      </c>
      <c r="D572" s="40"/>
      <c r="E572" s="40"/>
      <c r="F572" s="54"/>
      <c r="G572" s="49"/>
      <c r="H572" s="48" t="e">
        <f t="shared" si="29"/>
        <v>#DIV/0!</v>
      </c>
      <c r="I572" s="40"/>
      <c r="J572" s="40"/>
      <c r="K572" s="40"/>
      <c r="L572" s="4" t="e">
        <f t="shared" si="27"/>
        <v>#DIV/0!</v>
      </c>
      <c r="AU572" s="22" t="e">
        <f t="shared" si="28"/>
        <v>#DIV/0!</v>
      </c>
      <c r="AV572" s="11" t="s">
        <v>166</v>
      </c>
      <c r="AW572" s="31">
        <v>53.480209174196403</v>
      </c>
      <c r="AX572" s="31">
        <v>72.617648853495297</v>
      </c>
      <c r="BK572" s="25" t="s">
        <v>204</v>
      </c>
    </row>
    <row r="573" spans="2:63" ht="15.6" x14ac:dyDescent="0.3">
      <c r="B573" s="11" t="s">
        <v>183</v>
      </c>
      <c r="C573" s="40" t="s">
        <v>206</v>
      </c>
      <c r="D573" s="40"/>
      <c r="E573" s="40"/>
      <c r="F573" s="54"/>
      <c r="G573" s="49"/>
      <c r="H573" s="48" t="e">
        <f t="shared" si="29"/>
        <v>#DIV/0!</v>
      </c>
      <c r="I573" s="40"/>
      <c r="J573" s="40"/>
      <c r="K573" s="40"/>
      <c r="L573" s="4" t="e">
        <f t="shared" si="27"/>
        <v>#DIV/0!</v>
      </c>
      <c r="AU573" s="22" t="e">
        <f t="shared" si="28"/>
        <v>#DIV/0!</v>
      </c>
      <c r="AV573" s="11" t="s">
        <v>166</v>
      </c>
      <c r="AW573" s="31">
        <v>30.7708120691007</v>
      </c>
      <c r="AX573" s="31">
        <v>84.730486932218597</v>
      </c>
      <c r="BK573" s="25" t="s">
        <v>204</v>
      </c>
    </row>
    <row r="574" spans="2:63" ht="15.6" x14ac:dyDescent="0.3">
      <c r="B574" s="11" t="s">
        <v>207</v>
      </c>
      <c r="C574" s="40" t="s">
        <v>167</v>
      </c>
      <c r="D574" s="40"/>
      <c r="E574" s="40"/>
      <c r="F574" s="54"/>
      <c r="G574" s="49"/>
      <c r="H574" s="48" t="e">
        <f t="shared" si="29"/>
        <v>#DIV/0!</v>
      </c>
      <c r="I574" s="40"/>
      <c r="J574" s="40"/>
      <c r="K574" s="40"/>
      <c r="L574" s="4" t="e">
        <f t="shared" si="27"/>
        <v>#DIV/0!</v>
      </c>
      <c r="AU574" s="22" t="e">
        <f t="shared" si="28"/>
        <v>#DIV/0!</v>
      </c>
      <c r="AV574" s="11" t="s">
        <v>166</v>
      </c>
      <c r="AW574" s="31">
        <v>415.99984125409202</v>
      </c>
      <c r="AX574" s="31">
        <v>2.35617984528975E-3</v>
      </c>
      <c r="BK574" s="25" t="s">
        <v>204</v>
      </c>
    </row>
    <row r="575" spans="2:63" ht="15.6" x14ac:dyDescent="0.3">
      <c r="B575" s="11" t="s">
        <v>207</v>
      </c>
      <c r="C575" s="40" t="s">
        <v>167</v>
      </c>
      <c r="D575" s="40"/>
      <c r="E575" s="40"/>
      <c r="F575" s="54"/>
      <c r="G575" s="49"/>
      <c r="H575" s="48" t="e">
        <f t="shared" si="29"/>
        <v>#DIV/0!</v>
      </c>
      <c r="I575" s="40"/>
      <c r="J575" s="40"/>
      <c r="K575" s="40"/>
      <c r="L575" s="4" t="e">
        <f t="shared" si="27"/>
        <v>#DIV/0!</v>
      </c>
      <c r="AU575" s="22" t="e">
        <f t="shared" si="28"/>
        <v>#DIV/0!</v>
      </c>
      <c r="AV575" s="11" t="s">
        <v>166</v>
      </c>
      <c r="AW575" s="31">
        <v>402.18084760779601</v>
      </c>
      <c r="AX575" s="31">
        <v>3.3770382535163899E-3</v>
      </c>
      <c r="BK575" s="25" t="s">
        <v>204</v>
      </c>
    </row>
    <row r="576" spans="2:63" ht="15.6" x14ac:dyDescent="0.3">
      <c r="B576" s="11" t="s">
        <v>207</v>
      </c>
      <c r="C576" s="40" t="s">
        <v>167</v>
      </c>
      <c r="D576" s="40"/>
      <c r="E576" s="40"/>
      <c r="F576" s="54"/>
      <c r="G576" s="49"/>
      <c r="H576" s="48" t="e">
        <f t="shared" si="29"/>
        <v>#DIV/0!</v>
      </c>
      <c r="I576" s="40"/>
      <c r="J576" s="40"/>
      <c r="K576" s="40"/>
      <c r="L576" s="4" t="e">
        <f t="shared" si="27"/>
        <v>#DIV/0!</v>
      </c>
      <c r="AU576" s="22" t="e">
        <f t="shared" si="28"/>
        <v>#DIV/0!</v>
      </c>
      <c r="AV576" s="11" t="s">
        <v>166</v>
      </c>
      <c r="AW576" s="31">
        <v>369.58545033014798</v>
      </c>
      <c r="AX576" s="31">
        <v>8.9712631952173598E-3</v>
      </c>
      <c r="BK576" s="25" t="s">
        <v>204</v>
      </c>
    </row>
    <row r="577" spans="2:63" ht="15.6" x14ac:dyDescent="0.3">
      <c r="B577" s="11" t="s">
        <v>207</v>
      </c>
      <c r="C577" s="40" t="s">
        <v>167</v>
      </c>
      <c r="D577" s="40"/>
      <c r="E577" s="40"/>
      <c r="F577" s="54"/>
      <c r="G577" s="49"/>
      <c r="H577" s="48" t="e">
        <f t="shared" si="29"/>
        <v>#DIV/0!</v>
      </c>
      <c r="I577" s="40"/>
      <c r="J577" s="40"/>
      <c r="K577" s="40"/>
      <c r="L577" s="4" t="e">
        <f t="shared" si="27"/>
        <v>#DIV/0!</v>
      </c>
      <c r="AU577" s="22" t="e">
        <f t="shared" si="28"/>
        <v>#DIV/0!</v>
      </c>
      <c r="AV577" s="11" t="s">
        <v>166</v>
      </c>
      <c r="AW577" s="31">
        <v>230.82585743214301</v>
      </c>
      <c r="AX577" s="31">
        <v>8.61953566475301E-2</v>
      </c>
      <c r="BK577" s="25" t="s">
        <v>204</v>
      </c>
    </row>
    <row r="578" spans="2:63" ht="15.6" x14ac:dyDescent="0.3">
      <c r="B578" s="11" t="s">
        <v>207</v>
      </c>
      <c r="C578" s="40" t="s">
        <v>167</v>
      </c>
      <c r="D578" s="40"/>
      <c r="E578" s="40"/>
      <c r="F578" s="54"/>
      <c r="G578" s="49"/>
      <c r="H578" s="48" t="e">
        <f t="shared" si="29"/>
        <v>#DIV/0!</v>
      </c>
      <c r="I578" s="40"/>
      <c r="J578" s="40"/>
      <c r="K578" s="40"/>
      <c r="L578" s="4" t="e">
        <f t="shared" si="27"/>
        <v>#DIV/0!</v>
      </c>
      <c r="AU578" s="22" t="e">
        <f t="shared" si="28"/>
        <v>#DIV/0!</v>
      </c>
      <c r="AV578" s="11" t="s">
        <v>166</v>
      </c>
      <c r="AW578" s="31">
        <v>130.664046003735</v>
      </c>
      <c r="AX578" s="31">
        <v>5.7124685403199101E-2</v>
      </c>
      <c r="BK578" s="25" t="s">
        <v>204</v>
      </c>
    </row>
    <row r="579" spans="2:63" ht="15.6" x14ac:dyDescent="0.3">
      <c r="B579" s="11" t="s">
        <v>207</v>
      </c>
      <c r="C579" s="40" t="s">
        <v>167</v>
      </c>
      <c r="D579" s="40"/>
      <c r="E579" s="40"/>
      <c r="F579" s="54"/>
      <c r="G579" s="49"/>
      <c r="H579" s="48" t="e">
        <f t="shared" si="29"/>
        <v>#DIV/0!</v>
      </c>
      <c r="I579" s="40"/>
      <c r="J579" s="40"/>
      <c r="K579" s="40"/>
      <c r="L579" s="4" t="e">
        <f t="shared" si="27"/>
        <v>#DIV/0!</v>
      </c>
      <c r="AU579" s="22" t="e">
        <f t="shared" si="28"/>
        <v>#DIV/0!</v>
      </c>
      <c r="AV579" s="11" t="s">
        <v>166</v>
      </c>
      <c r="AW579" s="31">
        <v>170.784146021277</v>
      </c>
      <c r="AX579" s="31">
        <v>7.0170382867038E-2</v>
      </c>
      <c r="BK579" s="25" t="s">
        <v>204</v>
      </c>
    </row>
    <row r="580" spans="2:63" ht="15.6" x14ac:dyDescent="0.3">
      <c r="B580" s="11" t="s">
        <v>207</v>
      </c>
      <c r="C580" s="40" t="s">
        <v>167</v>
      </c>
      <c r="D580" s="40"/>
      <c r="E580" s="40"/>
      <c r="F580" s="54"/>
      <c r="G580" s="49"/>
      <c r="H580" s="48" t="e">
        <f t="shared" si="29"/>
        <v>#DIV/0!</v>
      </c>
      <c r="I580" s="40"/>
      <c r="J580" s="40"/>
      <c r="K580" s="40"/>
      <c r="L580" s="4" t="e">
        <f t="shared" si="27"/>
        <v>#DIV/0!</v>
      </c>
      <c r="AU580" s="22" t="e">
        <f t="shared" si="28"/>
        <v>#DIV/0!</v>
      </c>
      <c r="AV580" s="11" t="s">
        <v>166</v>
      </c>
      <c r="AW580" s="31">
        <v>182.562736217599</v>
      </c>
      <c r="AX580" s="31">
        <v>0.100572996445752</v>
      </c>
      <c r="BK580" s="25" t="s">
        <v>204</v>
      </c>
    </row>
    <row r="581" spans="2:63" ht="15.6" x14ac:dyDescent="0.3">
      <c r="B581" s="11" t="s">
        <v>207</v>
      </c>
      <c r="C581" s="40" t="s">
        <v>167</v>
      </c>
      <c r="D581" s="40"/>
      <c r="E581" s="40"/>
      <c r="F581" s="54"/>
      <c r="G581" s="49"/>
      <c r="H581" s="48" t="e">
        <f t="shared" si="29"/>
        <v>#DIV/0!</v>
      </c>
      <c r="I581" s="40"/>
      <c r="J581" s="40"/>
      <c r="K581" s="40"/>
      <c r="L581" s="4" t="e">
        <f t="shared" ref="L581:L644" si="30">J581/K581</f>
        <v>#DIV/0!</v>
      </c>
      <c r="AU581" s="22" t="e">
        <f t="shared" si="28"/>
        <v>#DIV/0!</v>
      </c>
      <c r="AV581" s="11" t="s">
        <v>166</v>
      </c>
      <c r="AW581" s="31">
        <v>115.960103585233</v>
      </c>
      <c r="AX581" s="31">
        <v>0.82815979711259902</v>
      </c>
      <c r="BK581" s="25" t="s">
        <v>204</v>
      </c>
    </row>
    <row r="582" spans="2:63" ht="15.6" x14ac:dyDescent="0.3">
      <c r="B582" s="11" t="s">
        <v>207</v>
      </c>
      <c r="C582" s="40" t="s">
        <v>167</v>
      </c>
      <c r="D582" s="40"/>
      <c r="E582" s="40"/>
      <c r="F582" s="54"/>
      <c r="G582" s="49"/>
      <c r="H582" s="48" t="e">
        <f t="shared" si="29"/>
        <v>#DIV/0!</v>
      </c>
      <c r="I582" s="40"/>
      <c r="J582" s="40"/>
      <c r="K582" s="40"/>
      <c r="L582" s="4" t="e">
        <f t="shared" si="30"/>
        <v>#DIV/0!</v>
      </c>
      <c r="AU582" s="22" t="e">
        <f t="shared" si="28"/>
        <v>#DIV/0!</v>
      </c>
      <c r="AV582" s="11" t="s">
        <v>166</v>
      </c>
      <c r="AW582" s="31">
        <v>87.205907462688401</v>
      </c>
      <c r="AX582" s="31">
        <v>1.18697531534554</v>
      </c>
      <c r="BK582" s="25" t="s">
        <v>204</v>
      </c>
    </row>
    <row r="583" spans="2:63" ht="15.6" x14ac:dyDescent="0.3">
      <c r="B583" s="11" t="s">
        <v>207</v>
      </c>
      <c r="C583" s="40" t="s">
        <v>167</v>
      </c>
      <c r="D583" s="40"/>
      <c r="E583" s="40"/>
      <c r="F583" s="54"/>
      <c r="G583" s="49"/>
      <c r="H583" s="48" t="e">
        <f t="shared" si="29"/>
        <v>#DIV/0!</v>
      </c>
      <c r="I583" s="40"/>
      <c r="J583" s="40"/>
      <c r="K583" s="40"/>
      <c r="L583" s="4" t="e">
        <f t="shared" si="30"/>
        <v>#DIV/0!</v>
      </c>
      <c r="AU583" s="22" t="e">
        <f t="shared" si="28"/>
        <v>#DIV/0!</v>
      </c>
      <c r="AV583" s="11" t="s">
        <v>166</v>
      </c>
      <c r="AW583" s="31">
        <v>141.68656493137601</v>
      </c>
      <c r="AX583" s="31">
        <v>1.70125427985258</v>
      </c>
      <c r="BK583" s="25" t="s">
        <v>204</v>
      </c>
    </row>
    <row r="584" spans="2:63" ht="15.6" x14ac:dyDescent="0.3">
      <c r="B584" s="11" t="s">
        <v>207</v>
      </c>
      <c r="C584" s="40" t="s">
        <v>167</v>
      </c>
      <c r="D584" s="40"/>
      <c r="E584" s="40"/>
      <c r="F584" s="54"/>
      <c r="G584" s="49"/>
      <c r="H584" s="48" t="e">
        <f t="shared" si="29"/>
        <v>#DIV/0!</v>
      </c>
      <c r="I584" s="40"/>
      <c r="J584" s="40"/>
      <c r="K584" s="40"/>
      <c r="L584" s="4" t="e">
        <f t="shared" si="30"/>
        <v>#DIV/0!</v>
      </c>
      <c r="AU584" s="22" t="e">
        <f t="shared" si="28"/>
        <v>#DIV/0!</v>
      </c>
      <c r="AV584" s="11" t="s">
        <v>166</v>
      </c>
      <c r="AW584" s="31">
        <v>70.087330978249796</v>
      </c>
      <c r="AX584" s="31">
        <v>3.3196462865076302</v>
      </c>
      <c r="BK584" s="25" t="s">
        <v>204</v>
      </c>
    </row>
    <row r="585" spans="2:63" ht="15.6" x14ac:dyDescent="0.3">
      <c r="B585" s="11" t="s">
        <v>207</v>
      </c>
      <c r="C585" s="40" t="s">
        <v>167</v>
      </c>
      <c r="D585" s="40"/>
      <c r="E585" s="40"/>
      <c r="F585" s="54"/>
      <c r="G585" s="49"/>
      <c r="H585" s="48" t="e">
        <f t="shared" si="29"/>
        <v>#DIV/0!</v>
      </c>
      <c r="I585" s="40"/>
      <c r="J585" s="40"/>
      <c r="K585" s="40"/>
      <c r="L585" s="4" t="e">
        <f t="shared" si="30"/>
        <v>#DIV/0!</v>
      </c>
      <c r="AU585" s="22" t="e">
        <f t="shared" si="28"/>
        <v>#DIV/0!</v>
      </c>
      <c r="AV585" s="11" t="s">
        <v>166</v>
      </c>
      <c r="AW585" s="31">
        <v>63.247985180492101</v>
      </c>
      <c r="AX585" s="31">
        <v>50.665769172965</v>
      </c>
      <c r="BK585" s="25" t="s">
        <v>204</v>
      </c>
    </row>
    <row r="586" spans="2:63" ht="15.6" x14ac:dyDescent="0.3">
      <c r="B586" s="11" t="s">
        <v>207</v>
      </c>
      <c r="C586" s="40" t="s">
        <v>167</v>
      </c>
      <c r="D586" s="40"/>
      <c r="E586" s="40"/>
      <c r="F586" s="54"/>
      <c r="G586" s="49"/>
      <c r="H586" s="48" t="e">
        <f t="shared" si="29"/>
        <v>#DIV/0!</v>
      </c>
      <c r="I586" s="40"/>
      <c r="J586" s="40"/>
      <c r="K586" s="40"/>
      <c r="L586" s="4" t="e">
        <f t="shared" si="30"/>
        <v>#DIV/0!</v>
      </c>
      <c r="AU586" s="22" t="e">
        <f t="shared" si="28"/>
        <v>#DIV/0!</v>
      </c>
      <c r="AV586" s="11" t="s">
        <v>166</v>
      </c>
      <c r="AW586" s="31">
        <v>49.176461407568603</v>
      </c>
      <c r="AX586" s="31">
        <v>89.201510467636197</v>
      </c>
      <c r="BK586" s="25" t="s">
        <v>204</v>
      </c>
    </row>
    <row r="587" spans="2:63" ht="15.6" x14ac:dyDescent="0.3">
      <c r="B587" s="11" t="s">
        <v>207</v>
      </c>
      <c r="C587" s="40" t="s">
        <v>167</v>
      </c>
      <c r="D587" s="40"/>
      <c r="E587" s="40"/>
      <c r="F587" s="54"/>
      <c r="G587" s="49"/>
      <c r="H587" s="48" t="e">
        <f t="shared" si="29"/>
        <v>#DIV/0!</v>
      </c>
      <c r="I587" s="40"/>
      <c r="J587" s="40"/>
      <c r="K587" s="40"/>
      <c r="L587" s="4" t="e">
        <f t="shared" si="30"/>
        <v>#DIV/0!</v>
      </c>
      <c r="AU587" s="22" t="e">
        <f t="shared" si="28"/>
        <v>#DIV/0!</v>
      </c>
      <c r="AV587" s="11" t="s">
        <v>166</v>
      </c>
      <c r="AW587" s="31">
        <v>43.001660337642399</v>
      </c>
      <c r="AX587" s="31">
        <v>115.354552687086</v>
      </c>
      <c r="BK587" s="25" t="s">
        <v>204</v>
      </c>
    </row>
    <row r="588" spans="2:63" ht="15.6" x14ac:dyDescent="0.3">
      <c r="B588" s="11" t="s">
        <v>207</v>
      </c>
      <c r="C588" s="40" t="s">
        <v>167</v>
      </c>
      <c r="D588" s="40"/>
      <c r="E588" s="40"/>
      <c r="F588" s="54"/>
      <c r="G588" s="49"/>
      <c r="H588" s="48" t="e">
        <f t="shared" si="29"/>
        <v>#DIV/0!</v>
      </c>
      <c r="I588" s="40"/>
      <c r="J588" s="40"/>
      <c r="K588" s="40"/>
      <c r="L588" s="4" t="e">
        <f t="shared" si="30"/>
        <v>#DIV/0!</v>
      </c>
      <c r="AU588" s="22" t="e">
        <f t="shared" si="28"/>
        <v>#DIV/0!</v>
      </c>
      <c r="AV588" s="11" t="s">
        <v>166</v>
      </c>
      <c r="AW588" s="31">
        <v>38.234006377252797</v>
      </c>
      <c r="AX588" s="31">
        <v>165.33404184758001</v>
      </c>
      <c r="BK588" s="25" t="s">
        <v>204</v>
      </c>
    </row>
    <row r="589" spans="2:63" ht="15.6" x14ac:dyDescent="0.3">
      <c r="B589" s="11" t="s">
        <v>207</v>
      </c>
      <c r="C589" s="40" t="s">
        <v>167</v>
      </c>
      <c r="D589" s="40"/>
      <c r="E589" s="40"/>
      <c r="F589" s="54"/>
      <c r="G589" s="49"/>
      <c r="H589" s="48" t="e">
        <f t="shared" si="29"/>
        <v>#DIV/0!</v>
      </c>
      <c r="I589" s="40"/>
      <c r="J589" s="40"/>
      <c r="K589" s="40"/>
      <c r="L589" s="4" t="e">
        <f t="shared" si="30"/>
        <v>#DIV/0!</v>
      </c>
      <c r="AU589" s="22" t="e">
        <f t="shared" ref="AU589:AU652" si="31">(AS589*AT589)/(AG589)</f>
        <v>#DIV/0!</v>
      </c>
      <c r="AV589" s="11" t="s">
        <v>166</v>
      </c>
      <c r="AW589" s="31">
        <v>35.151333102082297</v>
      </c>
      <c r="AX589" s="31">
        <v>249.47230085282499</v>
      </c>
      <c r="BK589" s="25" t="s">
        <v>204</v>
      </c>
    </row>
    <row r="590" spans="2:63" ht="15.6" x14ac:dyDescent="0.3">
      <c r="B590" s="11" t="s">
        <v>207</v>
      </c>
      <c r="C590" s="40" t="s">
        <v>167</v>
      </c>
      <c r="D590" s="40"/>
      <c r="E590" s="40"/>
      <c r="F590" s="54"/>
      <c r="G590" s="49"/>
      <c r="H590" s="48" t="e">
        <f t="shared" si="29"/>
        <v>#DIV/0!</v>
      </c>
      <c r="I590" s="40"/>
      <c r="J590" s="40"/>
      <c r="K590" s="40"/>
      <c r="L590" s="4" t="e">
        <f t="shared" si="30"/>
        <v>#DIV/0!</v>
      </c>
      <c r="AU590" s="22" t="e">
        <f t="shared" si="31"/>
        <v>#DIV/0!</v>
      </c>
      <c r="AV590" s="11" t="s">
        <v>166</v>
      </c>
      <c r="AW590" s="31">
        <v>34.594890139670497</v>
      </c>
      <c r="AX590" s="31">
        <v>93.908459136710306</v>
      </c>
      <c r="BK590" s="25" t="s">
        <v>204</v>
      </c>
    </row>
    <row r="591" spans="2:63" ht="15.6" x14ac:dyDescent="0.3">
      <c r="B591" s="11" t="s">
        <v>207</v>
      </c>
      <c r="C591" s="40" t="s">
        <v>167</v>
      </c>
      <c r="D591" s="40"/>
      <c r="E591" s="40"/>
      <c r="F591" s="54"/>
      <c r="G591" s="49"/>
      <c r="H591" s="48" t="e">
        <f t="shared" si="29"/>
        <v>#DIV/0!</v>
      </c>
      <c r="I591" s="40"/>
      <c r="J591" s="40"/>
      <c r="K591" s="40"/>
      <c r="L591" s="4" t="e">
        <f t="shared" si="30"/>
        <v>#DIV/0!</v>
      </c>
      <c r="AU591" s="22" t="e">
        <f t="shared" si="31"/>
        <v>#DIV/0!</v>
      </c>
      <c r="AV591" s="11" t="s">
        <v>166</v>
      </c>
      <c r="AW591" s="31">
        <v>34.589140458022499</v>
      </c>
      <c r="AX591" s="31">
        <v>115.354552687086</v>
      </c>
      <c r="BK591" s="25" t="s">
        <v>204</v>
      </c>
    </row>
    <row r="592" spans="2:63" ht="15.6" x14ac:dyDescent="0.3">
      <c r="B592" s="11" t="s">
        <v>207</v>
      </c>
      <c r="C592" s="40" t="s">
        <v>167</v>
      </c>
      <c r="D592" s="40"/>
      <c r="E592" s="40"/>
      <c r="F592" s="54"/>
      <c r="G592" s="49"/>
      <c r="H592" s="48" t="e">
        <f t="shared" si="29"/>
        <v>#DIV/0!</v>
      </c>
      <c r="I592" s="40"/>
      <c r="J592" s="40"/>
      <c r="K592" s="40"/>
      <c r="L592" s="4" t="e">
        <f t="shared" si="30"/>
        <v>#DIV/0!</v>
      </c>
      <c r="AU592" s="22" t="e">
        <f t="shared" si="31"/>
        <v>#DIV/0!</v>
      </c>
      <c r="AV592" s="11" t="s">
        <v>166</v>
      </c>
      <c r="AW592" s="31">
        <v>34.0104911142706</v>
      </c>
      <c r="AX592" s="31">
        <v>134.59603241553501</v>
      </c>
      <c r="BK592" s="25" t="s">
        <v>204</v>
      </c>
    </row>
    <row r="593" spans="2:63" ht="15.6" x14ac:dyDescent="0.3">
      <c r="B593" s="11" t="s">
        <v>207</v>
      </c>
      <c r="C593" s="40" t="s">
        <v>167</v>
      </c>
      <c r="D593" s="40"/>
      <c r="E593" s="40"/>
      <c r="F593" s="54"/>
      <c r="G593" s="49"/>
      <c r="H593" s="48" t="e">
        <f t="shared" si="29"/>
        <v>#DIV/0!</v>
      </c>
      <c r="I593" s="40"/>
      <c r="J593" s="40"/>
      <c r="K593" s="40"/>
      <c r="L593" s="4" t="e">
        <f t="shared" si="30"/>
        <v>#DIV/0!</v>
      </c>
      <c r="AU593" s="22" t="e">
        <f t="shared" si="31"/>
        <v>#DIV/0!</v>
      </c>
      <c r="AV593" s="11" t="s">
        <v>166</v>
      </c>
      <c r="AW593" s="31">
        <v>31.801661328707301</v>
      </c>
      <c r="AX593" s="31">
        <v>165.33404184758101</v>
      </c>
      <c r="BK593" s="25" t="s">
        <v>204</v>
      </c>
    </row>
    <row r="594" spans="2:63" ht="15.6" x14ac:dyDescent="0.3">
      <c r="B594" s="11" t="s">
        <v>207</v>
      </c>
      <c r="C594" s="40" t="s">
        <v>167</v>
      </c>
      <c r="D594" s="40"/>
      <c r="E594" s="40"/>
      <c r="F594" s="54"/>
      <c r="G594" s="49"/>
      <c r="H594" s="48" t="e">
        <f t="shared" si="29"/>
        <v>#DIV/0!</v>
      </c>
      <c r="I594" s="40"/>
      <c r="J594" s="40"/>
      <c r="K594" s="40"/>
      <c r="L594" s="4" t="e">
        <f t="shared" si="30"/>
        <v>#DIV/0!</v>
      </c>
      <c r="AU594" s="22" t="e">
        <f t="shared" si="31"/>
        <v>#DIV/0!</v>
      </c>
      <c r="AV594" s="11" t="s">
        <v>166</v>
      </c>
      <c r="AW594" s="31">
        <v>32.333323662527498</v>
      </c>
      <c r="AX594" s="31">
        <v>203.091762090472</v>
      </c>
      <c r="BK594" s="25" t="s">
        <v>204</v>
      </c>
    </row>
    <row r="595" spans="2:63" ht="15.6" x14ac:dyDescent="0.3">
      <c r="B595" s="11" t="s">
        <v>207</v>
      </c>
      <c r="C595" s="40" t="s">
        <v>167</v>
      </c>
      <c r="D595" s="40"/>
      <c r="E595" s="40"/>
      <c r="F595" s="54"/>
      <c r="G595" s="49"/>
      <c r="H595" s="48" t="e">
        <f t="shared" si="29"/>
        <v>#DIV/0!</v>
      </c>
      <c r="I595" s="40"/>
      <c r="J595" s="40"/>
      <c r="K595" s="40"/>
      <c r="L595" s="4" t="e">
        <f t="shared" si="30"/>
        <v>#DIV/0!</v>
      </c>
      <c r="AU595" s="22" t="e">
        <f t="shared" si="31"/>
        <v>#DIV/0!</v>
      </c>
      <c r="AV595" s="11" t="s">
        <v>166</v>
      </c>
      <c r="AW595" s="31">
        <v>22.749780792561701</v>
      </c>
      <c r="AX595" s="31">
        <v>174.058320664691</v>
      </c>
      <c r="BK595" s="25" t="s">
        <v>204</v>
      </c>
    </row>
    <row r="596" spans="2:63" ht="15.6" x14ac:dyDescent="0.3">
      <c r="B596" s="11" t="s">
        <v>207</v>
      </c>
      <c r="C596" s="40" t="s">
        <v>167</v>
      </c>
      <c r="D596" s="40"/>
      <c r="E596" s="40"/>
      <c r="F596" s="54"/>
      <c r="G596" s="49"/>
      <c r="H596" s="48" t="e">
        <f t="shared" si="29"/>
        <v>#DIV/0!</v>
      </c>
      <c r="I596" s="40"/>
      <c r="J596" s="40"/>
      <c r="K596" s="40"/>
      <c r="L596" s="4" t="e">
        <f t="shared" si="30"/>
        <v>#DIV/0!</v>
      </c>
      <c r="AU596" s="22" t="e">
        <f t="shared" si="31"/>
        <v>#DIV/0!</v>
      </c>
      <c r="AV596" s="11" t="s">
        <v>166</v>
      </c>
      <c r="AW596" s="31">
        <v>23.919896998861201</v>
      </c>
      <c r="AX596" s="31">
        <v>192.912247826694</v>
      </c>
      <c r="BK596" s="25" t="s">
        <v>204</v>
      </c>
    </row>
    <row r="597" spans="2:63" ht="15.6" x14ac:dyDescent="0.3">
      <c r="B597" s="11" t="s">
        <v>207</v>
      </c>
      <c r="C597" s="40" t="s">
        <v>167</v>
      </c>
      <c r="D597" s="40"/>
      <c r="E597" s="40"/>
      <c r="F597" s="54"/>
      <c r="G597" s="49"/>
      <c r="H597" s="48" t="e">
        <f t="shared" si="29"/>
        <v>#DIV/0!</v>
      </c>
      <c r="I597" s="40"/>
      <c r="J597" s="40"/>
      <c r="K597" s="40"/>
      <c r="L597" s="4" t="e">
        <f t="shared" si="30"/>
        <v>#DIV/0!</v>
      </c>
      <c r="AU597" s="22" t="e">
        <f t="shared" si="31"/>
        <v>#DIV/0!</v>
      </c>
      <c r="AV597" s="11" t="s">
        <v>166</v>
      </c>
      <c r="AW597" s="31">
        <v>15.998139481354301</v>
      </c>
      <c r="AX597" s="31">
        <v>291.08501667419802</v>
      </c>
      <c r="BK597" s="25" t="s">
        <v>204</v>
      </c>
    </row>
    <row r="598" spans="2:63" ht="15.6" x14ac:dyDescent="0.3">
      <c r="B598" s="11" t="s">
        <v>207</v>
      </c>
      <c r="C598" s="40" t="s">
        <v>167</v>
      </c>
      <c r="D598" s="40"/>
      <c r="E598" s="40"/>
      <c r="F598" s="54"/>
      <c r="G598" s="49"/>
      <c r="H598" s="48" t="e">
        <f t="shared" si="29"/>
        <v>#DIV/0!</v>
      </c>
      <c r="I598" s="40"/>
      <c r="J598" s="40"/>
      <c r="K598" s="40"/>
      <c r="L598" s="4" t="e">
        <f t="shared" si="30"/>
        <v>#DIV/0!</v>
      </c>
      <c r="AU598" s="22" t="e">
        <f t="shared" si="31"/>
        <v>#DIV/0!</v>
      </c>
      <c r="AV598" s="11" t="s">
        <v>166</v>
      </c>
      <c r="AW598" s="31">
        <v>18.920084727722902</v>
      </c>
      <c r="AX598" s="31">
        <v>203.091762090473</v>
      </c>
      <c r="BK598" s="25" t="s">
        <v>204</v>
      </c>
    </row>
    <row r="599" spans="2:63" ht="15.6" x14ac:dyDescent="0.3">
      <c r="B599" s="11" t="s">
        <v>207</v>
      </c>
      <c r="C599" s="40" t="s">
        <v>167</v>
      </c>
      <c r="D599" s="40"/>
      <c r="E599" s="40"/>
      <c r="F599" s="54"/>
      <c r="G599" s="49"/>
      <c r="H599" s="48" t="e">
        <f t="shared" si="29"/>
        <v>#DIV/0!</v>
      </c>
      <c r="I599" s="40"/>
      <c r="J599" s="40"/>
      <c r="K599" s="40"/>
      <c r="L599" s="4" t="e">
        <f t="shared" si="30"/>
        <v>#DIV/0!</v>
      </c>
      <c r="AU599" s="22" t="e">
        <f t="shared" si="31"/>
        <v>#DIV/0!</v>
      </c>
      <c r="AV599" s="11" t="s">
        <v>166</v>
      </c>
      <c r="AW599" s="31">
        <v>18.920870940404299</v>
      </c>
      <c r="AX599" s="31">
        <v>192.912247826694</v>
      </c>
      <c r="BK599" s="25" t="s">
        <v>204</v>
      </c>
    </row>
    <row r="600" spans="2:63" ht="15.6" x14ac:dyDescent="0.3">
      <c r="B600" s="11" t="s">
        <v>207</v>
      </c>
      <c r="C600" s="40" t="s">
        <v>167</v>
      </c>
      <c r="D600" s="40"/>
      <c r="E600" s="40"/>
      <c r="F600" s="54"/>
      <c r="G600" s="49"/>
      <c r="H600" s="48" t="e">
        <f t="shared" si="29"/>
        <v>#DIV/0!</v>
      </c>
      <c r="I600" s="40"/>
      <c r="J600" s="40"/>
      <c r="K600" s="40"/>
      <c r="L600" s="4" t="e">
        <f t="shared" si="30"/>
        <v>#DIV/0!</v>
      </c>
      <c r="AU600" s="22" t="e">
        <f t="shared" si="31"/>
        <v>#DIV/0!</v>
      </c>
      <c r="AV600" s="11" t="s">
        <v>166</v>
      </c>
      <c r="AW600" s="31">
        <v>52.6226870520142</v>
      </c>
      <c r="AX600" s="31">
        <v>35.3498110503009</v>
      </c>
      <c r="BK600" s="25" t="s">
        <v>204</v>
      </c>
    </row>
    <row r="601" spans="2:63" ht="15.6" x14ac:dyDescent="0.3">
      <c r="B601" s="11" t="s">
        <v>207</v>
      </c>
      <c r="C601" s="40" t="s">
        <v>167</v>
      </c>
      <c r="D601" s="40"/>
      <c r="E601" s="40"/>
      <c r="F601" s="54"/>
      <c r="G601" s="49"/>
      <c r="H601" s="48" t="e">
        <f t="shared" si="29"/>
        <v>#DIV/0!</v>
      </c>
      <c r="I601" s="40"/>
      <c r="J601" s="40"/>
      <c r="K601" s="40"/>
      <c r="L601" s="4" t="e">
        <f t="shared" si="30"/>
        <v>#DIV/0!</v>
      </c>
      <c r="AU601" s="22" t="e">
        <f t="shared" si="31"/>
        <v>#DIV/0!</v>
      </c>
      <c r="AV601" s="11" t="s">
        <v>166</v>
      </c>
      <c r="AW601" s="31">
        <v>43.0427780132392</v>
      </c>
      <c r="AX601" s="31">
        <v>35.3498110503009</v>
      </c>
      <c r="BK601" s="25" t="s">
        <v>204</v>
      </c>
    </row>
    <row r="602" spans="2:63" ht="15.6" x14ac:dyDescent="0.3">
      <c r="B602" s="11" t="s">
        <v>207</v>
      </c>
      <c r="C602" s="40" t="s">
        <v>167</v>
      </c>
      <c r="D602" s="40"/>
      <c r="E602" s="40"/>
      <c r="F602" s="54"/>
      <c r="G602" s="49"/>
      <c r="H602" s="48" t="e">
        <f t="shared" si="29"/>
        <v>#DIV/0!</v>
      </c>
      <c r="I602" s="40"/>
      <c r="J602" s="40"/>
      <c r="K602" s="40"/>
      <c r="L602" s="4" t="e">
        <f t="shared" si="30"/>
        <v>#DIV/0!</v>
      </c>
      <c r="AU602" s="22" t="e">
        <f t="shared" si="31"/>
        <v>#DIV/0!</v>
      </c>
      <c r="AV602" s="11" t="s">
        <v>166</v>
      </c>
      <c r="AW602" s="31">
        <v>60.186516872754702</v>
      </c>
      <c r="AX602" s="31">
        <v>23.427559370378699</v>
      </c>
      <c r="BK602" s="25" t="s">
        <v>204</v>
      </c>
    </row>
    <row r="603" spans="2:63" ht="15.6" x14ac:dyDescent="0.3">
      <c r="B603" s="11" t="s">
        <v>207</v>
      </c>
      <c r="C603" s="40" t="s">
        <v>167</v>
      </c>
      <c r="D603" s="40"/>
      <c r="E603" s="40"/>
      <c r="F603" s="54"/>
      <c r="G603" s="49"/>
      <c r="H603" s="48" t="e">
        <f t="shared" si="29"/>
        <v>#DIV/0!</v>
      </c>
      <c r="I603" s="40"/>
      <c r="J603" s="40"/>
      <c r="K603" s="40"/>
      <c r="L603" s="4" t="e">
        <f t="shared" si="30"/>
        <v>#DIV/0!</v>
      </c>
      <c r="AU603" s="22" t="e">
        <f t="shared" si="31"/>
        <v>#DIV/0!</v>
      </c>
      <c r="AV603" s="11" t="s">
        <v>166</v>
      </c>
      <c r="AW603" s="31">
        <v>106.482254796193</v>
      </c>
      <c r="AX603" s="31">
        <v>5.5515834633496501</v>
      </c>
      <c r="BK603" s="25" t="s">
        <v>204</v>
      </c>
    </row>
    <row r="604" spans="2:63" ht="15.6" x14ac:dyDescent="0.3">
      <c r="B604" s="11" t="s">
        <v>208</v>
      </c>
      <c r="C604" s="40" t="s">
        <v>89</v>
      </c>
      <c r="D604" s="40"/>
      <c r="E604" s="40"/>
      <c r="F604" s="54"/>
      <c r="G604" s="49"/>
      <c r="H604" s="48" t="e">
        <f t="shared" si="29"/>
        <v>#DIV/0!</v>
      </c>
      <c r="I604" s="40"/>
      <c r="J604" s="40"/>
      <c r="K604" s="40"/>
      <c r="L604" s="4" t="e">
        <f t="shared" si="30"/>
        <v>#DIV/0!</v>
      </c>
      <c r="AU604" s="22" t="e">
        <f t="shared" si="31"/>
        <v>#DIV/0!</v>
      </c>
      <c r="AV604" s="11" t="s">
        <v>166</v>
      </c>
      <c r="AW604" s="31">
        <v>388.96634275170999</v>
      </c>
      <c r="AX604" s="31">
        <v>3.0469895709035002E-3</v>
      </c>
      <c r="BK604" s="25" t="s">
        <v>204</v>
      </c>
    </row>
    <row r="605" spans="2:63" ht="15.6" x14ac:dyDescent="0.3">
      <c r="B605" s="11" t="s">
        <v>208</v>
      </c>
      <c r="C605" s="40" t="s">
        <v>89</v>
      </c>
      <c r="D605" s="40"/>
      <c r="E605" s="40"/>
      <c r="F605" s="54"/>
      <c r="G605" s="49"/>
      <c r="H605" s="48" t="e">
        <f t="shared" si="29"/>
        <v>#DIV/0!</v>
      </c>
      <c r="I605" s="40"/>
      <c r="J605" s="40"/>
      <c r="K605" s="40"/>
      <c r="L605" s="4" t="e">
        <f t="shared" si="30"/>
        <v>#DIV/0!</v>
      </c>
      <c r="AU605" s="22" t="e">
        <f t="shared" si="31"/>
        <v>#DIV/0!</v>
      </c>
      <c r="AV605" s="11" t="s">
        <v>166</v>
      </c>
      <c r="AW605" s="31">
        <v>269.05423822828601</v>
      </c>
      <c r="AX605" s="31">
        <v>3.74283767644516E-3</v>
      </c>
      <c r="BK605" s="25" t="s">
        <v>204</v>
      </c>
    </row>
    <row r="606" spans="2:63" ht="15.6" x14ac:dyDescent="0.3">
      <c r="B606" s="11" t="s">
        <v>208</v>
      </c>
      <c r="C606" s="40" t="s">
        <v>89</v>
      </c>
      <c r="D606" s="40"/>
      <c r="E606" s="40"/>
      <c r="F606" s="54"/>
      <c r="G606" s="49"/>
      <c r="H606" s="48" t="e">
        <f t="shared" si="29"/>
        <v>#DIV/0!</v>
      </c>
      <c r="I606" s="40"/>
      <c r="J606" s="40"/>
      <c r="K606" s="40"/>
      <c r="L606" s="4" t="e">
        <f t="shared" si="30"/>
        <v>#DIV/0!</v>
      </c>
      <c r="AU606" s="22" t="e">
        <f t="shared" si="31"/>
        <v>#DIV/0!</v>
      </c>
      <c r="AV606" s="11" t="s">
        <v>166</v>
      </c>
      <c r="AW606" s="31">
        <v>282.51690471661402</v>
      </c>
      <c r="AX606" s="31">
        <v>2.15033539456892E-2</v>
      </c>
      <c r="BK606" s="25" t="s">
        <v>204</v>
      </c>
    </row>
    <row r="607" spans="2:63" ht="15.6" x14ac:dyDescent="0.3">
      <c r="B607" s="11" t="s">
        <v>208</v>
      </c>
      <c r="C607" s="40" t="s">
        <v>89</v>
      </c>
      <c r="D607" s="40"/>
      <c r="E607" s="40"/>
      <c r="F607" s="54"/>
      <c r="G607" s="49"/>
      <c r="H607" s="48" t="e">
        <f t="shared" ref="H607:H670" si="32">((J607)*1000)/G607</f>
        <v>#DIV/0!</v>
      </c>
      <c r="I607" s="40"/>
      <c r="J607" s="40"/>
      <c r="K607" s="40"/>
      <c r="L607" s="4" t="e">
        <f t="shared" si="30"/>
        <v>#DIV/0!</v>
      </c>
      <c r="AU607" s="22" t="e">
        <f t="shared" si="31"/>
        <v>#DIV/0!</v>
      </c>
      <c r="AV607" s="11" t="s">
        <v>166</v>
      </c>
      <c r="AW607" s="31">
        <v>157.28869024767499</v>
      </c>
      <c r="AX607" s="31">
        <v>1.22137390022351E-2</v>
      </c>
      <c r="BK607" s="25" t="s">
        <v>204</v>
      </c>
    </row>
    <row r="608" spans="2:63" ht="15.6" x14ac:dyDescent="0.3">
      <c r="B608" s="11" t="s">
        <v>208</v>
      </c>
      <c r="C608" s="40" t="s">
        <v>89</v>
      </c>
      <c r="D608" s="40"/>
      <c r="E608" s="40"/>
      <c r="F608" s="54"/>
      <c r="G608" s="49"/>
      <c r="H608" s="48" t="e">
        <f t="shared" si="32"/>
        <v>#DIV/0!</v>
      </c>
      <c r="I608" s="40"/>
      <c r="J608" s="40"/>
      <c r="K608" s="40"/>
      <c r="L608" s="4" t="e">
        <f t="shared" si="30"/>
        <v>#DIV/0!</v>
      </c>
      <c r="AU608" s="22" t="e">
        <f t="shared" si="31"/>
        <v>#DIV/0!</v>
      </c>
      <c r="AV608" s="11" t="s">
        <v>166</v>
      </c>
      <c r="AW608" s="31">
        <v>176.71104862221199</v>
      </c>
      <c r="AX608" s="31">
        <v>3.2446380218716299E-2</v>
      </c>
      <c r="BK608" s="25" t="s">
        <v>204</v>
      </c>
    </row>
    <row r="609" spans="2:63" ht="15.6" x14ac:dyDescent="0.3">
      <c r="B609" s="11" t="s">
        <v>208</v>
      </c>
      <c r="C609" s="40" t="s">
        <v>89</v>
      </c>
      <c r="D609" s="40"/>
      <c r="E609" s="40"/>
      <c r="F609" s="54"/>
      <c r="G609" s="49"/>
      <c r="H609" s="48" t="e">
        <f t="shared" si="32"/>
        <v>#DIV/0!</v>
      </c>
      <c r="I609" s="40"/>
      <c r="J609" s="40"/>
      <c r="K609" s="40"/>
      <c r="L609" s="4" t="e">
        <f t="shared" si="30"/>
        <v>#DIV/0!</v>
      </c>
      <c r="AU609" s="22" t="e">
        <f t="shared" si="31"/>
        <v>#DIV/0!</v>
      </c>
      <c r="AV609" s="11" t="s">
        <v>166</v>
      </c>
      <c r="AW609" s="31">
        <v>154.41335655139</v>
      </c>
      <c r="AX609" s="31">
        <v>0.100572996445752</v>
      </c>
      <c r="BK609" s="25" t="s">
        <v>204</v>
      </c>
    </row>
    <row r="610" spans="2:63" ht="15.6" x14ac:dyDescent="0.3">
      <c r="B610" s="11" t="s">
        <v>208</v>
      </c>
      <c r="C610" s="40" t="s">
        <v>89</v>
      </c>
      <c r="D610" s="40"/>
      <c r="E610" s="40"/>
      <c r="F610" s="54"/>
      <c r="G610" s="49"/>
      <c r="H610" s="48" t="e">
        <f t="shared" si="32"/>
        <v>#DIV/0!</v>
      </c>
      <c r="I610" s="40"/>
      <c r="J610" s="40"/>
      <c r="K610" s="40"/>
      <c r="L610" s="4" t="e">
        <f t="shared" si="30"/>
        <v>#DIV/0!</v>
      </c>
      <c r="AU610" s="22" t="e">
        <f t="shared" si="31"/>
        <v>#DIV/0!</v>
      </c>
      <c r="AV610" s="11" t="s">
        <v>166</v>
      </c>
      <c r="AW610" s="31">
        <v>106.530937773194</v>
      </c>
      <c r="AX610" s="31">
        <v>3.1532565404323898</v>
      </c>
      <c r="BK610" s="25" t="s">
        <v>204</v>
      </c>
    </row>
    <row r="611" spans="2:63" ht="15.6" x14ac:dyDescent="0.3">
      <c r="B611" s="11" t="s">
        <v>208</v>
      </c>
      <c r="C611" s="40" t="s">
        <v>89</v>
      </c>
      <c r="D611" s="40"/>
      <c r="E611" s="40"/>
      <c r="F611" s="54"/>
      <c r="G611" s="49"/>
      <c r="H611" s="48" t="e">
        <f t="shared" si="32"/>
        <v>#DIV/0!</v>
      </c>
      <c r="I611" s="40"/>
      <c r="J611" s="40"/>
      <c r="K611" s="40"/>
      <c r="L611" s="4" t="e">
        <f t="shared" si="30"/>
        <v>#DIV/0!</v>
      </c>
      <c r="AU611" s="22" t="e">
        <f t="shared" si="31"/>
        <v>#DIV/0!</v>
      </c>
      <c r="AV611" s="11" t="s">
        <v>166</v>
      </c>
      <c r="AW611" s="31">
        <v>124.158652566039</v>
      </c>
      <c r="AX611" s="31">
        <v>0.15976216802068999</v>
      </c>
      <c r="BK611" s="25" t="s">
        <v>204</v>
      </c>
    </row>
    <row r="612" spans="2:63" ht="15.6" x14ac:dyDescent="0.3">
      <c r="B612" s="11" t="s">
        <v>208</v>
      </c>
      <c r="C612" s="40" t="s">
        <v>89</v>
      </c>
      <c r="D612" s="40"/>
      <c r="E612" s="40"/>
      <c r="F612" s="54"/>
      <c r="G612" s="49"/>
      <c r="H612" s="48" t="e">
        <f t="shared" si="32"/>
        <v>#DIV/0!</v>
      </c>
      <c r="I612" s="40"/>
      <c r="J612" s="40"/>
      <c r="K612" s="40"/>
      <c r="L612" s="4" t="e">
        <f t="shared" si="30"/>
        <v>#DIV/0!</v>
      </c>
      <c r="AU612" s="22" t="e">
        <f t="shared" si="31"/>
        <v>#DIV/0!</v>
      </c>
      <c r="AV612" s="11" t="s">
        <v>166</v>
      </c>
      <c r="AW612" s="31">
        <v>98.214781636051995</v>
      </c>
      <c r="AX612" s="31">
        <v>0.15175445145238201</v>
      </c>
      <c r="BK612" s="25" t="s">
        <v>204</v>
      </c>
    </row>
    <row r="613" spans="2:63" ht="15.6" x14ac:dyDescent="0.3">
      <c r="B613" s="11" t="s">
        <v>208</v>
      </c>
      <c r="C613" s="40" t="s">
        <v>89</v>
      </c>
      <c r="D613" s="40"/>
      <c r="E613" s="40"/>
      <c r="F613" s="54"/>
      <c r="G613" s="49"/>
      <c r="H613" s="48" t="e">
        <f t="shared" si="32"/>
        <v>#DIV/0!</v>
      </c>
      <c r="I613" s="40"/>
      <c r="J613" s="40"/>
      <c r="K613" s="40"/>
      <c r="L613" s="4" t="e">
        <f t="shared" si="30"/>
        <v>#DIV/0!</v>
      </c>
      <c r="AU613" s="22" t="e">
        <f t="shared" si="31"/>
        <v>#DIV/0!</v>
      </c>
      <c r="AV613" s="11" t="s">
        <v>166</v>
      </c>
      <c r="AW613" s="31">
        <v>162.449957842765</v>
      </c>
      <c r="AX613" s="31">
        <v>5.4261440021455498E-2</v>
      </c>
      <c r="BK613" s="25" t="s">
        <v>204</v>
      </c>
    </row>
    <row r="614" spans="2:63" ht="15.6" x14ac:dyDescent="0.3">
      <c r="B614" s="11" t="s">
        <v>208</v>
      </c>
      <c r="C614" s="40" t="s">
        <v>89</v>
      </c>
      <c r="D614" s="40"/>
      <c r="E614" s="40"/>
      <c r="F614" s="54"/>
      <c r="G614" s="49"/>
      <c r="H614" s="48" t="e">
        <f t="shared" si="32"/>
        <v>#DIV/0!</v>
      </c>
      <c r="I614" s="40"/>
      <c r="J614" s="40"/>
      <c r="K614" s="40"/>
      <c r="L614" s="4" t="e">
        <f t="shared" si="30"/>
        <v>#DIV/0!</v>
      </c>
      <c r="AU614" s="22" t="e">
        <f t="shared" si="31"/>
        <v>#DIV/0!</v>
      </c>
      <c r="AV614" s="11" t="s">
        <v>166</v>
      </c>
      <c r="AW614" s="31">
        <v>65.486471449077897</v>
      </c>
      <c r="AX614" s="31">
        <v>10.2898003390066</v>
      </c>
      <c r="BK614" s="25" t="s">
        <v>204</v>
      </c>
    </row>
    <row r="615" spans="2:63" ht="15.6" x14ac:dyDescent="0.3">
      <c r="B615" s="11" t="s">
        <v>208</v>
      </c>
      <c r="C615" s="40" t="s">
        <v>89</v>
      </c>
      <c r="D615" s="40"/>
      <c r="E615" s="40"/>
      <c r="F615" s="54"/>
      <c r="G615" s="49"/>
      <c r="H615" s="48" t="e">
        <f t="shared" si="32"/>
        <v>#DIV/0!</v>
      </c>
      <c r="I615" s="40"/>
      <c r="J615" s="40"/>
      <c r="K615" s="40"/>
      <c r="L615" s="4" t="e">
        <f t="shared" si="30"/>
        <v>#DIV/0!</v>
      </c>
      <c r="AU615" s="22" t="e">
        <f t="shared" si="31"/>
        <v>#DIV/0!</v>
      </c>
      <c r="AV615" s="11" t="s">
        <v>166</v>
      </c>
      <c r="AW615" s="31">
        <v>65.472866891479597</v>
      </c>
      <c r="AX615" s="31">
        <v>13.306672825637699</v>
      </c>
      <c r="BK615" s="25" t="s">
        <v>204</v>
      </c>
    </row>
    <row r="616" spans="2:63" ht="15.6" x14ac:dyDescent="0.3">
      <c r="B616" s="11" t="s">
        <v>208</v>
      </c>
      <c r="C616" s="40" t="s">
        <v>89</v>
      </c>
      <c r="D616" s="40"/>
      <c r="E616" s="40"/>
      <c r="F616" s="54"/>
      <c r="G616" s="49"/>
      <c r="H616" s="48" t="e">
        <f t="shared" si="32"/>
        <v>#DIV/0!</v>
      </c>
      <c r="I616" s="40"/>
      <c r="J616" s="40"/>
      <c r="K616" s="40"/>
      <c r="L616" s="4" t="e">
        <f t="shared" si="30"/>
        <v>#DIV/0!</v>
      </c>
      <c r="AU616" s="22" t="e">
        <f t="shared" si="31"/>
        <v>#DIV/0!</v>
      </c>
      <c r="AV616" s="11" t="s">
        <v>166</v>
      </c>
      <c r="AW616" s="31">
        <v>58.240413930654498</v>
      </c>
      <c r="AX616" s="31">
        <v>10.8327682972487</v>
      </c>
      <c r="BK616" s="25" t="s">
        <v>204</v>
      </c>
    </row>
    <row r="617" spans="2:63" ht="15.6" x14ac:dyDescent="0.3">
      <c r="B617" s="11" t="s">
        <v>208</v>
      </c>
      <c r="C617" s="40" t="s">
        <v>89</v>
      </c>
      <c r="D617" s="40"/>
      <c r="E617" s="40"/>
      <c r="F617" s="54"/>
      <c r="G617" s="49"/>
      <c r="H617" s="48" t="e">
        <f t="shared" si="32"/>
        <v>#DIV/0!</v>
      </c>
      <c r="I617" s="40"/>
      <c r="J617" s="40"/>
      <c r="K617" s="40"/>
      <c r="L617" s="4" t="e">
        <f t="shared" si="30"/>
        <v>#DIV/0!</v>
      </c>
      <c r="AU617" s="22" t="e">
        <f t="shared" si="31"/>
        <v>#DIV/0!</v>
      </c>
      <c r="AV617" s="11" t="s">
        <v>166</v>
      </c>
      <c r="AW617" s="31">
        <v>42.331500109309196</v>
      </c>
      <c r="AX617" s="31">
        <v>31.894961655089698</v>
      </c>
      <c r="BK617" s="25" t="s">
        <v>204</v>
      </c>
    </row>
    <row r="618" spans="2:63" ht="15.6" x14ac:dyDescent="0.3">
      <c r="B618" s="11" t="s">
        <v>208</v>
      </c>
      <c r="C618" s="40" t="s">
        <v>89</v>
      </c>
      <c r="D618" s="40"/>
      <c r="E618" s="40"/>
      <c r="F618" s="54"/>
      <c r="G618" s="49"/>
      <c r="H618" s="48" t="e">
        <f t="shared" si="32"/>
        <v>#DIV/0!</v>
      </c>
      <c r="I618" s="40"/>
      <c r="J618" s="40"/>
      <c r="K618" s="40"/>
      <c r="L618" s="4" t="e">
        <f t="shared" si="30"/>
        <v>#DIV/0!</v>
      </c>
      <c r="AU618" s="22" t="e">
        <f t="shared" si="31"/>
        <v>#DIV/0!</v>
      </c>
      <c r="AV618" s="11" t="s">
        <v>166</v>
      </c>
      <c r="AW618" s="31">
        <v>35.198105377500497</v>
      </c>
      <c r="AX618" s="31">
        <v>48.126262328015699</v>
      </c>
      <c r="BK618" s="25" t="s">
        <v>204</v>
      </c>
    </row>
    <row r="619" spans="2:63" ht="15.6" x14ac:dyDescent="0.3">
      <c r="B619" s="11" t="s">
        <v>208</v>
      </c>
      <c r="C619" s="40" t="s">
        <v>89</v>
      </c>
      <c r="D619" s="40"/>
      <c r="E619" s="40"/>
      <c r="F619" s="54"/>
      <c r="G619" s="49"/>
      <c r="H619" s="48" t="e">
        <f t="shared" si="32"/>
        <v>#DIV/0!</v>
      </c>
      <c r="I619" s="40"/>
      <c r="J619" s="40"/>
      <c r="K619" s="40"/>
      <c r="L619" s="4" t="e">
        <f t="shared" si="30"/>
        <v>#DIV/0!</v>
      </c>
      <c r="AU619" s="22" t="e">
        <f t="shared" si="31"/>
        <v>#DIV/0!</v>
      </c>
      <c r="AV619" s="11" t="s">
        <v>166</v>
      </c>
      <c r="AW619" s="31">
        <v>29.744935983011899</v>
      </c>
      <c r="AX619" s="31">
        <v>141.69834057511301</v>
      </c>
      <c r="BK619" s="25" t="s">
        <v>204</v>
      </c>
    </row>
    <row r="620" spans="2:63" ht="15.6" x14ac:dyDescent="0.3">
      <c r="B620" s="11" t="s">
        <v>208</v>
      </c>
      <c r="C620" s="40" t="s">
        <v>89</v>
      </c>
      <c r="D620" s="40"/>
      <c r="E620" s="40"/>
      <c r="F620" s="54"/>
      <c r="G620" s="49"/>
      <c r="H620" s="48" t="e">
        <f t="shared" si="32"/>
        <v>#DIV/0!</v>
      </c>
      <c r="I620" s="40"/>
      <c r="J620" s="40"/>
      <c r="K620" s="40"/>
      <c r="L620" s="4" t="e">
        <f t="shared" si="30"/>
        <v>#DIV/0!</v>
      </c>
      <c r="AU620" s="22" t="e">
        <f t="shared" si="31"/>
        <v>#DIV/0!</v>
      </c>
      <c r="AV620" s="11" t="s">
        <v>166</v>
      </c>
      <c r="AW620" s="31">
        <v>27.810823616245901</v>
      </c>
      <c r="AX620" s="31">
        <v>192.912247826694</v>
      </c>
      <c r="BK620" s="25" t="s">
        <v>204</v>
      </c>
    </row>
    <row r="621" spans="2:63" ht="15.6" x14ac:dyDescent="0.3">
      <c r="B621" s="11" t="s">
        <v>208</v>
      </c>
      <c r="C621" s="40" t="s">
        <v>89</v>
      </c>
      <c r="D621" s="40"/>
      <c r="E621" s="40"/>
      <c r="F621" s="54"/>
      <c r="G621" s="49"/>
      <c r="H621" s="48" t="e">
        <f t="shared" si="32"/>
        <v>#DIV/0!</v>
      </c>
      <c r="I621" s="40"/>
      <c r="J621" s="40"/>
      <c r="K621" s="40"/>
      <c r="L621" s="4" t="e">
        <f t="shared" si="30"/>
        <v>#DIV/0!</v>
      </c>
      <c r="AU621" s="22" t="e">
        <f t="shared" si="31"/>
        <v>#DIV/0!</v>
      </c>
      <c r="AV621" s="11" t="s">
        <v>166</v>
      </c>
      <c r="AW621" s="31">
        <v>26.456966085032601</v>
      </c>
      <c r="AX621" s="31">
        <v>127.84971135495201</v>
      </c>
      <c r="BK621" s="25" t="s">
        <v>204</v>
      </c>
    </row>
    <row r="622" spans="2:63" ht="15.6" x14ac:dyDescent="0.3">
      <c r="B622" s="11" t="s">
        <v>208</v>
      </c>
      <c r="C622" s="40" t="s">
        <v>89</v>
      </c>
      <c r="D622" s="40"/>
      <c r="E622" s="40"/>
      <c r="F622" s="54"/>
      <c r="G622" s="49"/>
      <c r="H622" s="48" t="e">
        <f t="shared" si="32"/>
        <v>#DIV/0!</v>
      </c>
      <c r="I622" s="40"/>
      <c r="J622" s="40"/>
      <c r="K622" s="40"/>
      <c r="L622" s="4" t="e">
        <f t="shared" si="30"/>
        <v>#DIV/0!</v>
      </c>
      <c r="AU622" s="22" t="e">
        <f t="shared" si="31"/>
        <v>#DIV/0!</v>
      </c>
      <c r="AV622" s="11" t="s">
        <v>166</v>
      </c>
      <c r="AW622" s="31">
        <v>25.165878246248699</v>
      </c>
      <c r="AX622" s="31">
        <v>98.863782139998904</v>
      </c>
      <c r="BK622" s="25" t="s">
        <v>204</v>
      </c>
    </row>
    <row r="623" spans="2:63" ht="15.6" x14ac:dyDescent="0.3">
      <c r="B623" s="11" t="s">
        <v>208</v>
      </c>
      <c r="C623" s="40" t="s">
        <v>89</v>
      </c>
      <c r="D623" s="40"/>
      <c r="E623" s="40"/>
      <c r="F623" s="54"/>
      <c r="G623" s="49"/>
      <c r="H623" s="48" t="e">
        <f t="shared" si="32"/>
        <v>#DIV/0!</v>
      </c>
      <c r="I623" s="40"/>
      <c r="J623" s="40"/>
      <c r="K623" s="40"/>
      <c r="L623" s="4" t="e">
        <f t="shared" si="30"/>
        <v>#DIV/0!</v>
      </c>
      <c r="AU623" s="22" t="e">
        <f t="shared" si="31"/>
        <v>#DIV/0!</v>
      </c>
      <c r="AV623" s="11" t="s">
        <v>166</v>
      </c>
      <c r="AW623" s="31">
        <v>23.141649703686198</v>
      </c>
      <c r="AX623" s="31">
        <v>115.354552687086</v>
      </c>
      <c r="BK623" s="25" t="s">
        <v>204</v>
      </c>
    </row>
    <row r="624" spans="2:63" ht="15.6" x14ac:dyDescent="0.3">
      <c r="B624" s="11" t="s">
        <v>208</v>
      </c>
      <c r="C624" s="40" t="s">
        <v>89</v>
      </c>
      <c r="D624" s="40"/>
      <c r="E624" s="40"/>
      <c r="F624" s="54"/>
      <c r="G624" s="49"/>
      <c r="H624" s="48" t="e">
        <f t="shared" si="32"/>
        <v>#DIV/0!</v>
      </c>
      <c r="I624" s="40"/>
      <c r="J624" s="40"/>
      <c r="K624" s="40"/>
      <c r="L624" s="4" t="e">
        <f t="shared" si="30"/>
        <v>#DIV/0!</v>
      </c>
      <c r="AU624" s="22" t="e">
        <f t="shared" si="31"/>
        <v>#DIV/0!</v>
      </c>
      <c r="AV624" s="11" t="s">
        <v>166</v>
      </c>
      <c r="AW624" s="31">
        <v>22.754507952343001</v>
      </c>
      <c r="AX624" s="31">
        <v>134.596032415536</v>
      </c>
      <c r="BK624" s="25" t="s">
        <v>204</v>
      </c>
    </row>
    <row r="625" spans="2:63" ht="15.6" x14ac:dyDescent="0.3">
      <c r="B625" s="11" t="s">
        <v>208</v>
      </c>
      <c r="C625" s="40" t="s">
        <v>89</v>
      </c>
      <c r="D625" s="40"/>
      <c r="E625" s="40"/>
      <c r="F625" s="54"/>
      <c r="G625" s="49"/>
      <c r="H625" s="48" t="e">
        <f t="shared" si="32"/>
        <v>#DIV/0!</v>
      </c>
      <c r="I625" s="40"/>
      <c r="J625" s="40"/>
      <c r="K625" s="40"/>
      <c r="L625" s="4" t="e">
        <f t="shared" si="30"/>
        <v>#DIV/0!</v>
      </c>
      <c r="AU625" s="22" t="e">
        <f t="shared" si="31"/>
        <v>#DIV/0!</v>
      </c>
      <c r="AV625" s="11" t="s">
        <v>166</v>
      </c>
      <c r="AW625" s="31">
        <v>23.527555701685198</v>
      </c>
      <c r="AX625" s="31">
        <v>149.17542041472001</v>
      </c>
      <c r="BK625" s="25" t="s">
        <v>204</v>
      </c>
    </row>
    <row r="626" spans="2:63" ht="15.6" x14ac:dyDescent="0.3">
      <c r="B626" s="11" t="s">
        <v>208</v>
      </c>
      <c r="C626" s="40" t="s">
        <v>89</v>
      </c>
      <c r="D626" s="40"/>
      <c r="E626" s="40"/>
      <c r="F626" s="54"/>
      <c r="G626" s="49"/>
      <c r="H626" s="48" t="e">
        <f t="shared" si="32"/>
        <v>#DIV/0!</v>
      </c>
      <c r="I626" s="40"/>
      <c r="J626" s="40"/>
      <c r="K626" s="40"/>
      <c r="L626" s="4" t="e">
        <f t="shared" si="30"/>
        <v>#DIV/0!</v>
      </c>
      <c r="AU626" s="22" t="e">
        <f t="shared" si="31"/>
        <v>#DIV/0!</v>
      </c>
      <c r="AV626" s="11" t="s">
        <v>166</v>
      </c>
      <c r="AW626" s="31">
        <v>19.231596546754002</v>
      </c>
      <c r="AX626" s="31">
        <v>339.63885626807502</v>
      </c>
      <c r="BK626" s="25" t="s">
        <v>204</v>
      </c>
    </row>
    <row r="627" spans="2:63" ht="15.6" x14ac:dyDescent="0.3">
      <c r="B627" s="11" t="s">
        <v>208</v>
      </c>
      <c r="C627" s="40" t="s">
        <v>89</v>
      </c>
      <c r="D627" s="40"/>
      <c r="E627" s="40"/>
      <c r="F627" s="54"/>
      <c r="G627" s="49"/>
      <c r="H627" s="48" t="e">
        <f t="shared" si="32"/>
        <v>#DIV/0!</v>
      </c>
      <c r="I627" s="40"/>
      <c r="J627" s="40"/>
      <c r="K627" s="40"/>
      <c r="L627" s="4" t="e">
        <f t="shared" si="30"/>
        <v>#DIV/0!</v>
      </c>
      <c r="AU627" s="22" t="e">
        <f t="shared" si="31"/>
        <v>#DIV/0!</v>
      </c>
      <c r="AV627" s="11" t="s">
        <v>166</v>
      </c>
      <c r="AW627" s="31">
        <v>21.273167901183601</v>
      </c>
      <c r="AX627" s="31">
        <v>203.091762090473</v>
      </c>
      <c r="BK627" s="25" t="s">
        <v>204</v>
      </c>
    </row>
    <row r="628" spans="2:63" ht="15.6" x14ac:dyDescent="0.3">
      <c r="B628" s="11" t="s">
        <v>208</v>
      </c>
      <c r="C628" s="40" t="s">
        <v>89</v>
      </c>
      <c r="D628" s="40"/>
      <c r="E628" s="40"/>
      <c r="F628" s="54"/>
      <c r="G628" s="49"/>
      <c r="H628" s="48" t="e">
        <f t="shared" si="32"/>
        <v>#DIV/0!</v>
      </c>
      <c r="I628" s="40"/>
      <c r="J628" s="40"/>
      <c r="K628" s="40"/>
      <c r="L628" s="4" t="e">
        <f t="shared" si="30"/>
        <v>#DIV/0!</v>
      </c>
      <c r="AU628" s="22" t="e">
        <f t="shared" si="31"/>
        <v>#DIV/0!</v>
      </c>
      <c r="AV628" s="11" t="s">
        <v>166</v>
      </c>
      <c r="AW628" s="31">
        <v>16.277768089150499</v>
      </c>
      <c r="AX628" s="31">
        <v>141.69834057511301</v>
      </c>
      <c r="BK628" s="25" t="s">
        <v>204</v>
      </c>
    </row>
    <row r="629" spans="2:63" ht="15.6" x14ac:dyDescent="0.3">
      <c r="B629" s="11" t="s">
        <v>208</v>
      </c>
      <c r="C629" s="40" t="s">
        <v>89</v>
      </c>
      <c r="D629" s="40"/>
      <c r="E629" s="40"/>
      <c r="F629" s="54"/>
      <c r="G629" s="49"/>
      <c r="H629" s="48" t="e">
        <f t="shared" si="32"/>
        <v>#DIV/0!</v>
      </c>
      <c r="I629" s="40"/>
      <c r="J629" s="40"/>
      <c r="K629" s="40"/>
      <c r="L629" s="4" t="e">
        <f t="shared" si="30"/>
        <v>#DIV/0!</v>
      </c>
      <c r="AU629" s="22" t="e">
        <f t="shared" si="31"/>
        <v>#DIV/0!</v>
      </c>
      <c r="AV629" s="11" t="s">
        <v>166</v>
      </c>
      <c r="AW629" s="31">
        <v>15.219967158425201</v>
      </c>
      <c r="AX629" s="31">
        <v>183.24295864334101</v>
      </c>
      <c r="BK629" s="25" t="s">
        <v>204</v>
      </c>
    </row>
    <row r="630" spans="2:63" ht="15.6" x14ac:dyDescent="0.3">
      <c r="B630" s="11" t="s">
        <v>208</v>
      </c>
      <c r="C630" s="40" t="s">
        <v>89</v>
      </c>
      <c r="D630" s="40"/>
      <c r="E630" s="40"/>
      <c r="F630" s="54"/>
      <c r="G630" s="49"/>
      <c r="H630" s="48" t="e">
        <f t="shared" si="32"/>
        <v>#DIV/0!</v>
      </c>
      <c r="I630" s="40"/>
      <c r="J630" s="40"/>
      <c r="K630" s="40"/>
      <c r="L630" s="4" t="e">
        <f t="shared" si="30"/>
        <v>#DIV/0!</v>
      </c>
      <c r="AU630" s="22" t="e">
        <f t="shared" si="31"/>
        <v>#DIV/0!</v>
      </c>
      <c r="AV630" s="11" t="s">
        <v>166</v>
      </c>
      <c r="AW630" s="31">
        <v>12.445566300876299</v>
      </c>
      <c r="AX630" s="31">
        <v>262.63635276533302</v>
      </c>
      <c r="BK630" s="25" t="s">
        <v>204</v>
      </c>
    </row>
    <row r="631" spans="2:63" ht="15.6" x14ac:dyDescent="0.3">
      <c r="B631" s="11" t="s">
        <v>208</v>
      </c>
      <c r="C631" s="40" t="s">
        <v>89</v>
      </c>
      <c r="D631" s="40"/>
      <c r="E631" s="40"/>
      <c r="F631" s="54"/>
      <c r="G631" s="49"/>
      <c r="H631" s="48" t="e">
        <f t="shared" si="32"/>
        <v>#DIV/0!</v>
      </c>
      <c r="I631" s="40"/>
      <c r="J631" s="40"/>
      <c r="K631" s="40"/>
      <c r="L631" s="4" t="e">
        <f t="shared" si="30"/>
        <v>#DIV/0!</v>
      </c>
      <c r="AU631" s="22" t="e">
        <f t="shared" si="31"/>
        <v>#DIV/0!</v>
      </c>
      <c r="AV631" s="11" t="s">
        <v>166</v>
      </c>
      <c r="AW631" s="31">
        <v>34.026040484068098</v>
      </c>
      <c r="AX631" s="31">
        <v>76.449507123947797</v>
      </c>
      <c r="BK631" s="25" t="s">
        <v>204</v>
      </c>
    </row>
    <row r="632" spans="2:63" ht="15.6" x14ac:dyDescent="0.3">
      <c r="B632" s="11" t="s">
        <v>209</v>
      </c>
      <c r="C632" s="40" t="s">
        <v>210</v>
      </c>
      <c r="D632" s="40"/>
      <c r="E632" s="40"/>
      <c r="F632" s="54"/>
      <c r="G632" s="49"/>
      <c r="H632" s="48" t="e">
        <f t="shared" si="32"/>
        <v>#DIV/0!</v>
      </c>
      <c r="I632" s="40"/>
      <c r="J632" s="40"/>
      <c r="K632" s="40"/>
      <c r="L632" s="4" t="e">
        <f t="shared" si="30"/>
        <v>#DIV/0!</v>
      </c>
      <c r="AU632" s="22" t="e">
        <f t="shared" si="31"/>
        <v>#DIV/0!</v>
      </c>
      <c r="AV632" s="11" t="s">
        <v>166</v>
      </c>
      <c r="AW632" s="31">
        <v>369.43190642537502</v>
      </c>
      <c r="AX632" s="31">
        <v>1.5003019027163301E-2</v>
      </c>
      <c r="BK632" s="25" t="s">
        <v>204</v>
      </c>
    </row>
    <row r="633" spans="2:63" ht="15.6" x14ac:dyDescent="0.3">
      <c r="B633" s="11" t="s">
        <v>209</v>
      </c>
      <c r="C633" s="40" t="s">
        <v>210</v>
      </c>
      <c r="D633" s="40"/>
      <c r="E633" s="40"/>
      <c r="F633" s="54"/>
      <c r="G633" s="49"/>
      <c r="H633" s="48" t="e">
        <f t="shared" si="32"/>
        <v>#DIV/0!</v>
      </c>
      <c r="I633" s="40"/>
      <c r="J633" s="40"/>
      <c r="K633" s="40"/>
      <c r="L633" s="4" t="e">
        <f t="shared" si="30"/>
        <v>#DIV/0!</v>
      </c>
      <c r="AU633" s="22" t="e">
        <f t="shared" si="31"/>
        <v>#DIV/0!</v>
      </c>
      <c r="AV633" s="11" t="s">
        <v>166</v>
      </c>
      <c r="AW633" s="31">
        <v>255.61629780465699</v>
      </c>
      <c r="AX633" s="31">
        <v>1.28582285656921E-2</v>
      </c>
      <c r="BK633" s="25" t="s">
        <v>204</v>
      </c>
    </row>
    <row r="634" spans="2:63" ht="15.6" x14ac:dyDescent="0.3">
      <c r="B634" s="11" t="s">
        <v>209</v>
      </c>
      <c r="C634" s="40" t="s">
        <v>210</v>
      </c>
      <c r="D634" s="40"/>
      <c r="E634" s="40"/>
      <c r="F634" s="54"/>
      <c r="G634" s="49"/>
      <c r="H634" s="48" t="e">
        <f t="shared" si="32"/>
        <v>#DIV/0!</v>
      </c>
      <c r="I634" s="40"/>
      <c r="J634" s="40"/>
      <c r="K634" s="40"/>
      <c r="L634" s="4" t="e">
        <f t="shared" si="30"/>
        <v>#DIV/0!</v>
      </c>
      <c r="AU634" s="22" t="e">
        <f t="shared" si="31"/>
        <v>#DIV/0!</v>
      </c>
      <c r="AV634" s="11" t="s">
        <v>166</v>
      </c>
      <c r="AW634" s="31">
        <v>302.30277826291098</v>
      </c>
      <c r="AX634" s="31">
        <v>8.9712631952173702E-3</v>
      </c>
      <c r="BK634" s="25" t="s">
        <v>204</v>
      </c>
    </row>
    <row r="635" spans="2:63" ht="15.6" x14ac:dyDescent="0.3">
      <c r="B635" s="11" t="s">
        <v>209</v>
      </c>
      <c r="C635" s="40" t="s">
        <v>210</v>
      </c>
      <c r="D635" s="40"/>
      <c r="E635" s="40"/>
      <c r="F635" s="54"/>
      <c r="G635" s="49"/>
      <c r="H635" s="48" t="e">
        <f t="shared" si="32"/>
        <v>#DIV/0!</v>
      </c>
      <c r="I635" s="40"/>
      <c r="J635" s="40"/>
      <c r="K635" s="40"/>
      <c r="L635" s="4" t="e">
        <f t="shared" si="30"/>
        <v>#DIV/0!</v>
      </c>
      <c r="AU635" s="22" t="e">
        <f t="shared" si="31"/>
        <v>#DIV/0!</v>
      </c>
      <c r="AV635" s="11" t="s">
        <v>166</v>
      </c>
      <c r="AW635" s="31">
        <v>162.41620950116999</v>
      </c>
      <c r="AX635" s="31">
        <v>7.0170382867038E-2</v>
      </c>
      <c r="BK635" s="25" t="s">
        <v>204</v>
      </c>
    </row>
    <row r="636" spans="2:63" ht="15.6" x14ac:dyDescent="0.3">
      <c r="B636" s="11" t="s">
        <v>209</v>
      </c>
      <c r="C636" s="40" t="s">
        <v>210</v>
      </c>
      <c r="D636" s="40"/>
      <c r="E636" s="40"/>
      <c r="F636" s="54"/>
      <c r="G636" s="49"/>
      <c r="H636" s="48" t="e">
        <f t="shared" si="32"/>
        <v>#DIV/0!</v>
      </c>
      <c r="I636" s="40"/>
      <c r="J636" s="40"/>
      <c r="K636" s="40"/>
      <c r="L636" s="4" t="e">
        <f t="shared" si="30"/>
        <v>#DIV/0!</v>
      </c>
      <c r="AU636" s="22" t="e">
        <f t="shared" si="31"/>
        <v>#DIV/0!</v>
      </c>
      <c r="AV636" s="11" t="s">
        <v>166</v>
      </c>
      <c r="AW636" s="31">
        <v>144.408898193195</v>
      </c>
      <c r="AX636" s="31">
        <v>0.100572996445752</v>
      </c>
      <c r="BK636" s="25" t="s">
        <v>204</v>
      </c>
    </row>
    <row r="637" spans="2:63" ht="15.6" x14ac:dyDescent="0.3">
      <c r="B637" s="11" t="s">
        <v>209</v>
      </c>
      <c r="C637" s="40" t="s">
        <v>210</v>
      </c>
      <c r="D637" s="40"/>
      <c r="E637" s="40"/>
      <c r="F637" s="54"/>
      <c r="G637" s="49"/>
      <c r="H637" s="48" t="e">
        <f t="shared" si="32"/>
        <v>#DIV/0!</v>
      </c>
      <c r="I637" s="40"/>
      <c r="J637" s="40"/>
      <c r="K637" s="40"/>
      <c r="L637" s="4" t="e">
        <f t="shared" si="30"/>
        <v>#DIV/0!</v>
      </c>
      <c r="AU637" s="22" t="e">
        <f t="shared" si="31"/>
        <v>#DIV/0!</v>
      </c>
      <c r="AV637" s="11" t="s">
        <v>166</v>
      </c>
      <c r="AW637" s="31">
        <v>115.998658408252</v>
      </c>
      <c r="AX637" s="31">
        <v>0.54885053805262196</v>
      </c>
      <c r="BK637" s="25" t="s">
        <v>204</v>
      </c>
    </row>
    <row r="638" spans="2:63" ht="15.6" x14ac:dyDescent="0.3">
      <c r="B638" s="11" t="s">
        <v>209</v>
      </c>
      <c r="C638" s="40" t="s">
        <v>210</v>
      </c>
      <c r="D638" s="40"/>
      <c r="E638" s="40"/>
      <c r="F638" s="54"/>
      <c r="G638" s="49"/>
      <c r="H638" s="48" t="e">
        <f t="shared" si="32"/>
        <v>#DIV/0!</v>
      </c>
      <c r="I638" s="40"/>
      <c r="J638" s="40"/>
      <c r="K638" s="40"/>
      <c r="L638" s="4" t="e">
        <f t="shared" si="30"/>
        <v>#DIV/0!</v>
      </c>
      <c r="AU638" s="22" t="e">
        <f t="shared" si="31"/>
        <v>#DIV/0!</v>
      </c>
      <c r="AV638" s="11" t="s">
        <v>166</v>
      </c>
      <c r="AW638" s="31">
        <v>104.827135831829</v>
      </c>
      <c r="AX638" s="31">
        <v>1.45804763288648</v>
      </c>
      <c r="BK638" s="25" t="s">
        <v>204</v>
      </c>
    </row>
    <row r="639" spans="2:63" ht="15.6" x14ac:dyDescent="0.3">
      <c r="B639" s="11" t="s">
        <v>209</v>
      </c>
      <c r="C639" s="40" t="s">
        <v>210</v>
      </c>
      <c r="D639" s="40"/>
      <c r="E639" s="40"/>
      <c r="F639" s="54"/>
      <c r="G639" s="49"/>
      <c r="H639" s="48" t="e">
        <f t="shared" si="32"/>
        <v>#DIV/0!</v>
      </c>
      <c r="I639" s="40"/>
      <c r="J639" s="40"/>
      <c r="K639" s="40"/>
      <c r="L639" s="4" t="e">
        <f t="shared" si="30"/>
        <v>#DIV/0!</v>
      </c>
      <c r="AU639" s="22" t="e">
        <f t="shared" si="31"/>
        <v>#DIV/0!</v>
      </c>
      <c r="AV639" s="11" t="s">
        <v>166</v>
      </c>
      <c r="AW639" s="31">
        <v>94.763009577927207</v>
      </c>
      <c r="AX639" s="31">
        <v>2.56702016588816</v>
      </c>
      <c r="BK639" s="25" t="s">
        <v>204</v>
      </c>
    </row>
    <row r="640" spans="2:63" ht="15.6" x14ac:dyDescent="0.3">
      <c r="B640" s="11" t="s">
        <v>209</v>
      </c>
      <c r="C640" s="40" t="s">
        <v>210</v>
      </c>
      <c r="D640" s="40"/>
      <c r="E640" s="40"/>
      <c r="F640" s="54"/>
      <c r="G640" s="49"/>
      <c r="H640" s="48" t="e">
        <f t="shared" si="32"/>
        <v>#DIV/0!</v>
      </c>
      <c r="I640" s="40"/>
      <c r="J640" s="40"/>
      <c r="K640" s="40"/>
      <c r="L640" s="4" t="e">
        <f t="shared" si="30"/>
        <v>#DIV/0!</v>
      </c>
      <c r="AU640" s="22" t="e">
        <f t="shared" si="31"/>
        <v>#DIV/0!</v>
      </c>
      <c r="AV640" s="11" t="s">
        <v>166</v>
      </c>
      <c r="AW640" s="31">
        <v>74.9242064798554</v>
      </c>
      <c r="AX640" s="31">
        <v>4.51946313923309</v>
      </c>
      <c r="BK640" s="25" t="s">
        <v>204</v>
      </c>
    </row>
    <row r="641" spans="2:63" ht="15.6" x14ac:dyDescent="0.3">
      <c r="B641" s="11" t="s">
        <v>209</v>
      </c>
      <c r="C641" s="40" t="s">
        <v>210</v>
      </c>
      <c r="D641" s="40"/>
      <c r="E641" s="40"/>
      <c r="F641" s="54"/>
      <c r="G641" s="49"/>
      <c r="H641" s="48" t="e">
        <f t="shared" si="32"/>
        <v>#DIV/0!</v>
      </c>
      <c r="I641" s="40"/>
      <c r="J641" s="40"/>
      <c r="K641" s="40"/>
      <c r="L641" s="4" t="e">
        <f t="shared" si="30"/>
        <v>#DIV/0!</v>
      </c>
      <c r="AU641" s="22" t="e">
        <f t="shared" si="31"/>
        <v>#DIV/0!</v>
      </c>
      <c r="AV641" s="11" t="s">
        <v>166</v>
      </c>
      <c r="AW641" s="31">
        <v>54.5009711379221</v>
      </c>
      <c r="AX641" s="31">
        <v>5.0090095654714899</v>
      </c>
      <c r="BK641" s="25" t="s">
        <v>204</v>
      </c>
    </row>
    <row r="642" spans="2:63" ht="15.6" x14ac:dyDescent="0.3">
      <c r="B642" s="11" t="s">
        <v>209</v>
      </c>
      <c r="C642" s="40" t="s">
        <v>210</v>
      </c>
      <c r="D642" s="40"/>
      <c r="E642" s="40"/>
      <c r="F642" s="54"/>
      <c r="G642" s="49"/>
      <c r="H642" s="48" t="e">
        <f t="shared" si="32"/>
        <v>#DIV/0!</v>
      </c>
      <c r="I642" s="40"/>
      <c r="J642" s="40"/>
      <c r="K642" s="40"/>
      <c r="L642" s="4" t="e">
        <f t="shared" si="30"/>
        <v>#DIV/0!</v>
      </c>
      <c r="AU642" s="22" t="e">
        <f t="shared" si="31"/>
        <v>#DIV/0!</v>
      </c>
      <c r="AV642" s="11" t="s">
        <v>166</v>
      </c>
      <c r="AW642" s="31">
        <v>38.9589113403593</v>
      </c>
      <c r="AX642" s="31">
        <v>13.306672825637801</v>
      </c>
      <c r="BK642" s="25" t="s">
        <v>204</v>
      </c>
    </row>
    <row r="643" spans="2:63" ht="15.6" x14ac:dyDescent="0.3">
      <c r="B643" s="11" t="s">
        <v>209</v>
      </c>
      <c r="C643" s="40" t="s">
        <v>210</v>
      </c>
      <c r="D643" s="40"/>
      <c r="E643" s="40"/>
      <c r="F643" s="54"/>
      <c r="G643" s="49"/>
      <c r="H643" s="48" t="e">
        <f t="shared" si="32"/>
        <v>#DIV/0!</v>
      </c>
      <c r="I643" s="40"/>
      <c r="J643" s="40"/>
      <c r="K643" s="40"/>
      <c r="L643" s="4" t="e">
        <f t="shared" si="30"/>
        <v>#DIV/0!</v>
      </c>
      <c r="AU643" s="22" t="e">
        <f t="shared" si="31"/>
        <v>#DIV/0!</v>
      </c>
      <c r="AV643" s="11" t="s">
        <v>166</v>
      </c>
      <c r="AW643" s="31">
        <v>33.501328912773197</v>
      </c>
      <c r="AX643" s="31">
        <v>17.208063893848099</v>
      </c>
      <c r="BK643" s="25" t="s">
        <v>204</v>
      </c>
    </row>
    <row r="644" spans="2:63" ht="15.6" x14ac:dyDescent="0.3">
      <c r="B644" s="11" t="s">
        <v>209</v>
      </c>
      <c r="C644" s="40" t="s">
        <v>210</v>
      </c>
      <c r="D644" s="40"/>
      <c r="E644" s="40"/>
      <c r="F644" s="54"/>
      <c r="G644" s="49"/>
      <c r="H644" s="48" t="e">
        <f t="shared" si="32"/>
        <v>#DIV/0!</v>
      </c>
      <c r="I644" s="40"/>
      <c r="J644" s="40"/>
      <c r="K644" s="40"/>
      <c r="L644" s="4" t="e">
        <f t="shared" si="30"/>
        <v>#DIV/0!</v>
      </c>
      <c r="AU644" s="22" t="e">
        <f t="shared" si="31"/>
        <v>#DIV/0!</v>
      </c>
      <c r="AV644" s="11" t="s">
        <v>166</v>
      </c>
      <c r="AW644" s="31">
        <v>31.8519169072908</v>
      </c>
      <c r="AX644" s="31">
        <v>23.427559370378699</v>
      </c>
      <c r="BK644" s="25" t="s">
        <v>204</v>
      </c>
    </row>
    <row r="645" spans="2:63" ht="15.6" x14ac:dyDescent="0.3">
      <c r="B645" s="11" t="s">
        <v>209</v>
      </c>
      <c r="C645" s="40" t="s">
        <v>210</v>
      </c>
      <c r="D645" s="40"/>
      <c r="E645" s="40"/>
      <c r="F645" s="54"/>
      <c r="G645" s="49"/>
      <c r="H645" s="48" t="e">
        <f t="shared" si="32"/>
        <v>#DIV/0!</v>
      </c>
      <c r="I645" s="40"/>
      <c r="J645" s="40"/>
      <c r="K645" s="40"/>
      <c r="L645" s="4" t="e">
        <f t="shared" ref="L645:L708" si="33">J645/K645</f>
        <v>#DIV/0!</v>
      </c>
      <c r="AU645" s="22" t="e">
        <f t="shared" si="31"/>
        <v>#DIV/0!</v>
      </c>
      <c r="AV645" s="11" t="s">
        <v>166</v>
      </c>
      <c r="AW645" s="31">
        <v>29.777089534995799</v>
      </c>
      <c r="AX645" s="31">
        <v>37.215135361547802</v>
      </c>
      <c r="BK645" s="25" t="s">
        <v>204</v>
      </c>
    </row>
    <row r="646" spans="2:63" ht="15.6" x14ac:dyDescent="0.3">
      <c r="B646" s="11" t="s">
        <v>211</v>
      </c>
      <c r="C646" s="40" t="s">
        <v>212</v>
      </c>
      <c r="D646" s="40"/>
      <c r="E646" s="40"/>
      <c r="F646" s="54"/>
      <c r="G646" s="49"/>
      <c r="H646" s="48" t="e">
        <f t="shared" si="32"/>
        <v>#DIV/0!</v>
      </c>
      <c r="I646" s="40"/>
      <c r="J646" s="40"/>
      <c r="K646" s="40"/>
      <c r="L646" s="4" t="e">
        <f t="shared" si="33"/>
        <v>#DIV/0!</v>
      </c>
      <c r="AU646" s="22" t="e">
        <f t="shared" si="31"/>
        <v>#DIV/0!</v>
      </c>
      <c r="AV646" s="11" t="s">
        <v>166</v>
      </c>
      <c r="AW646" s="38">
        <v>763.24128539912601</v>
      </c>
      <c r="AX646" s="38">
        <v>1.60677599565106E-5</v>
      </c>
      <c r="BK646" s="25" t="s">
        <v>204</v>
      </c>
    </row>
    <row r="647" spans="2:63" ht="15.6" x14ac:dyDescent="0.3">
      <c r="B647" s="11" t="s">
        <v>211</v>
      </c>
      <c r="C647" s="40" t="s">
        <v>212</v>
      </c>
      <c r="D647" s="40"/>
      <c r="E647" s="40"/>
      <c r="F647" s="54"/>
      <c r="G647" s="49"/>
      <c r="H647" s="48" t="e">
        <f t="shared" si="32"/>
        <v>#DIV/0!</v>
      </c>
      <c r="I647" s="40"/>
      <c r="J647" s="40"/>
      <c r="K647" s="40"/>
      <c r="L647" s="4" t="e">
        <f t="shared" si="33"/>
        <v>#DIV/0!</v>
      </c>
      <c r="AU647" s="22" t="e">
        <f t="shared" si="31"/>
        <v>#DIV/0!</v>
      </c>
      <c r="AV647" s="11" t="s">
        <v>166</v>
      </c>
      <c r="AW647" s="38">
        <v>701.091772034168</v>
      </c>
      <c r="AX647" s="38">
        <v>7.1383529073266796E-5</v>
      </c>
      <c r="BK647" s="25" t="s">
        <v>204</v>
      </c>
    </row>
    <row r="648" spans="2:63" ht="15.6" x14ac:dyDescent="0.3">
      <c r="B648" s="11" t="s">
        <v>211</v>
      </c>
      <c r="C648" s="40" t="s">
        <v>212</v>
      </c>
      <c r="D648" s="40"/>
      <c r="E648" s="40"/>
      <c r="F648" s="54"/>
      <c r="G648" s="49"/>
      <c r="H648" s="48" t="e">
        <f t="shared" si="32"/>
        <v>#DIV/0!</v>
      </c>
      <c r="I648" s="40"/>
      <c r="J648" s="40"/>
      <c r="K648" s="40"/>
      <c r="L648" s="4" t="e">
        <f t="shared" si="33"/>
        <v>#DIV/0!</v>
      </c>
      <c r="AU648" s="22" t="e">
        <f t="shared" si="31"/>
        <v>#DIV/0!</v>
      </c>
      <c r="AV648" s="11" t="s">
        <v>166</v>
      </c>
      <c r="AW648" s="38">
        <v>947.53165744861894</v>
      </c>
      <c r="AX648" s="38">
        <v>9.2312507067465795E-5</v>
      </c>
      <c r="BK648" s="25" t="s">
        <v>204</v>
      </c>
    </row>
    <row r="649" spans="2:63" ht="15.6" x14ac:dyDescent="0.3">
      <c r="B649" s="11" t="s">
        <v>211</v>
      </c>
      <c r="C649" s="40" t="s">
        <v>212</v>
      </c>
      <c r="D649" s="40"/>
      <c r="E649" s="40"/>
      <c r="F649" s="54"/>
      <c r="G649" s="49"/>
      <c r="H649" s="48" t="e">
        <f t="shared" si="32"/>
        <v>#DIV/0!</v>
      </c>
      <c r="I649" s="40"/>
      <c r="J649" s="40"/>
      <c r="K649" s="40"/>
      <c r="L649" s="4" t="e">
        <f t="shared" si="33"/>
        <v>#DIV/0!</v>
      </c>
      <c r="AU649" s="22" t="e">
        <f t="shared" si="31"/>
        <v>#DIV/0!</v>
      </c>
      <c r="AV649" s="11" t="s">
        <v>166</v>
      </c>
      <c r="AW649" s="38">
        <v>774.71245274605303</v>
      </c>
      <c r="AX649" s="38">
        <v>1.5437807027182901E-4</v>
      </c>
      <c r="BK649" s="25" t="s">
        <v>204</v>
      </c>
    </row>
    <row r="650" spans="2:63" ht="15.6" x14ac:dyDescent="0.3">
      <c r="B650" s="11" t="s">
        <v>211</v>
      </c>
      <c r="C650" s="40" t="s">
        <v>212</v>
      </c>
      <c r="D650" s="40"/>
      <c r="E650" s="40"/>
      <c r="F650" s="54"/>
      <c r="G650" s="49"/>
      <c r="H650" s="48" t="e">
        <f t="shared" si="32"/>
        <v>#DIV/0!</v>
      </c>
      <c r="I650" s="40"/>
      <c r="J650" s="40"/>
      <c r="K650" s="40"/>
      <c r="L650" s="4" t="e">
        <f t="shared" si="33"/>
        <v>#DIV/0!</v>
      </c>
      <c r="AU650" s="22" t="e">
        <f t="shared" si="31"/>
        <v>#DIV/0!</v>
      </c>
      <c r="AV650" s="11" t="s">
        <v>166</v>
      </c>
      <c r="AW650" s="38">
        <v>689.10529244485895</v>
      </c>
      <c r="AX650" s="38">
        <v>1.3230860465428401E-4</v>
      </c>
      <c r="BK650" s="25" t="s">
        <v>204</v>
      </c>
    </row>
    <row r="651" spans="2:63" ht="15.6" x14ac:dyDescent="0.3">
      <c r="B651" s="11" t="s">
        <v>211</v>
      </c>
      <c r="C651" s="40" t="s">
        <v>212</v>
      </c>
      <c r="D651" s="40"/>
      <c r="E651" s="40"/>
      <c r="F651" s="54"/>
      <c r="G651" s="49"/>
      <c r="H651" s="48" t="e">
        <f t="shared" si="32"/>
        <v>#DIV/0!</v>
      </c>
      <c r="I651" s="40"/>
      <c r="J651" s="40"/>
      <c r="K651" s="40"/>
      <c r="L651" s="4" t="e">
        <f t="shared" si="33"/>
        <v>#DIV/0!</v>
      </c>
      <c r="AU651" s="22" t="e">
        <f t="shared" si="31"/>
        <v>#DIV/0!</v>
      </c>
      <c r="AV651" s="11" t="s">
        <v>166</v>
      </c>
      <c r="AW651" s="38">
        <v>688.67590489552094</v>
      </c>
      <c r="AX651" s="38">
        <v>2.86138095609175E-4</v>
      </c>
      <c r="BK651" s="25" t="s">
        <v>204</v>
      </c>
    </row>
    <row r="652" spans="2:63" ht="15.6" x14ac:dyDescent="0.3">
      <c r="B652" s="11" t="s">
        <v>211</v>
      </c>
      <c r="C652" s="40" t="s">
        <v>212</v>
      </c>
      <c r="D652" s="40"/>
      <c r="E652" s="40"/>
      <c r="F652" s="54"/>
      <c r="G652" s="49"/>
      <c r="H652" s="48" t="e">
        <f t="shared" si="32"/>
        <v>#DIV/0!</v>
      </c>
      <c r="I652" s="40"/>
      <c r="J652" s="40"/>
      <c r="K652" s="40"/>
      <c r="L652" s="4" t="e">
        <f t="shared" si="33"/>
        <v>#DIV/0!</v>
      </c>
      <c r="AU652" s="22" t="e">
        <f t="shared" si="31"/>
        <v>#DIV/0!</v>
      </c>
      <c r="AV652" s="11" t="s">
        <v>166</v>
      </c>
      <c r="AW652" s="38">
        <v>633.20301363650799</v>
      </c>
      <c r="AX652" s="38">
        <v>3.8955673714156398E-4</v>
      </c>
      <c r="BK652" s="25" t="s">
        <v>204</v>
      </c>
    </row>
    <row r="653" spans="2:63" ht="15.6" x14ac:dyDescent="0.3">
      <c r="B653" s="11" t="s">
        <v>211</v>
      </c>
      <c r="C653" s="40" t="s">
        <v>212</v>
      </c>
      <c r="D653" s="40"/>
      <c r="E653" s="40"/>
      <c r="F653" s="54"/>
      <c r="G653" s="49"/>
      <c r="H653" s="48" t="e">
        <f t="shared" si="32"/>
        <v>#DIV/0!</v>
      </c>
      <c r="I653" s="40"/>
      <c r="J653" s="40"/>
      <c r="K653" s="40"/>
      <c r="L653" s="4" t="e">
        <f t="shared" si="33"/>
        <v>#DIV/0!</v>
      </c>
      <c r="AU653" s="22" t="e">
        <f t="shared" ref="AU653:AU716" si="34">(AS653*AT653)/(AG653)</f>
        <v>#DIV/0!</v>
      </c>
      <c r="AV653" s="11" t="s">
        <v>166</v>
      </c>
      <c r="AW653" s="38">
        <v>544.47776480196501</v>
      </c>
      <c r="AX653" s="38">
        <v>5.3035388779429501E-4</v>
      </c>
      <c r="BK653" s="25" t="s">
        <v>204</v>
      </c>
    </row>
    <row r="654" spans="2:63" ht="15.6" x14ac:dyDescent="0.3">
      <c r="B654" s="11" t="s">
        <v>211</v>
      </c>
      <c r="C654" s="40" t="s">
        <v>212</v>
      </c>
      <c r="D654" s="40"/>
      <c r="E654" s="40"/>
      <c r="F654" s="54"/>
      <c r="G654" s="49"/>
      <c r="H654" s="48" t="e">
        <f t="shared" si="32"/>
        <v>#DIV/0!</v>
      </c>
      <c r="I654" s="40"/>
      <c r="J654" s="40"/>
      <c r="K654" s="40"/>
      <c r="L654" s="4" t="e">
        <f t="shared" si="33"/>
        <v>#DIV/0!</v>
      </c>
      <c r="AU654" s="22" t="e">
        <f t="shared" si="34"/>
        <v>#DIV/0!</v>
      </c>
      <c r="AV654" s="11" t="s">
        <v>166</v>
      </c>
      <c r="AW654" s="38">
        <v>492.67479310734001</v>
      </c>
      <c r="AX654" s="38">
        <v>2.8613809560917598E-4</v>
      </c>
      <c r="BK654" s="25" t="s">
        <v>204</v>
      </c>
    </row>
    <row r="655" spans="2:63" ht="15.6" x14ac:dyDescent="0.3">
      <c r="B655" s="11" t="s">
        <v>211</v>
      </c>
      <c r="C655" s="40" t="s">
        <v>212</v>
      </c>
      <c r="D655" s="40"/>
      <c r="E655" s="40"/>
      <c r="F655" s="54"/>
      <c r="G655" s="49"/>
      <c r="H655" s="48" t="e">
        <f t="shared" si="32"/>
        <v>#DIV/0!</v>
      </c>
      <c r="I655" s="40"/>
      <c r="J655" s="40"/>
      <c r="K655" s="40"/>
      <c r="L655" s="4" t="e">
        <f t="shared" si="33"/>
        <v>#DIV/0!</v>
      </c>
      <c r="AU655" s="22" t="e">
        <f t="shared" si="34"/>
        <v>#DIV/0!</v>
      </c>
      <c r="AV655" s="11" t="s">
        <v>166</v>
      </c>
      <c r="AW655" s="38">
        <v>364.32488270068501</v>
      </c>
      <c r="AX655" s="38">
        <v>4.5453595023880002E-4</v>
      </c>
      <c r="BK655" s="25" t="s">
        <v>204</v>
      </c>
    </row>
    <row r="656" spans="2:63" ht="15.6" x14ac:dyDescent="0.3">
      <c r="B656" s="11" t="s">
        <v>211</v>
      </c>
      <c r="C656" s="40" t="s">
        <v>212</v>
      </c>
      <c r="D656" s="40"/>
      <c r="E656" s="40"/>
      <c r="F656" s="54"/>
      <c r="G656" s="49"/>
      <c r="H656" s="48" t="e">
        <f t="shared" si="32"/>
        <v>#DIV/0!</v>
      </c>
      <c r="I656" s="40"/>
      <c r="J656" s="40"/>
      <c r="K656" s="40"/>
      <c r="L656" s="4" t="e">
        <f t="shared" si="33"/>
        <v>#DIV/0!</v>
      </c>
      <c r="AU656" s="22" t="e">
        <f t="shared" si="34"/>
        <v>#DIV/0!</v>
      </c>
      <c r="AV656" s="11" t="s">
        <v>166</v>
      </c>
      <c r="AW656" s="38">
        <v>357.97704363222499</v>
      </c>
      <c r="AX656" s="38">
        <v>1.2712131076248901E-3</v>
      </c>
      <c r="BK656" s="25" t="s">
        <v>204</v>
      </c>
    </row>
    <row r="657" spans="2:63" ht="15.6" x14ac:dyDescent="0.3">
      <c r="B657" s="11" t="s">
        <v>211</v>
      </c>
      <c r="C657" s="40" t="s">
        <v>212</v>
      </c>
      <c r="D657" s="40"/>
      <c r="E657" s="40"/>
      <c r="F657" s="54"/>
      <c r="G657" s="49"/>
      <c r="H657" s="48" t="e">
        <f t="shared" si="32"/>
        <v>#DIV/0!</v>
      </c>
      <c r="I657" s="40"/>
      <c r="J657" s="40"/>
      <c r="K657" s="40"/>
      <c r="L657" s="4" t="e">
        <f t="shared" si="33"/>
        <v>#DIV/0!</v>
      </c>
      <c r="AU657" s="22" t="e">
        <f t="shared" si="34"/>
        <v>#DIV/0!</v>
      </c>
      <c r="AV657" s="11" t="s">
        <v>166</v>
      </c>
      <c r="AW657" s="38">
        <v>318.23473082597599</v>
      </c>
      <c r="AX657" s="38">
        <v>2.2380816708671399E-3</v>
      </c>
      <c r="BK657" s="25" t="s">
        <v>204</v>
      </c>
    </row>
    <row r="658" spans="2:63" ht="15.6" x14ac:dyDescent="0.3">
      <c r="B658" s="11" t="s">
        <v>211</v>
      </c>
      <c r="C658" s="40" t="s">
        <v>212</v>
      </c>
      <c r="D658" s="40"/>
      <c r="E658" s="40"/>
      <c r="F658" s="54"/>
      <c r="G658" s="49"/>
      <c r="H658" s="48" t="e">
        <f t="shared" si="32"/>
        <v>#DIV/0!</v>
      </c>
      <c r="I658" s="40"/>
      <c r="J658" s="40"/>
      <c r="K658" s="40"/>
      <c r="L658" s="4" t="e">
        <f t="shared" si="33"/>
        <v>#DIV/0!</v>
      </c>
      <c r="AU658" s="22" t="e">
        <f t="shared" si="34"/>
        <v>#DIV/0!</v>
      </c>
      <c r="AV658" s="11" t="s">
        <v>166</v>
      </c>
      <c r="AW658" s="38">
        <v>189.40930406102899</v>
      </c>
      <c r="AX658" s="38">
        <v>1.64392081065974E-3</v>
      </c>
      <c r="BK658" s="25" t="s">
        <v>204</v>
      </c>
    </row>
    <row r="659" spans="2:63" ht="15.6" x14ac:dyDescent="0.3">
      <c r="B659" s="11" t="s">
        <v>211</v>
      </c>
      <c r="C659" s="40" t="s">
        <v>212</v>
      </c>
      <c r="D659" s="40"/>
      <c r="E659" s="40"/>
      <c r="F659" s="54"/>
      <c r="G659" s="49"/>
      <c r="H659" s="48" t="e">
        <f t="shared" si="32"/>
        <v>#DIV/0!</v>
      </c>
      <c r="I659" s="40"/>
      <c r="J659" s="40"/>
      <c r="K659" s="40"/>
      <c r="L659" s="4" t="e">
        <f t="shared" si="33"/>
        <v>#DIV/0!</v>
      </c>
      <c r="AU659" s="22" t="e">
        <f t="shared" si="34"/>
        <v>#DIV/0!</v>
      </c>
      <c r="AV659" s="11" t="s">
        <v>166</v>
      </c>
      <c r="AW659" s="38">
        <v>202.28741741786999</v>
      </c>
      <c r="AX659" s="38">
        <v>7.3033745400415103E-3</v>
      </c>
      <c r="BK659" s="25" t="s">
        <v>204</v>
      </c>
    </row>
    <row r="660" spans="2:63" ht="15.6" x14ac:dyDescent="0.3">
      <c r="B660" s="11" t="s">
        <v>211</v>
      </c>
      <c r="C660" s="40" t="s">
        <v>212</v>
      </c>
      <c r="D660" s="40"/>
      <c r="E660" s="40"/>
      <c r="F660" s="54"/>
      <c r="G660" s="49"/>
      <c r="H660" s="48" t="e">
        <f t="shared" si="32"/>
        <v>#DIV/0!</v>
      </c>
      <c r="I660" s="40"/>
      <c r="J660" s="40"/>
      <c r="K660" s="40"/>
      <c r="L660" s="4" t="e">
        <f t="shared" si="33"/>
        <v>#DIV/0!</v>
      </c>
      <c r="AU660" s="22" t="e">
        <f t="shared" si="34"/>
        <v>#DIV/0!</v>
      </c>
      <c r="AV660" s="11" t="s">
        <v>166</v>
      </c>
      <c r="AW660" s="38">
        <v>118.24216932828899</v>
      </c>
      <c r="AX660" s="38">
        <v>2.7807934671431798E-2</v>
      </c>
      <c r="BK660" s="25" t="s">
        <v>204</v>
      </c>
    </row>
    <row r="661" spans="2:63" ht="15.6" x14ac:dyDescent="0.3">
      <c r="B661" s="11" t="s">
        <v>211</v>
      </c>
      <c r="C661" s="40" t="s">
        <v>212</v>
      </c>
      <c r="D661" s="40"/>
      <c r="E661" s="40"/>
      <c r="F661" s="54"/>
      <c r="G661" s="49"/>
      <c r="H661" s="48" t="e">
        <f t="shared" si="32"/>
        <v>#DIV/0!</v>
      </c>
      <c r="I661" s="40"/>
      <c r="J661" s="40"/>
      <c r="K661" s="40"/>
      <c r="L661" s="4" t="e">
        <f t="shared" si="33"/>
        <v>#DIV/0!</v>
      </c>
      <c r="AU661" s="22" t="e">
        <f t="shared" si="34"/>
        <v>#DIV/0!</v>
      </c>
      <c r="AV661" s="11" t="s">
        <v>166</v>
      </c>
      <c r="AW661" s="38">
        <v>64.626823907098</v>
      </c>
      <c r="AX661" s="38">
        <v>0.13006005118723599</v>
      </c>
      <c r="BK661" s="25" t="s">
        <v>204</v>
      </c>
    </row>
    <row r="662" spans="2:63" ht="15.6" x14ac:dyDescent="0.3">
      <c r="B662" s="11" t="s">
        <v>211</v>
      </c>
      <c r="C662" s="40" t="s">
        <v>212</v>
      </c>
      <c r="D662" s="40"/>
      <c r="E662" s="40"/>
      <c r="F662" s="54"/>
      <c r="G662" s="49"/>
      <c r="H662" s="48" t="e">
        <f t="shared" si="32"/>
        <v>#DIV/0!</v>
      </c>
      <c r="I662" s="40"/>
      <c r="J662" s="40"/>
      <c r="K662" s="40"/>
      <c r="L662" s="4" t="e">
        <f t="shared" si="33"/>
        <v>#DIV/0!</v>
      </c>
      <c r="AU662" s="22" t="e">
        <f t="shared" si="34"/>
        <v>#DIV/0!</v>
      </c>
      <c r="AV662" s="11" t="s">
        <v>166</v>
      </c>
      <c r="AW662" s="38">
        <v>52.811076097401298</v>
      </c>
      <c r="AX662" s="38">
        <v>0.42441581953054103</v>
      </c>
      <c r="BK662" s="25" t="s">
        <v>204</v>
      </c>
    </row>
    <row r="663" spans="2:63" ht="15.6" x14ac:dyDescent="0.3">
      <c r="B663" s="11" t="s">
        <v>211</v>
      </c>
      <c r="C663" s="40" t="s">
        <v>212</v>
      </c>
      <c r="D663" s="40"/>
      <c r="E663" s="40"/>
      <c r="F663" s="54"/>
      <c r="G663" s="49"/>
      <c r="H663" s="48" t="e">
        <f t="shared" si="32"/>
        <v>#DIV/0!</v>
      </c>
      <c r="I663" s="40"/>
      <c r="J663" s="40"/>
      <c r="K663" s="40"/>
      <c r="L663" s="4" t="e">
        <f t="shared" si="33"/>
        <v>#DIV/0!</v>
      </c>
      <c r="AU663" s="22" t="e">
        <f t="shared" si="34"/>
        <v>#DIV/0!</v>
      </c>
      <c r="AV663" s="11" t="s">
        <v>166</v>
      </c>
      <c r="AW663" s="38">
        <v>62.422910043650297</v>
      </c>
      <c r="AX663" s="38">
        <v>0.57781205783029999</v>
      </c>
      <c r="BK663" s="25" t="s">
        <v>204</v>
      </c>
    </row>
    <row r="664" spans="2:63" ht="15.6" x14ac:dyDescent="0.3">
      <c r="B664" s="11" t="s">
        <v>211</v>
      </c>
      <c r="C664" s="40" t="s">
        <v>212</v>
      </c>
      <c r="D664" s="40"/>
      <c r="E664" s="40"/>
      <c r="F664" s="54"/>
      <c r="G664" s="49"/>
      <c r="H664" s="48" t="e">
        <f t="shared" si="32"/>
        <v>#DIV/0!</v>
      </c>
      <c r="I664" s="40"/>
      <c r="J664" s="40"/>
      <c r="K664" s="40"/>
      <c r="L664" s="4" t="e">
        <f t="shared" si="33"/>
        <v>#DIV/0!</v>
      </c>
      <c r="AU664" s="22" t="e">
        <f t="shared" si="34"/>
        <v>#DIV/0!</v>
      </c>
      <c r="AV664" s="11" t="s">
        <v>166</v>
      </c>
      <c r="AW664" s="38">
        <v>31.420734430650501</v>
      </c>
      <c r="AX664" s="38">
        <v>0.49520963041794203</v>
      </c>
      <c r="BK664" s="25" t="s">
        <v>204</v>
      </c>
    </row>
    <row r="665" spans="2:63" ht="15.6" x14ac:dyDescent="0.3">
      <c r="B665" s="11" t="s">
        <v>211</v>
      </c>
      <c r="C665" s="40" t="s">
        <v>212</v>
      </c>
      <c r="D665" s="40"/>
      <c r="E665" s="40"/>
      <c r="F665" s="54"/>
      <c r="G665" s="49"/>
      <c r="H665" s="48" t="e">
        <f t="shared" si="32"/>
        <v>#DIV/0!</v>
      </c>
      <c r="I665" s="40"/>
      <c r="J665" s="40"/>
      <c r="K665" s="40"/>
      <c r="L665" s="4" t="e">
        <f t="shared" si="33"/>
        <v>#DIV/0!</v>
      </c>
      <c r="AU665" s="22" t="e">
        <f t="shared" si="34"/>
        <v>#DIV/0!</v>
      </c>
      <c r="AV665" s="11" t="s">
        <v>166</v>
      </c>
      <c r="AW665" s="38">
        <v>39.6860149401939</v>
      </c>
      <c r="AX665" s="38">
        <v>1.5349852915548501</v>
      </c>
      <c r="BK665" s="25" t="s">
        <v>204</v>
      </c>
    </row>
    <row r="666" spans="2:63" ht="15.6" x14ac:dyDescent="0.3">
      <c r="B666" s="11" t="s">
        <v>211</v>
      </c>
      <c r="C666" s="40" t="s">
        <v>212</v>
      </c>
      <c r="D666" s="40"/>
      <c r="E666" s="40"/>
      <c r="F666" s="54"/>
      <c r="G666" s="49"/>
      <c r="H666" s="48" t="e">
        <f t="shared" si="32"/>
        <v>#DIV/0!</v>
      </c>
      <c r="I666" s="40"/>
      <c r="J666" s="40"/>
      <c r="K666" s="40"/>
      <c r="L666" s="4" t="e">
        <f t="shared" si="33"/>
        <v>#DIV/0!</v>
      </c>
      <c r="AU666" s="22" t="e">
        <f t="shared" si="34"/>
        <v>#DIV/0!</v>
      </c>
      <c r="AV666" s="11" t="s">
        <v>166</v>
      </c>
      <c r="AW666" s="38">
        <v>33.569611233425903</v>
      </c>
      <c r="AX666" s="38">
        <v>1.3849662999783301</v>
      </c>
      <c r="BK666" s="25" t="s">
        <v>204</v>
      </c>
    </row>
    <row r="667" spans="2:63" ht="15.6" x14ac:dyDescent="0.3">
      <c r="B667" s="11" t="s">
        <v>211</v>
      </c>
      <c r="C667" s="40" t="s">
        <v>212</v>
      </c>
      <c r="D667" s="40"/>
      <c r="E667" s="40"/>
      <c r="F667" s="54"/>
      <c r="G667" s="49"/>
      <c r="H667" s="48" t="e">
        <f t="shared" si="32"/>
        <v>#DIV/0!</v>
      </c>
      <c r="I667" s="40"/>
      <c r="J667" s="40"/>
      <c r="K667" s="40"/>
      <c r="L667" s="4" t="e">
        <f t="shared" si="33"/>
        <v>#DIV/0!</v>
      </c>
      <c r="AU667" s="22" t="e">
        <f t="shared" si="34"/>
        <v>#DIV/0!</v>
      </c>
      <c r="AV667" s="11" t="s">
        <v>166</v>
      </c>
      <c r="AW667" s="38">
        <v>35.291836716363001</v>
      </c>
      <c r="AX667" s="38">
        <v>1.79102536698248</v>
      </c>
      <c r="BK667" s="25" t="s">
        <v>204</v>
      </c>
    </row>
    <row r="668" spans="2:63" ht="15.6" x14ac:dyDescent="0.3">
      <c r="B668" s="11" t="s">
        <v>211</v>
      </c>
      <c r="C668" s="40" t="s">
        <v>212</v>
      </c>
      <c r="D668" s="40"/>
      <c r="E668" s="40"/>
      <c r="F668" s="54"/>
      <c r="G668" s="49"/>
      <c r="H668" s="48" t="e">
        <f t="shared" si="32"/>
        <v>#DIV/0!</v>
      </c>
      <c r="I668" s="40"/>
      <c r="J668" s="40"/>
      <c r="K668" s="40"/>
      <c r="L668" s="4" t="e">
        <f t="shared" si="33"/>
        <v>#DIV/0!</v>
      </c>
      <c r="AU668" s="22" t="e">
        <f t="shared" si="34"/>
        <v>#DIV/0!</v>
      </c>
      <c r="AV668" s="11" t="s">
        <v>166</v>
      </c>
      <c r="AW668" s="38">
        <v>39.010749969805197</v>
      </c>
      <c r="AX668" s="38">
        <v>2.5670201658881702</v>
      </c>
      <c r="BK668" s="25" t="s">
        <v>204</v>
      </c>
    </row>
    <row r="669" spans="2:63" ht="15.6" x14ac:dyDescent="0.3">
      <c r="B669" s="11" t="s">
        <v>211</v>
      </c>
      <c r="C669" s="40" t="s">
        <v>212</v>
      </c>
      <c r="D669" s="40"/>
      <c r="E669" s="40"/>
      <c r="F669" s="54"/>
      <c r="G669" s="49"/>
      <c r="H669" s="48" t="e">
        <f t="shared" si="32"/>
        <v>#DIV/0!</v>
      </c>
      <c r="I669" s="40"/>
      <c r="J669" s="40"/>
      <c r="K669" s="40"/>
      <c r="L669" s="4" t="e">
        <f t="shared" si="33"/>
        <v>#DIV/0!</v>
      </c>
      <c r="AU669" s="22" t="e">
        <f t="shared" si="34"/>
        <v>#DIV/0!</v>
      </c>
      <c r="AV669" s="11" t="s">
        <v>166</v>
      </c>
      <c r="AW669" s="38">
        <v>41.7064305974531</v>
      </c>
      <c r="AX669" s="38">
        <v>3.1532565404324</v>
      </c>
      <c r="BK669" s="25" t="s">
        <v>204</v>
      </c>
    </row>
    <row r="670" spans="2:63" ht="15.6" x14ac:dyDescent="0.3">
      <c r="B670" s="11" t="s">
        <v>211</v>
      </c>
      <c r="C670" s="40" t="s">
        <v>212</v>
      </c>
      <c r="D670" s="40"/>
      <c r="E670" s="40"/>
      <c r="F670" s="54"/>
      <c r="G670" s="49"/>
      <c r="H670" s="48" t="e">
        <f t="shared" si="32"/>
        <v>#DIV/0!</v>
      </c>
      <c r="I670" s="40"/>
      <c r="J670" s="40"/>
      <c r="K670" s="40"/>
      <c r="L670" s="4" t="e">
        <f t="shared" si="33"/>
        <v>#DIV/0!</v>
      </c>
      <c r="AU670" s="22" t="e">
        <f t="shared" si="34"/>
        <v>#DIV/0!</v>
      </c>
      <c r="AV670" s="11" t="s">
        <v>166</v>
      </c>
      <c r="AW670" s="38">
        <v>55.412122074697102</v>
      </c>
      <c r="AX670" s="38">
        <v>6.15292874722957</v>
      </c>
      <c r="BK670" s="25" t="s">
        <v>204</v>
      </c>
    </row>
    <row r="671" spans="2:63" ht="15.6" x14ac:dyDescent="0.3">
      <c r="B671" s="11" t="s">
        <v>211</v>
      </c>
      <c r="C671" s="40" t="s">
        <v>212</v>
      </c>
      <c r="D671" s="40"/>
      <c r="E671" s="40"/>
      <c r="F671" s="54"/>
      <c r="G671" s="49"/>
      <c r="H671" s="48" t="e">
        <f t="shared" ref="H671:H734" si="35">((J671)*1000)/G671</f>
        <v>#DIV/0!</v>
      </c>
      <c r="I671" s="40"/>
      <c r="J671" s="40"/>
      <c r="K671" s="40"/>
      <c r="L671" s="4" t="e">
        <f t="shared" si="33"/>
        <v>#DIV/0!</v>
      </c>
      <c r="AU671" s="22" t="e">
        <f t="shared" si="34"/>
        <v>#DIV/0!</v>
      </c>
      <c r="AV671" s="11" t="s">
        <v>166</v>
      </c>
      <c r="AW671" s="38">
        <v>47.627906606195502</v>
      </c>
      <c r="AX671" s="38">
        <v>14.0088338722174</v>
      </c>
      <c r="BK671" s="25" t="s">
        <v>204</v>
      </c>
    </row>
    <row r="672" spans="2:63" ht="15.6" x14ac:dyDescent="0.3">
      <c r="B672" s="11" t="s">
        <v>211</v>
      </c>
      <c r="C672" s="40" t="s">
        <v>212</v>
      </c>
      <c r="D672" s="40"/>
      <c r="E672" s="40"/>
      <c r="F672" s="54"/>
      <c r="G672" s="49"/>
      <c r="H672" s="48" t="e">
        <f t="shared" si="35"/>
        <v>#DIV/0!</v>
      </c>
      <c r="I672" s="40"/>
      <c r="J672" s="40"/>
      <c r="K672" s="40"/>
      <c r="L672" s="4" t="e">
        <f t="shared" si="33"/>
        <v>#DIV/0!</v>
      </c>
      <c r="AU672" s="22" t="e">
        <f t="shared" si="34"/>
        <v>#DIV/0!</v>
      </c>
      <c r="AV672" s="11" t="s">
        <v>166</v>
      </c>
      <c r="AW672" s="38">
        <v>42.375498542611197</v>
      </c>
      <c r="AX672" s="38">
        <v>8.8187986974312391</v>
      </c>
      <c r="BK672" s="25" t="s">
        <v>204</v>
      </c>
    </row>
    <row r="673" spans="2:63" ht="15.6" x14ac:dyDescent="0.3">
      <c r="B673" s="11" t="s">
        <v>211</v>
      </c>
      <c r="C673" s="40" t="s">
        <v>212</v>
      </c>
      <c r="D673" s="40"/>
      <c r="E673" s="40"/>
      <c r="F673" s="54"/>
      <c r="G673" s="49"/>
      <c r="H673" s="48" t="e">
        <f t="shared" si="35"/>
        <v>#DIV/0!</v>
      </c>
      <c r="I673" s="40"/>
      <c r="J673" s="40"/>
      <c r="K673" s="40"/>
      <c r="L673" s="4" t="e">
        <f t="shared" si="33"/>
        <v>#DIV/0!</v>
      </c>
      <c r="AU673" s="22" t="e">
        <f t="shared" si="34"/>
        <v>#DIV/0!</v>
      </c>
      <c r="AV673" s="11" t="s">
        <v>166</v>
      </c>
      <c r="AW673" s="38">
        <v>33.531969083880298</v>
      </c>
      <c r="AX673" s="38">
        <v>5.5515834633496803</v>
      </c>
      <c r="BK673" s="25" t="s">
        <v>204</v>
      </c>
    </row>
    <row r="674" spans="2:63" ht="15.6" x14ac:dyDescent="0.3">
      <c r="B674" s="11" t="s">
        <v>211</v>
      </c>
      <c r="C674" s="40" t="s">
        <v>212</v>
      </c>
      <c r="D674" s="40"/>
      <c r="E674" s="40"/>
      <c r="F674" s="54"/>
      <c r="G674" s="49"/>
      <c r="H674" s="48" t="e">
        <f t="shared" si="35"/>
        <v>#DIV/0!</v>
      </c>
      <c r="I674" s="40"/>
      <c r="J674" s="40"/>
      <c r="K674" s="40"/>
      <c r="L674" s="4" t="e">
        <f t="shared" si="33"/>
        <v>#DIV/0!</v>
      </c>
      <c r="AU674" s="22" t="e">
        <f t="shared" si="34"/>
        <v>#DIV/0!</v>
      </c>
      <c r="AV674" s="11" t="s">
        <v>166</v>
      </c>
      <c r="AW674" s="38">
        <v>26.1129178611714</v>
      </c>
      <c r="AX674" s="38">
        <v>1.3849662999783401</v>
      </c>
      <c r="BK674" s="25" t="s">
        <v>204</v>
      </c>
    </row>
    <row r="675" spans="2:63" ht="15.6" x14ac:dyDescent="0.3">
      <c r="B675" s="11" t="s">
        <v>211</v>
      </c>
      <c r="C675" s="40" t="s">
        <v>212</v>
      </c>
      <c r="D675" s="40"/>
      <c r="E675" s="40"/>
      <c r="F675" s="54"/>
      <c r="G675" s="49"/>
      <c r="H675" s="48" t="e">
        <f t="shared" si="35"/>
        <v>#DIV/0!</v>
      </c>
      <c r="I675" s="40"/>
      <c r="J675" s="40"/>
      <c r="K675" s="40"/>
      <c r="L675" s="4" t="e">
        <f t="shared" si="33"/>
        <v>#DIV/0!</v>
      </c>
      <c r="AU675" s="22" t="e">
        <f t="shared" si="34"/>
        <v>#DIV/0!</v>
      </c>
      <c r="AV675" s="11" t="s">
        <v>166</v>
      </c>
      <c r="AW675" s="38">
        <v>24.0324781584515</v>
      </c>
      <c r="AX675" s="38">
        <v>0.57781205783030198</v>
      </c>
      <c r="BK675" s="25" t="s">
        <v>204</v>
      </c>
    </row>
    <row r="676" spans="2:63" ht="15.6" x14ac:dyDescent="0.3">
      <c r="B676" s="11" t="s">
        <v>211</v>
      </c>
      <c r="C676" s="40" t="s">
        <v>212</v>
      </c>
      <c r="D676" s="40"/>
      <c r="E676" s="40"/>
      <c r="F676" s="54"/>
      <c r="G676" s="49"/>
      <c r="H676" s="48" t="e">
        <f t="shared" si="35"/>
        <v>#DIV/0!</v>
      </c>
      <c r="I676" s="40"/>
      <c r="J676" s="40"/>
      <c r="K676" s="40"/>
      <c r="L676" s="4" t="e">
        <f t="shared" si="33"/>
        <v>#DIV/0!</v>
      </c>
      <c r="AU676" s="22" t="e">
        <f t="shared" si="34"/>
        <v>#DIV/0!</v>
      </c>
      <c r="AV676" s="11" t="s">
        <v>166</v>
      </c>
      <c r="AW676" s="38">
        <v>20.647848387299199</v>
      </c>
      <c r="AX676" s="38">
        <v>2.2000460018060699</v>
      </c>
      <c r="BK676" s="25" t="s">
        <v>204</v>
      </c>
    </row>
    <row r="677" spans="2:63" ht="15.6" x14ac:dyDescent="0.3">
      <c r="B677" s="11" t="s">
        <v>211</v>
      </c>
      <c r="C677" s="40" t="s">
        <v>212</v>
      </c>
      <c r="D677" s="40"/>
      <c r="E677" s="40"/>
      <c r="F677" s="54"/>
      <c r="G677" s="49"/>
      <c r="H677" s="48" t="e">
        <f t="shared" si="35"/>
        <v>#DIV/0!</v>
      </c>
      <c r="I677" s="40"/>
      <c r="J677" s="40"/>
      <c r="K677" s="40"/>
      <c r="L677" s="4" t="e">
        <f t="shared" si="33"/>
        <v>#DIV/0!</v>
      </c>
      <c r="AU677" s="22" t="e">
        <f t="shared" si="34"/>
        <v>#DIV/0!</v>
      </c>
      <c r="AV677" s="11" t="s">
        <v>166</v>
      </c>
      <c r="AW677" s="38">
        <v>19.294832403325099</v>
      </c>
      <c r="AX677" s="38">
        <v>5.8445271394945504</v>
      </c>
      <c r="BK677" s="25" t="s">
        <v>204</v>
      </c>
    </row>
    <row r="678" spans="2:63" ht="15.6" x14ac:dyDescent="0.3">
      <c r="B678" s="11" t="s">
        <v>211</v>
      </c>
      <c r="C678" s="40" t="s">
        <v>212</v>
      </c>
      <c r="D678" s="40"/>
      <c r="E678" s="40"/>
      <c r="F678" s="54"/>
      <c r="G678" s="49"/>
      <c r="H678" s="48" t="e">
        <f t="shared" si="35"/>
        <v>#DIV/0!</v>
      </c>
      <c r="I678" s="40"/>
      <c r="J678" s="40"/>
      <c r="K678" s="40"/>
      <c r="L678" s="4" t="e">
        <f t="shared" si="33"/>
        <v>#DIV/0!</v>
      </c>
      <c r="AU678" s="22" t="e">
        <f t="shared" si="34"/>
        <v>#DIV/0!</v>
      </c>
      <c r="AV678" s="11" t="s">
        <v>166</v>
      </c>
      <c r="AW678" s="38">
        <v>20.286403200367101</v>
      </c>
      <c r="AX678" s="38">
        <v>6.8194115099624799</v>
      </c>
      <c r="BK678" s="25" t="s">
        <v>204</v>
      </c>
    </row>
    <row r="679" spans="2:63" ht="15.6" x14ac:dyDescent="0.3">
      <c r="B679" s="11" t="s">
        <v>211</v>
      </c>
      <c r="C679" s="40" t="s">
        <v>212</v>
      </c>
      <c r="D679" s="40"/>
      <c r="E679" s="40"/>
      <c r="F679" s="54"/>
      <c r="G679" s="49"/>
      <c r="H679" s="48" t="e">
        <f t="shared" si="35"/>
        <v>#DIV/0!</v>
      </c>
      <c r="I679" s="40"/>
      <c r="J679" s="40"/>
      <c r="K679" s="40"/>
      <c r="L679" s="4" t="e">
        <f t="shared" si="33"/>
        <v>#DIV/0!</v>
      </c>
      <c r="AU679" s="22" t="e">
        <f t="shared" si="34"/>
        <v>#DIV/0!</v>
      </c>
      <c r="AV679" s="11" t="s">
        <v>166</v>
      </c>
      <c r="AW679" s="38">
        <v>19.290022392352402</v>
      </c>
      <c r="AX679" s="38">
        <v>7.9569094697078597</v>
      </c>
      <c r="BK679" s="25" t="s">
        <v>204</v>
      </c>
    </row>
    <row r="680" spans="2:63" ht="15.6" x14ac:dyDescent="0.3">
      <c r="B680" s="11" t="s">
        <v>211</v>
      </c>
      <c r="C680" s="40" t="s">
        <v>212</v>
      </c>
      <c r="D680" s="40"/>
      <c r="E680" s="40"/>
      <c r="F680" s="54"/>
      <c r="G680" s="49"/>
      <c r="H680" s="48" t="e">
        <f t="shared" si="35"/>
        <v>#DIV/0!</v>
      </c>
      <c r="I680" s="40"/>
      <c r="J680" s="40"/>
      <c r="K680" s="40"/>
      <c r="L680" s="4" t="e">
        <f t="shared" si="33"/>
        <v>#DIV/0!</v>
      </c>
      <c r="AU680" s="22" t="e">
        <f t="shared" si="34"/>
        <v>#DIV/0!</v>
      </c>
      <c r="AV680" s="11" t="s">
        <v>166</v>
      </c>
      <c r="AW680" s="38">
        <v>25.197269742421199</v>
      </c>
      <c r="AX680" s="38">
        <v>21.1379095273609</v>
      </c>
      <c r="BK680" s="25" t="s">
        <v>204</v>
      </c>
    </row>
    <row r="681" spans="2:63" ht="15.6" x14ac:dyDescent="0.3">
      <c r="B681" s="11" t="s">
        <v>211</v>
      </c>
      <c r="C681" s="40" t="s">
        <v>212</v>
      </c>
      <c r="D681" s="40"/>
      <c r="E681" s="40"/>
      <c r="F681" s="54"/>
      <c r="G681" s="49"/>
      <c r="H681" s="48" t="e">
        <f t="shared" si="35"/>
        <v>#DIV/0!</v>
      </c>
      <c r="I681" s="40"/>
      <c r="J681" s="40"/>
      <c r="K681" s="40"/>
      <c r="L681" s="4" t="e">
        <f t="shared" si="33"/>
        <v>#DIV/0!</v>
      </c>
      <c r="AU681" s="22" t="e">
        <f t="shared" si="34"/>
        <v>#DIV/0!</v>
      </c>
      <c r="AV681" s="11" t="s">
        <v>166</v>
      </c>
      <c r="AW681" s="38">
        <v>28.316920302569301</v>
      </c>
      <c r="AX681" s="38">
        <v>39.178888339957403</v>
      </c>
      <c r="BK681" s="25" t="s">
        <v>204</v>
      </c>
    </row>
    <row r="682" spans="2:63" ht="15.6" x14ac:dyDescent="0.3">
      <c r="B682" s="11" t="s">
        <v>211</v>
      </c>
      <c r="C682" s="40" t="s">
        <v>212</v>
      </c>
      <c r="D682" s="40"/>
      <c r="E682" s="40"/>
      <c r="F682" s="54"/>
      <c r="G682" s="49"/>
      <c r="H682" s="48" t="e">
        <f t="shared" si="35"/>
        <v>#DIV/0!</v>
      </c>
      <c r="I682" s="40"/>
      <c r="J682" s="40"/>
      <c r="K682" s="40"/>
      <c r="L682" s="4" t="e">
        <f t="shared" si="33"/>
        <v>#DIV/0!</v>
      </c>
      <c r="AU682" s="22" t="e">
        <f t="shared" si="34"/>
        <v>#DIV/0!</v>
      </c>
      <c r="AV682" s="11" t="s">
        <v>166</v>
      </c>
      <c r="AW682" s="38">
        <v>26.9238774022398</v>
      </c>
      <c r="AX682" s="38">
        <v>50.665769172965</v>
      </c>
      <c r="BK682" s="25" t="s">
        <v>204</v>
      </c>
    </row>
    <row r="683" spans="2:63" ht="15.6" x14ac:dyDescent="0.3">
      <c r="B683" s="11" t="s">
        <v>211</v>
      </c>
      <c r="C683" s="40" t="s">
        <v>212</v>
      </c>
      <c r="D683" s="40"/>
      <c r="E683" s="40"/>
      <c r="F683" s="54"/>
      <c r="G683" s="49"/>
      <c r="H683" s="48" t="e">
        <f t="shared" si="35"/>
        <v>#DIV/0!</v>
      </c>
      <c r="I683" s="40"/>
      <c r="J683" s="40"/>
      <c r="K683" s="40"/>
      <c r="L683" s="4" t="e">
        <f t="shared" si="33"/>
        <v>#DIV/0!</v>
      </c>
      <c r="AU683" s="22" t="e">
        <f t="shared" si="34"/>
        <v>#DIV/0!</v>
      </c>
      <c r="AV683" s="11" t="s">
        <v>166</v>
      </c>
      <c r="AW683" s="38">
        <v>30.272388986159701</v>
      </c>
      <c r="AX683" s="38">
        <v>50.665769172965</v>
      </c>
      <c r="BK683" s="25" t="s">
        <v>204</v>
      </c>
    </row>
    <row r="684" spans="2:63" ht="15.6" x14ac:dyDescent="0.3">
      <c r="B684" s="11" t="s">
        <v>211</v>
      </c>
      <c r="C684" s="40" t="s">
        <v>212</v>
      </c>
      <c r="D684" s="40"/>
      <c r="E684" s="40"/>
      <c r="F684" s="54"/>
      <c r="G684" s="49"/>
      <c r="H684" s="48" t="e">
        <f t="shared" si="35"/>
        <v>#DIV/0!</v>
      </c>
      <c r="I684" s="40"/>
      <c r="J684" s="40"/>
      <c r="K684" s="40"/>
      <c r="L684" s="4" t="e">
        <f t="shared" si="33"/>
        <v>#DIV/0!</v>
      </c>
      <c r="AU684" s="22" t="e">
        <f t="shared" si="34"/>
        <v>#DIV/0!</v>
      </c>
      <c r="AV684" s="11" t="s">
        <v>166</v>
      </c>
      <c r="AW684" s="38">
        <v>32.356172316438098</v>
      </c>
      <c r="AX684" s="38">
        <v>84.730486932218597</v>
      </c>
      <c r="BK684" s="25" t="s">
        <v>204</v>
      </c>
    </row>
    <row r="685" spans="2:63" ht="15.6" x14ac:dyDescent="0.3">
      <c r="B685" s="11" t="s">
        <v>211</v>
      </c>
      <c r="C685" s="40" t="s">
        <v>212</v>
      </c>
      <c r="D685" s="40"/>
      <c r="E685" s="40"/>
      <c r="F685" s="54"/>
      <c r="G685" s="49"/>
      <c r="H685" s="48" t="e">
        <f t="shared" si="35"/>
        <v>#DIV/0!</v>
      </c>
      <c r="I685" s="40"/>
      <c r="J685" s="40"/>
      <c r="K685" s="40"/>
      <c r="L685" s="4" t="e">
        <f t="shared" si="33"/>
        <v>#DIV/0!</v>
      </c>
      <c r="AU685" s="22" t="e">
        <f t="shared" si="34"/>
        <v>#DIV/0!</v>
      </c>
      <c r="AV685" s="11" t="s">
        <v>166</v>
      </c>
      <c r="AW685" s="38">
        <v>12.679422723282199</v>
      </c>
      <c r="AX685" s="38">
        <v>25.965223161835599</v>
      </c>
      <c r="BK685" s="25" t="s">
        <v>204</v>
      </c>
    </row>
    <row r="686" spans="2:63" ht="15.6" x14ac:dyDescent="0.3">
      <c r="B686" s="11" t="s">
        <v>211</v>
      </c>
      <c r="C686" s="40" t="s">
        <v>212</v>
      </c>
      <c r="D686" s="40"/>
      <c r="E686" s="40"/>
      <c r="F686" s="54"/>
      <c r="G686" s="49"/>
      <c r="H686" s="48" t="e">
        <f t="shared" si="35"/>
        <v>#DIV/0!</v>
      </c>
      <c r="I686" s="40"/>
      <c r="J686" s="40"/>
      <c r="K686" s="40"/>
      <c r="L686" s="4" t="e">
        <f t="shared" si="33"/>
        <v>#DIV/0!</v>
      </c>
      <c r="AU686" s="22" t="e">
        <f t="shared" si="34"/>
        <v>#DIV/0!</v>
      </c>
      <c r="AV686" s="11" t="s">
        <v>166</v>
      </c>
      <c r="AW686" s="38">
        <v>14.254580228962601</v>
      </c>
      <c r="AX686" s="38">
        <v>30.296298992612801</v>
      </c>
      <c r="BK686" s="25" t="s">
        <v>204</v>
      </c>
    </row>
    <row r="687" spans="2:63" ht="15.6" x14ac:dyDescent="0.3">
      <c r="B687" s="11" t="s">
        <v>211</v>
      </c>
      <c r="C687" s="40" t="s">
        <v>212</v>
      </c>
      <c r="D687" s="40"/>
      <c r="E687" s="40"/>
      <c r="F687" s="54"/>
      <c r="G687" s="49"/>
      <c r="H687" s="48" t="e">
        <f t="shared" si="35"/>
        <v>#DIV/0!</v>
      </c>
      <c r="I687" s="40"/>
      <c r="J687" s="40"/>
      <c r="K687" s="40"/>
      <c r="L687" s="4" t="e">
        <f t="shared" si="33"/>
        <v>#DIV/0!</v>
      </c>
      <c r="AU687" s="22" t="e">
        <f t="shared" si="34"/>
        <v>#DIV/0!</v>
      </c>
      <c r="AV687" s="11" t="s">
        <v>166</v>
      </c>
      <c r="AW687" s="38">
        <v>18.0154987228658</v>
      </c>
      <c r="AX687" s="38">
        <v>43.422729738799497</v>
      </c>
      <c r="BK687" s="25" t="s">
        <v>204</v>
      </c>
    </row>
    <row r="688" spans="2:63" ht="15.6" x14ac:dyDescent="0.3">
      <c r="B688" s="11" t="s">
        <v>211</v>
      </c>
      <c r="C688" s="40" t="s">
        <v>212</v>
      </c>
      <c r="D688" s="40"/>
      <c r="E688" s="40"/>
      <c r="F688" s="54"/>
      <c r="G688" s="49"/>
      <c r="H688" s="48" t="e">
        <f t="shared" si="35"/>
        <v>#DIV/0!</v>
      </c>
      <c r="I688" s="40"/>
      <c r="J688" s="40"/>
      <c r="K688" s="40"/>
      <c r="L688" s="4" t="e">
        <f t="shared" si="33"/>
        <v>#DIV/0!</v>
      </c>
      <c r="AU688" s="22" t="e">
        <f t="shared" si="34"/>
        <v>#DIV/0!</v>
      </c>
      <c r="AV688" s="11" t="s">
        <v>166</v>
      </c>
      <c r="AW688" s="38">
        <v>14.7284486278222</v>
      </c>
      <c r="AX688" s="38">
        <v>80.483563317861595</v>
      </c>
      <c r="BK688" s="25" t="s">
        <v>204</v>
      </c>
    </row>
    <row r="689" spans="2:63" ht="15.6" x14ac:dyDescent="0.3">
      <c r="B689" s="11" t="s">
        <v>211</v>
      </c>
      <c r="C689" s="40" t="s">
        <v>212</v>
      </c>
      <c r="D689" s="40"/>
      <c r="E689" s="40"/>
      <c r="F689" s="54"/>
      <c r="G689" s="49"/>
      <c r="H689" s="48" t="e">
        <f t="shared" si="35"/>
        <v>#DIV/0!</v>
      </c>
      <c r="I689" s="40"/>
      <c r="J689" s="40"/>
      <c r="K689" s="40"/>
      <c r="L689" s="4" t="e">
        <f t="shared" si="33"/>
        <v>#DIV/0!</v>
      </c>
      <c r="AU689" s="22" t="e">
        <f t="shared" si="34"/>
        <v>#DIV/0!</v>
      </c>
      <c r="AV689" s="11" t="s">
        <v>166</v>
      </c>
      <c r="AW689" s="38">
        <v>14.0038867554638</v>
      </c>
      <c r="AX689" s="38">
        <v>104.08058559235999</v>
      </c>
      <c r="BK689" s="25" t="s">
        <v>204</v>
      </c>
    </row>
    <row r="690" spans="2:63" ht="15.6" x14ac:dyDescent="0.3">
      <c r="B690" s="11" t="s">
        <v>211</v>
      </c>
      <c r="C690" s="40" t="s">
        <v>212</v>
      </c>
      <c r="D690" s="40"/>
      <c r="E690" s="40"/>
      <c r="F690" s="54"/>
      <c r="G690" s="49"/>
      <c r="H690" s="48" t="e">
        <f t="shared" si="35"/>
        <v>#DIV/0!</v>
      </c>
      <c r="I690" s="40"/>
      <c r="J690" s="40"/>
      <c r="K690" s="40"/>
      <c r="L690" s="4" t="e">
        <f t="shared" si="33"/>
        <v>#DIV/0!</v>
      </c>
      <c r="AU690" s="22" t="e">
        <f t="shared" si="34"/>
        <v>#DIV/0!</v>
      </c>
      <c r="AV690" s="11" t="s">
        <v>166</v>
      </c>
      <c r="AW690" s="38">
        <v>17.995297651952299</v>
      </c>
      <c r="AX690" s="38">
        <v>174.058320664691</v>
      </c>
      <c r="BK690" s="25" t="s">
        <v>204</v>
      </c>
    </row>
    <row r="691" spans="2:63" ht="15.6" x14ac:dyDescent="0.3">
      <c r="B691" s="11" t="s">
        <v>211</v>
      </c>
      <c r="C691" s="40" t="s">
        <v>212</v>
      </c>
      <c r="D691" s="40"/>
      <c r="E691" s="40"/>
      <c r="F691" s="54"/>
      <c r="G691" s="49"/>
      <c r="H691" s="48" t="e">
        <f t="shared" si="35"/>
        <v>#DIV/0!</v>
      </c>
      <c r="I691" s="40"/>
      <c r="J691" s="40"/>
      <c r="K691" s="40"/>
      <c r="L691" s="4" t="e">
        <f t="shared" si="33"/>
        <v>#DIV/0!</v>
      </c>
      <c r="AU691" s="22" t="e">
        <f t="shared" si="34"/>
        <v>#DIV/0!</v>
      </c>
      <c r="AV691" s="11" t="s">
        <v>166</v>
      </c>
      <c r="AW691" s="38">
        <v>15.478274183742499</v>
      </c>
      <c r="AX691" s="38">
        <v>165.33404184758001</v>
      </c>
      <c r="BK691" s="25" t="s">
        <v>204</v>
      </c>
    </row>
    <row r="692" spans="2:63" ht="15.6" x14ac:dyDescent="0.3">
      <c r="B692" s="11" t="s">
        <v>211</v>
      </c>
      <c r="C692" s="40" t="s">
        <v>212</v>
      </c>
      <c r="D692" s="40"/>
      <c r="E692" s="40"/>
      <c r="F692" s="54"/>
      <c r="G692" s="49"/>
      <c r="H692" s="48" t="e">
        <f t="shared" si="35"/>
        <v>#DIV/0!</v>
      </c>
      <c r="I692" s="40"/>
      <c r="J692" s="40"/>
      <c r="K692" s="40"/>
      <c r="L692" s="4" t="e">
        <f t="shared" si="33"/>
        <v>#DIV/0!</v>
      </c>
      <c r="AU692" s="22" t="e">
        <f t="shared" si="34"/>
        <v>#DIV/0!</v>
      </c>
      <c r="AV692" s="11" t="s">
        <v>166</v>
      </c>
      <c r="AW692" s="38">
        <v>13.757030530831299</v>
      </c>
      <c r="AX692" s="38">
        <v>376.42840033014801</v>
      </c>
      <c r="BK692" s="25" t="s">
        <v>204</v>
      </c>
    </row>
    <row r="693" spans="2:63" ht="15.6" x14ac:dyDescent="0.3">
      <c r="B693" s="11" t="s">
        <v>211</v>
      </c>
      <c r="C693" s="40" t="s">
        <v>212</v>
      </c>
      <c r="D693" s="40"/>
      <c r="E693" s="40"/>
      <c r="F693" s="54"/>
      <c r="G693" s="49"/>
      <c r="H693" s="48" t="e">
        <f t="shared" si="35"/>
        <v>#DIV/0!</v>
      </c>
      <c r="I693" s="40"/>
      <c r="J693" s="40"/>
      <c r="K693" s="40"/>
      <c r="L693" s="4" t="e">
        <f t="shared" si="33"/>
        <v>#DIV/0!</v>
      </c>
      <c r="AU693" s="22" t="e">
        <f t="shared" si="34"/>
        <v>#DIV/0!</v>
      </c>
      <c r="AV693" s="11" t="s">
        <v>166</v>
      </c>
      <c r="AW693" s="38">
        <v>15.2010056778488</v>
      </c>
      <c r="AX693" s="38">
        <v>857.04274202491695</v>
      </c>
      <c r="BK693" s="25" t="s">
        <v>204</v>
      </c>
    </row>
    <row r="694" spans="2:63" ht="15.6" x14ac:dyDescent="0.3">
      <c r="B694" s="11" t="s">
        <v>211</v>
      </c>
      <c r="C694" s="40" t="s">
        <v>212</v>
      </c>
      <c r="D694" s="40"/>
      <c r="E694" s="40"/>
      <c r="F694" s="54"/>
      <c r="G694" s="49"/>
      <c r="H694" s="48" t="e">
        <f t="shared" si="35"/>
        <v>#DIV/0!</v>
      </c>
      <c r="I694" s="40"/>
      <c r="J694" s="40"/>
      <c r="K694" s="40"/>
      <c r="L694" s="4" t="e">
        <f t="shared" si="33"/>
        <v>#DIV/0!</v>
      </c>
      <c r="AU694" s="22" t="e">
        <f t="shared" si="34"/>
        <v>#DIV/0!</v>
      </c>
      <c r="AV694" s="11" t="s">
        <v>166</v>
      </c>
      <c r="AW694" s="38">
        <v>10.1701384851537</v>
      </c>
      <c r="AX694" s="38">
        <v>857.04274202491695</v>
      </c>
      <c r="BK694" s="25" t="s">
        <v>204</v>
      </c>
    </row>
    <row r="695" spans="2:63" ht="15.6" x14ac:dyDescent="0.3">
      <c r="B695" s="11" t="s">
        <v>211</v>
      </c>
      <c r="C695" s="40" t="s">
        <v>212</v>
      </c>
      <c r="D695" s="40"/>
      <c r="E695" s="40"/>
      <c r="F695" s="54"/>
      <c r="G695" s="49"/>
      <c r="H695" s="48" t="e">
        <f t="shared" si="35"/>
        <v>#DIV/0!</v>
      </c>
      <c r="I695" s="40"/>
      <c r="J695" s="40"/>
      <c r="K695" s="40"/>
      <c r="L695" s="4" t="e">
        <f t="shared" si="33"/>
        <v>#DIV/0!</v>
      </c>
      <c r="AU695" s="22" t="e">
        <f t="shared" si="34"/>
        <v>#DIV/0!</v>
      </c>
      <c r="AV695" s="11" t="s">
        <v>166</v>
      </c>
      <c r="AW695" s="38">
        <v>10.515652555724399</v>
      </c>
      <c r="AX695" s="38">
        <v>949.87726651736102</v>
      </c>
      <c r="BK695" s="25" t="s">
        <v>204</v>
      </c>
    </row>
    <row r="696" spans="2:63" ht="15.6" x14ac:dyDescent="0.3">
      <c r="B696" s="11" t="s">
        <v>213</v>
      </c>
      <c r="C696" s="40" t="s">
        <v>214</v>
      </c>
      <c r="D696" s="40"/>
      <c r="E696" s="40"/>
      <c r="F696" s="54"/>
      <c r="G696" s="49"/>
      <c r="H696" s="48" t="e">
        <f t="shared" si="35"/>
        <v>#DIV/0!</v>
      </c>
      <c r="I696" s="40"/>
      <c r="J696" s="40"/>
      <c r="K696" s="40"/>
      <c r="L696" s="4" t="e">
        <f t="shared" si="33"/>
        <v>#DIV/0!</v>
      </c>
      <c r="AU696" s="22" t="e">
        <f t="shared" si="34"/>
        <v>#DIV/0!</v>
      </c>
      <c r="AV696" s="11" t="s">
        <v>166</v>
      </c>
      <c r="AW696" s="38">
        <v>700.68403089569597</v>
      </c>
      <c r="AX696" s="38">
        <v>1.4664021940003101E-4</v>
      </c>
      <c r="BK696" s="25" t="s">
        <v>204</v>
      </c>
    </row>
    <row r="697" spans="2:63" ht="15.6" x14ac:dyDescent="0.3">
      <c r="B697" s="11" t="s">
        <v>213</v>
      </c>
      <c r="C697" s="40" t="s">
        <v>214</v>
      </c>
      <c r="D697" s="40"/>
      <c r="E697" s="40"/>
      <c r="F697" s="54"/>
      <c r="G697" s="49"/>
      <c r="H697" s="48" t="e">
        <f t="shared" si="35"/>
        <v>#DIV/0!</v>
      </c>
      <c r="I697" s="40"/>
      <c r="J697" s="40"/>
      <c r="K697" s="40"/>
      <c r="L697" s="4" t="e">
        <f t="shared" si="33"/>
        <v>#DIV/0!</v>
      </c>
      <c r="AU697" s="22" t="e">
        <f t="shared" si="34"/>
        <v>#DIV/0!</v>
      </c>
      <c r="AV697" s="11" t="s">
        <v>166</v>
      </c>
      <c r="AW697" s="38">
        <v>582.68251672883002</v>
      </c>
      <c r="AX697" s="38">
        <v>1.8963374976664699E-4</v>
      </c>
      <c r="BK697" s="25" t="s">
        <v>204</v>
      </c>
    </row>
    <row r="698" spans="2:63" ht="15.6" x14ac:dyDescent="0.3">
      <c r="B698" s="11" t="s">
        <v>213</v>
      </c>
      <c r="C698" s="40" t="s">
        <v>214</v>
      </c>
      <c r="D698" s="40"/>
      <c r="E698" s="40"/>
      <c r="F698" s="54"/>
      <c r="G698" s="49"/>
      <c r="H698" s="48" t="e">
        <f t="shared" si="35"/>
        <v>#DIV/0!</v>
      </c>
      <c r="I698" s="40"/>
      <c r="J698" s="40"/>
      <c r="K698" s="40"/>
      <c r="L698" s="4" t="e">
        <f t="shared" si="33"/>
        <v>#DIV/0!</v>
      </c>
      <c r="AU698" s="22" t="e">
        <f t="shared" si="34"/>
        <v>#DIV/0!</v>
      </c>
      <c r="AV698" s="11" t="s">
        <v>166</v>
      </c>
      <c r="AW698" s="38">
        <v>582.63409370777299</v>
      </c>
      <c r="AX698" s="38">
        <v>2.10174801133249E-4</v>
      </c>
      <c r="BK698" s="25" t="s">
        <v>204</v>
      </c>
    </row>
    <row r="699" spans="2:63" ht="15.6" x14ac:dyDescent="0.3">
      <c r="B699" s="11" t="s">
        <v>213</v>
      </c>
      <c r="C699" s="40" t="s">
        <v>214</v>
      </c>
      <c r="D699" s="40"/>
      <c r="E699" s="40"/>
      <c r="F699" s="54"/>
      <c r="G699" s="49"/>
      <c r="H699" s="48" t="e">
        <f t="shared" si="35"/>
        <v>#DIV/0!</v>
      </c>
      <c r="I699" s="40"/>
      <c r="J699" s="40"/>
      <c r="K699" s="40"/>
      <c r="L699" s="4" t="e">
        <f t="shared" si="33"/>
        <v>#DIV/0!</v>
      </c>
      <c r="AU699" s="22" t="e">
        <f t="shared" si="34"/>
        <v>#DIV/0!</v>
      </c>
      <c r="AV699" s="11" t="s">
        <v>166</v>
      </c>
      <c r="AW699" s="38">
        <v>592.349995308546</v>
      </c>
      <c r="AX699" s="38">
        <v>2.71796072103729E-4</v>
      </c>
      <c r="BK699" s="25" t="s">
        <v>204</v>
      </c>
    </row>
    <row r="700" spans="2:63" ht="15.6" x14ac:dyDescent="0.3">
      <c r="B700" s="11" t="s">
        <v>213</v>
      </c>
      <c r="C700" s="40" t="s">
        <v>214</v>
      </c>
      <c r="D700" s="40"/>
      <c r="E700" s="40"/>
      <c r="F700" s="54"/>
      <c r="G700" s="49"/>
      <c r="H700" s="48" t="e">
        <f t="shared" si="35"/>
        <v>#DIV/0!</v>
      </c>
      <c r="I700" s="40"/>
      <c r="J700" s="40"/>
      <c r="K700" s="40"/>
      <c r="L700" s="4" t="e">
        <f t="shared" si="33"/>
        <v>#DIV/0!</v>
      </c>
      <c r="AU700" s="22" t="e">
        <f t="shared" si="34"/>
        <v>#DIV/0!</v>
      </c>
      <c r="AV700" s="11" t="s">
        <v>166</v>
      </c>
      <c r="AW700" s="38">
        <v>476.52651879000399</v>
      </c>
      <c r="AX700" s="38">
        <v>2.3294085090738199E-4</v>
      </c>
      <c r="BK700" s="25" t="s">
        <v>204</v>
      </c>
    </row>
    <row r="701" spans="2:63" ht="15.6" x14ac:dyDescent="0.3">
      <c r="B701" s="11" t="s">
        <v>213</v>
      </c>
      <c r="C701" s="40" t="s">
        <v>214</v>
      </c>
      <c r="D701" s="40"/>
      <c r="E701" s="40"/>
      <c r="F701" s="54"/>
      <c r="G701" s="49"/>
      <c r="H701" s="48" t="e">
        <f t="shared" si="35"/>
        <v>#DIV/0!</v>
      </c>
      <c r="I701" s="40"/>
      <c r="J701" s="40"/>
      <c r="K701" s="40"/>
      <c r="L701" s="4" t="e">
        <f t="shared" si="33"/>
        <v>#DIV/0!</v>
      </c>
      <c r="AU701" s="22" t="e">
        <f t="shared" si="34"/>
        <v>#DIV/0!</v>
      </c>
      <c r="AV701" s="11" t="s">
        <v>166</v>
      </c>
      <c r="AW701" s="38">
        <v>460.69690473150098</v>
      </c>
      <c r="AX701" s="38">
        <v>3.33866774174088E-4</v>
      </c>
      <c r="BK701" s="25" t="s">
        <v>204</v>
      </c>
    </row>
    <row r="702" spans="2:63" ht="15.6" x14ac:dyDescent="0.3">
      <c r="B702" s="11" t="s">
        <v>213</v>
      </c>
      <c r="C702" s="40" t="s">
        <v>214</v>
      </c>
      <c r="D702" s="40"/>
      <c r="E702" s="40"/>
      <c r="F702" s="54"/>
      <c r="G702" s="49"/>
      <c r="H702" s="48" t="e">
        <f t="shared" si="35"/>
        <v>#DIV/0!</v>
      </c>
      <c r="I702" s="40"/>
      <c r="J702" s="40"/>
      <c r="K702" s="40"/>
      <c r="L702" s="4" t="e">
        <f t="shared" si="33"/>
        <v>#DIV/0!</v>
      </c>
      <c r="AU702" s="22" t="e">
        <f t="shared" si="34"/>
        <v>#DIV/0!</v>
      </c>
      <c r="AV702" s="11" t="s">
        <v>166</v>
      </c>
      <c r="AW702" s="38">
        <v>500.95299475990703</v>
      </c>
      <c r="AX702" s="38">
        <v>3.17132458833454E-4</v>
      </c>
      <c r="BK702" s="25" t="s">
        <v>204</v>
      </c>
    </row>
    <row r="703" spans="2:63" ht="15.6" x14ac:dyDescent="0.3">
      <c r="B703" s="11" t="s">
        <v>213</v>
      </c>
      <c r="C703" s="40" t="s">
        <v>214</v>
      </c>
      <c r="D703" s="40"/>
      <c r="E703" s="40"/>
      <c r="F703" s="54"/>
      <c r="G703" s="49"/>
      <c r="H703" s="48" t="e">
        <f t="shared" si="35"/>
        <v>#DIV/0!</v>
      </c>
      <c r="I703" s="40"/>
      <c r="J703" s="40"/>
      <c r="K703" s="40"/>
      <c r="L703" s="4" t="e">
        <f t="shared" si="33"/>
        <v>#DIV/0!</v>
      </c>
      <c r="AU703" s="22" t="e">
        <f t="shared" si="34"/>
        <v>#DIV/0!</v>
      </c>
      <c r="AV703" s="11" t="s">
        <v>166</v>
      </c>
      <c r="AW703" s="38">
        <v>445.61527789788602</v>
      </c>
      <c r="AX703" s="38">
        <v>2.5817291002004601E-4</v>
      </c>
      <c r="BK703" s="25" t="s">
        <v>204</v>
      </c>
    </row>
    <row r="704" spans="2:63" ht="15.6" x14ac:dyDescent="0.3">
      <c r="B704" s="11" t="s">
        <v>213</v>
      </c>
      <c r="C704" s="40" t="s">
        <v>214</v>
      </c>
      <c r="D704" s="40"/>
      <c r="E704" s="40"/>
      <c r="F704" s="54"/>
      <c r="G704" s="49"/>
      <c r="H704" s="48" t="e">
        <f t="shared" si="35"/>
        <v>#DIV/0!</v>
      </c>
      <c r="I704" s="40"/>
      <c r="J704" s="40"/>
      <c r="K704" s="40"/>
      <c r="L704" s="4" t="e">
        <f t="shared" si="33"/>
        <v>#DIV/0!</v>
      </c>
      <c r="AU704" s="22" t="e">
        <f t="shared" si="34"/>
        <v>#DIV/0!</v>
      </c>
      <c r="AV704" s="11" t="s">
        <v>166</v>
      </c>
      <c r="AW704" s="38">
        <v>430.93782723545701</v>
      </c>
      <c r="AX704" s="38">
        <v>2.5817291002004698E-4</v>
      </c>
      <c r="BK704" s="25" t="s">
        <v>204</v>
      </c>
    </row>
    <row r="705" spans="2:63" ht="15.6" x14ac:dyDescent="0.3">
      <c r="B705" s="11" t="s">
        <v>213</v>
      </c>
      <c r="C705" s="40" t="s">
        <v>214</v>
      </c>
      <c r="D705" s="40"/>
      <c r="E705" s="40"/>
      <c r="F705" s="54"/>
      <c r="G705" s="49"/>
      <c r="H705" s="48" t="e">
        <f t="shared" si="35"/>
        <v>#DIV/0!</v>
      </c>
      <c r="I705" s="40"/>
      <c r="J705" s="40"/>
      <c r="K705" s="40"/>
      <c r="L705" s="4" t="e">
        <f t="shared" si="33"/>
        <v>#DIV/0!</v>
      </c>
      <c r="AU705" s="22" t="e">
        <f t="shared" si="34"/>
        <v>#DIV/0!</v>
      </c>
      <c r="AV705" s="11" t="s">
        <v>166</v>
      </c>
      <c r="AW705" s="38">
        <v>423.763789775752</v>
      </c>
      <c r="AX705" s="38">
        <v>2.71796072103729E-4</v>
      </c>
      <c r="BK705" s="25" t="s">
        <v>204</v>
      </c>
    </row>
    <row r="706" spans="2:63" ht="15.6" x14ac:dyDescent="0.3">
      <c r="B706" s="11" t="s">
        <v>213</v>
      </c>
      <c r="C706" s="40" t="s">
        <v>214</v>
      </c>
      <c r="D706" s="40"/>
      <c r="E706" s="40"/>
      <c r="F706" s="54"/>
      <c r="G706" s="49"/>
      <c r="H706" s="48" t="e">
        <f t="shared" si="35"/>
        <v>#DIV/0!</v>
      </c>
      <c r="I706" s="40"/>
      <c r="J706" s="40"/>
      <c r="K706" s="40"/>
      <c r="L706" s="4" t="e">
        <f t="shared" si="33"/>
        <v>#DIV/0!</v>
      </c>
      <c r="AU706" s="22" t="e">
        <f t="shared" si="34"/>
        <v>#DIV/0!</v>
      </c>
      <c r="AV706" s="11" t="s">
        <v>166</v>
      </c>
      <c r="AW706" s="38">
        <v>409.77201601382097</v>
      </c>
      <c r="AX706" s="38">
        <v>3.0123691312065301E-4</v>
      </c>
      <c r="BK706" s="25" t="s">
        <v>204</v>
      </c>
    </row>
    <row r="707" spans="2:63" ht="15.6" x14ac:dyDescent="0.3">
      <c r="B707" s="11" t="s">
        <v>213</v>
      </c>
      <c r="C707" s="40" t="s">
        <v>214</v>
      </c>
      <c r="D707" s="40"/>
      <c r="E707" s="40"/>
      <c r="F707" s="54"/>
      <c r="G707" s="49"/>
      <c r="H707" s="48" t="e">
        <f t="shared" si="35"/>
        <v>#DIV/0!</v>
      </c>
      <c r="I707" s="40"/>
      <c r="J707" s="40"/>
      <c r="K707" s="40"/>
      <c r="L707" s="4" t="e">
        <f t="shared" si="33"/>
        <v>#DIV/0!</v>
      </c>
      <c r="AU707" s="22" t="e">
        <f t="shared" si="34"/>
        <v>#DIV/0!</v>
      </c>
      <c r="AV707" s="11" t="s">
        <v>166</v>
      </c>
      <c r="AW707" s="38">
        <v>396.19282797560498</v>
      </c>
      <c r="AX707" s="38">
        <v>3.8955673714156501E-4</v>
      </c>
      <c r="BK707" s="25" t="s">
        <v>204</v>
      </c>
    </row>
    <row r="708" spans="2:63" ht="15.6" x14ac:dyDescent="0.3">
      <c r="B708" s="11" t="s">
        <v>213</v>
      </c>
      <c r="C708" s="40" t="s">
        <v>214</v>
      </c>
      <c r="D708" s="40"/>
      <c r="E708" s="40"/>
      <c r="F708" s="54"/>
      <c r="G708" s="49"/>
      <c r="H708" s="48" t="e">
        <f t="shared" si="35"/>
        <v>#DIV/0!</v>
      </c>
      <c r="I708" s="40"/>
      <c r="J708" s="40"/>
      <c r="K708" s="40"/>
      <c r="L708" s="4" t="e">
        <f t="shared" si="33"/>
        <v>#DIV/0!</v>
      </c>
      <c r="AU708" s="22" t="e">
        <f t="shared" si="34"/>
        <v>#DIV/0!</v>
      </c>
      <c r="AV708" s="11" t="s">
        <v>166</v>
      </c>
      <c r="AW708" s="38">
        <v>247.81402075177101</v>
      </c>
      <c r="AX708" s="38">
        <v>5.8780160722748996E-4</v>
      </c>
      <c r="BK708" s="25" t="s">
        <v>204</v>
      </c>
    </row>
    <row r="709" spans="2:63" ht="15.6" x14ac:dyDescent="0.3">
      <c r="B709" s="11" t="s">
        <v>215</v>
      </c>
      <c r="C709" s="40" t="s">
        <v>214</v>
      </c>
      <c r="D709" s="40"/>
      <c r="E709" s="40"/>
      <c r="F709" s="54"/>
      <c r="G709" s="49"/>
      <c r="H709" s="48" t="e">
        <f t="shared" si="35"/>
        <v>#DIV/0!</v>
      </c>
      <c r="I709" s="40"/>
      <c r="J709" s="40"/>
      <c r="K709" s="40"/>
      <c r="L709" s="4" t="e">
        <f t="shared" ref="L709:L772" si="36">J709/K709</f>
        <v>#DIV/0!</v>
      </c>
      <c r="AU709" s="22" t="e">
        <f t="shared" si="34"/>
        <v>#DIV/0!</v>
      </c>
      <c r="AV709" s="11" t="s">
        <v>166</v>
      </c>
      <c r="AW709" s="38">
        <v>461.693447346516</v>
      </c>
      <c r="AX709" s="38">
        <v>2.3029413535613399E-5</v>
      </c>
      <c r="BK709" s="25" t="s">
        <v>204</v>
      </c>
    </row>
    <row r="710" spans="2:63" ht="15.6" x14ac:dyDescent="0.3">
      <c r="B710" s="11" t="s">
        <v>215</v>
      </c>
      <c r="C710" s="40" t="s">
        <v>214</v>
      </c>
      <c r="D710" s="40"/>
      <c r="E710" s="40"/>
      <c r="F710" s="54"/>
      <c r="G710" s="49"/>
      <c r="H710" s="48" t="e">
        <f t="shared" si="35"/>
        <v>#DIV/0!</v>
      </c>
      <c r="I710" s="40"/>
      <c r="J710" s="40"/>
      <c r="K710" s="40"/>
      <c r="L710" s="4" t="e">
        <f t="shared" si="36"/>
        <v>#DIV/0!</v>
      </c>
      <c r="AU710" s="22" t="e">
        <f t="shared" si="34"/>
        <v>#DIV/0!</v>
      </c>
      <c r="AV710" s="11" t="s">
        <v>166</v>
      </c>
      <c r="AW710" s="38">
        <v>527.85845528764105</v>
      </c>
      <c r="AX710" s="38">
        <v>2.4244620170823201E-5</v>
      </c>
      <c r="BK710" s="25" t="s">
        <v>204</v>
      </c>
    </row>
    <row r="711" spans="2:63" ht="15.6" x14ac:dyDescent="0.3">
      <c r="B711" s="11" t="s">
        <v>215</v>
      </c>
      <c r="C711" s="40" t="s">
        <v>214</v>
      </c>
      <c r="D711" s="40"/>
      <c r="E711" s="40"/>
      <c r="F711" s="54"/>
      <c r="G711" s="49"/>
      <c r="H711" s="48" t="e">
        <f t="shared" si="35"/>
        <v>#DIV/0!</v>
      </c>
      <c r="I711" s="40"/>
      <c r="J711" s="40"/>
      <c r="K711" s="40"/>
      <c r="L711" s="4" t="e">
        <f t="shared" si="36"/>
        <v>#DIV/0!</v>
      </c>
      <c r="AU711" s="22" t="e">
        <f t="shared" si="34"/>
        <v>#DIV/0!</v>
      </c>
      <c r="AV711" s="11" t="s">
        <v>166</v>
      </c>
      <c r="AW711" s="38">
        <v>527.72686539305801</v>
      </c>
      <c r="AX711" s="38">
        <v>3.30073320257312E-5</v>
      </c>
      <c r="BK711" s="25" t="s">
        <v>204</v>
      </c>
    </row>
    <row r="712" spans="2:63" ht="15.6" x14ac:dyDescent="0.3">
      <c r="B712" s="11" t="s">
        <v>215</v>
      </c>
      <c r="C712" s="40" t="s">
        <v>214</v>
      </c>
      <c r="D712" s="40"/>
      <c r="E712" s="40"/>
      <c r="F712" s="54"/>
      <c r="G712" s="49"/>
      <c r="H712" s="48" t="e">
        <f t="shared" si="35"/>
        <v>#DIV/0!</v>
      </c>
      <c r="I712" s="40"/>
      <c r="J712" s="40"/>
      <c r="K712" s="40"/>
      <c r="L712" s="4" t="e">
        <f t="shared" si="36"/>
        <v>#DIV/0!</v>
      </c>
      <c r="AU712" s="22" t="e">
        <f t="shared" si="34"/>
        <v>#DIV/0!</v>
      </c>
      <c r="AV712" s="11" t="s">
        <v>166</v>
      </c>
      <c r="AW712" s="38">
        <v>493.39184763620199</v>
      </c>
      <c r="AX712" s="38">
        <v>4.73083678736347E-5</v>
      </c>
      <c r="BK712" s="25" t="s">
        <v>204</v>
      </c>
    </row>
    <row r="713" spans="2:63" ht="15.6" x14ac:dyDescent="0.3">
      <c r="B713" s="11" t="s">
        <v>215</v>
      </c>
      <c r="C713" s="40" t="s">
        <v>214</v>
      </c>
      <c r="D713" s="40"/>
      <c r="E713" s="40"/>
      <c r="F713" s="54"/>
      <c r="G713" s="49"/>
      <c r="H713" s="48" t="e">
        <f t="shared" si="35"/>
        <v>#DIV/0!</v>
      </c>
      <c r="I713" s="40"/>
      <c r="J713" s="40"/>
      <c r="K713" s="40"/>
      <c r="L713" s="4" t="e">
        <f t="shared" si="36"/>
        <v>#DIV/0!</v>
      </c>
      <c r="AU713" s="22" t="e">
        <f t="shared" si="34"/>
        <v>#DIV/0!</v>
      </c>
      <c r="AV713" s="11" t="s">
        <v>166</v>
      </c>
      <c r="AW713" s="38">
        <v>501.598717923366</v>
      </c>
      <c r="AX713" s="38">
        <v>6.4406989880570802E-5</v>
      </c>
      <c r="BK713" s="25" t="s">
        <v>204</v>
      </c>
    </row>
    <row r="714" spans="2:63" ht="15.6" x14ac:dyDescent="0.3">
      <c r="B714" s="11" t="s">
        <v>215</v>
      </c>
      <c r="C714" s="40" t="s">
        <v>214</v>
      </c>
      <c r="D714" s="40"/>
      <c r="E714" s="40"/>
      <c r="F714" s="54"/>
      <c r="G714" s="49"/>
      <c r="H714" s="48" t="e">
        <f t="shared" si="35"/>
        <v>#DIV/0!</v>
      </c>
      <c r="I714" s="40"/>
      <c r="J714" s="40"/>
      <c r="K714" s="40"/>
      <c r="L714" s="4" t="e">
        <f t="shared" si="36"/>
        <v>#DIV/0!</v>
      </c>
      <c r="AU714" s="22" t="e">
        <f t="shared" si="34"/>
        <v>#DIV/0!</v>
      </c>
      <c r="AV714" s="11" t="s">
        <v>166</v>
      </c>
      <c r="AW714" s="38">
        <v>563.865179513219</v>
      </c>
      <c r="AX714" s="38">
        <v>8.3290512331520494E-5</v>
      </c>
      <c r="BK714" s="25" t="s">
        <v>204</v>
      </c>
    </row>
    <row r="715" spans="2:63" ht="15.6" x14ac:dyDescent="0.3">
      <c r="B715" s="11" t="s">
        <v>215</v>
      </c>
      <c r="C715" s="40" t="s">
        <v>214</v>
      </c>
      <c r="D715" s="40"/>
      <c r="E715" s="40"/>
      <c r="F715" s="54"/>
      <c r="G715" s="49"/>
      <c r="H715" s="48" t="e">
        <f t="shared" si="35"/>
        <v>#DIV/0!</v>
      </c>
      <c r="I715" s="40"/>
      <c r="J715" s="40"/>
      <c r="K715" s="40"/>
      <c r="L715" s="4" t="e">
        <f t="shared" si="36"/>
        <v>#DIV/0!</v>
      </c>
      <c r="AU715" s="22" t="e">
        <f t="shared" si="34"/>
        <v>#DIV/0!</v>
      </c>
      <c r="AV715" s="11" t="s">
        <v>166</v>
      </c>
      <c r="AW715" s="38">
        <v>602.77871260013796</v>
      </c>
      <c r="AX715" s="38">
        <v>1.13394129326399E-4</v>
      </c>
      <c r="BK715" s="25" t="s">
        <v>204</v>
      </c>
    </row>
    <row r="716" spans="2:63" ht="15.6" x14ac:dyDescent="0.3">
      <c r="B716" s="11" t="s">
        <v>215</v>
      </c>
      <c r="C716" s="40" t="s">
        <v>214</v>
      </c>
      <c r="D716" s="40"/>
      <c r="E716" s="40"/>
      <c r="F716" s="54"/>
      <c r="G716" s="49"/>
      <c r="H716" s="48" t="e">
        <f t="shared" si="35"/>
        <v>#DIV/0!</v>
      </c>
      <c r="I716" s="40"/>
      <c r="J716" s="40"/>
      <c r="K716" s="40"/>
      <c r="L716" s="4" t="e">
        <f t="shared" si="36"/>
        <v>#DIV/0!</v>
      </c>
      <c r="AU716" s="22" t="e">
        <f t="shared" si="34"/>
        <v>#DIV/0!</v>
      </c>
      <c r="AV716" s="11" t="s">
        <v>166</v>
      </c>
      <c r="AW716" s="38">
        <v>492.83859935506598</v>
      </c>
      <c r="AX716" s="38">
        <v>1.8963374976664699E-4</v>
      </c>
      <c r="BK716" s="25" t="s">
        <v>204</v>
      </c>
    </row>
    <row r="717" spans="2:63" ht="15.6" x14ac:dyDescent="0.3">
      <c r="B717" s="11" t="s">
        <v>215</v>
      </c>
      <c r="C717" s="40" t="s">
        <v>214</v>
      </c>
      <c r="D717" s="40"/>
      <c r="E717" s="40"/>
      <c r="F717" s="54"/>
      <c r="G717" s="49"/>
      <c r="H717" s="48" t="e">
        <f t="shared" si="35"/>
        <v>#DIV/0!</v>
      </c>
      <c r="I717" s="40"/>
      <c r="J717" s="40"/>
      <c r="K717" s="40"/>
      <c r="L717" s="4" t="e">
        <f t="shared" si="36"/>
        <v>#DIV/0!</v>
      </c>
      <c r="AU717" s="22" t="e">
        <f t="shared" ref="AU717:AU780" si="37">(AS717*AT717)/(AG717)</f>
        <v>#DIV/0!</v>
      </c>
      <c r="AV717" s="11" t="s">
        <v>166</v>
      </c>
      <c r="AW717" s="38">
        <v>438.779961268764</v>
      </c>
      <c r="AX717" s="38">
        <v>5.2432791219996702E-5</v>
      </c>
      <c r="BK717" s="25" t="s">
        <v>204</v>
      </c>
    </row>
    <row r="718" spans="2:63" ht="15.6" x14ac:dyDescent="0.3">
      <c r="B718" s="11" t="s">
        <v>215</v>
      </c>
      <c r="C718" s="40" t="s">
        <v>214</v>
      </c>
      <c r="D718" s="40"/>
      <c r="E718" s="40"/>
      <c r="F718" s="54"/>
      <c r="G718" s="49"/>
      <c r="H718" s="48" t="e">
        <f t="shared" si="35"/>
        <v>#DIV/0!</v>
      </c>
      <c r="I718" s="40"/>
      <c r="J718" s="40"/>
      <c r="K718" s="40"/>
      <c r="L718" s="4" t="e">
        <f t="shared" si="36"/>
        <v>#DIV/0!</v>
      </c>
      <c r="AU718" s="22" t="e">
        <f t="shared" si="37"/>
        <v>#DIV/0!</v>
      </c>
      <c r="AV718" s="11" t="s">
        <v>166</v>
      </c>
      <c r="AW718" s="38">
        <v>431.42158725852801</v>
      </c>
      <c r="AX718" s="38">
        <v>6.4406989880570802E-5</v>
      </c>
      <c r="BK718" s="25" t="s">
        <v>204</v>
      </c>
    </row>
    <row r="719" spans="2:63" ht="15.6" x14ac:dyDescent="0.3">
      <c r="B719" s="11" t="s">
        <v>215</v>
      </c>
      <c r="C719" s="40" t="s">
        <v>214</v>
      </c>
      <c r="D719" s="40"/>
      <c r="E719" s="40"/>
      <c r="F719" s="54"/>
      <c r="G719" s="49"/>
      <c r="H719" s="48" t="e">
        <f t="shared" si="35"/>
        <v>#DIV/0!</v>
      </c>
      <c r="I719" s="40"/>
      <c r="J719" s="40"/>
      <c r="K719" s="40"/>
      <c r="L719" s="4" t="e">
        <f t="shared" si="36"/>
        <v>#DIV/0!</v>
      </c>
      <c r="AU719" s="22" t="e">
        <f t="shared" si="37"/>
        <v>#DIV/0!</v>
      </c>
      <c r="AV719" s="11" t="s">
        <v>166</v>
      </c>
      <c r="AW719" s="38">
        <v>453.64910055089501</v>
      </c>
      <c r="AX719" s="38">
        <v>6.4406989880570897E-5</v>
      </c>
      <c r="BK719" s="25" t="s">
        <v>204</v>
      </c>
    </row>
    <row r="720" spans="2:63" ht="15.6" x14ac:dyDescent="0.3">
      <c r="B720" s="11" t="s">
        <v>215</v>
      </c>
      <c r="C720" s="40" t="s">
        <v>214</v>
      </c>
      <c r="D720" s="40"/>
      <c r="E720" s="40"/>
      <c r="F720" s="54"/>
      <c r="G720" s="49"/>
      <c r="H720" s="48" t="e">
        <f t="shared" si="35"/>
        <v>#DIV/0!</v>
      </c>
      <c r="I720" s="40"/>
      <c r="J720" s="40"/>
      <c r="K720" s="40"/>
      <c r="L720" s="4" t="e">
        <f t="shared" si="36"/>
        <v>#DIV/0!</v>
      </c>
      <c r="AU720" s="22" t="e">
        <f t="shared" si="37"/>
        <v>#DIV/0!</v>
      </c>
      <c r="AV720" s="11" t="s">
        <v>166</v>
      </c>
      <c r="AW720" s="38">
        <v>390.08318493911401</v>
      </c>
      <c r="AX720" s="38">
        <v>8.7685551878609894E-5</v>
      </c>
      <c r="BK720" s="25" t="s">
        <v>204</v>
      </c>
    </row>
    <row r="721" spans="2:63" ht="15.6" x14ac:dyDescent="0.3">
      <c r="B721" s="11" t="s">
        <v>215</v>
      </c>
      <c r="C721" s="40" t="s">
        <v>214</v>
      </c>
      <c r="D721" s="40"/>
      <c r="E721" s="40"/>
      <c r="F721" s="54"/>
      <c r="G721" s="49"/>
      <c r="H721" s="48" t="e">
        <f t="shared" si="35"/>
        <v>#DIV/0!</v>
      </c>
      <c r="I721" s="40"/>
      <c r="J721" s="40"/>
      <c r="K721" s="40"/>
      <c r="L721" s="4" t="e">
        <f t="shared" si="36"/>
        <v>#DIV/0!</v>
      </c>
      <c r="AU721" s="22" t="e">
        <f t="shared" si="37"/>
        <v>#DIV/0!</v>
      </c>
      <c r="AV721" s="11" t="s">
        <v>166</v>
      </c>
      <c r="AW721" s="38">
        <v>329.922481898103</v>
      </c>
      <c r="AX721" s="38">
        <v>9.2312507067465795E-5</v>
      </c>
      <c r="BK721" s="25" t="s">
        <v>204</v>
      </c>
    </row>
    <row r="722" spans="2:63" ht="15.6" x14ac:dyDescent="0.3">
      <c r="B722" s="11" t="s">
        <v>215</v>
      </c>
      <c r="C722" s="40" t="s">
        <v>214</v>
      </c>
      <c r="D722" s="40"/>
      <c r="E722" s="40"/>
      <c r="F722" s="54"/>
      <c r="G722" s="49"/>
      <c r="H722" s="48" t="e">
        <f t="shared" si="35"/>
        <v>#DIV/0!</v>
      </c>
      <c r="I722" s="40"/>
      <c r="J722" s="40"/>
      <c r="K722" s="40"/>
      <c r="L722" s="4" t="e">
        <f t="shared" si="36"/>
        <v>#DIV/0!</v>
      </c>
      <c r="AU722" s="22" t="e">
        <f t="shared" si="37"/>
        <v>#DIV/0!</v>
      </c>
      <c r="AV722" s="11" t="s">
        <v>166</v>
      </c>
      <c r="AW722" s="38">
        <v>324.22794215732802</v>
      </c>
      <c r="AX722" s="38">
        <v>2.1017480113324799E-4</v>
      </c>
      <c r="BK722" s="25" t="s">
        <v>204</v>
      </c>
    </row>
    <row r="723" spans="2:63" ht="15.6" x14ac:dyDescent="0.3">
      <c r="B723" s="11" t="s">
        <v>215</v>
      </c>
      <c r="C723" s="40" t="s">
        <v>214</v>
      </c>
      <c r="D723" s="40"/>
      <c r="E723" s="40"/>
      <c r="F723" s="54"/>
      <c r="G723" s="49"/>
      <c r="H723" s="48" t="e">
        <f t="shared" si="35"/>
        <v>#DIV/0!</v>
      </c>
      <c r="I723" s="40"/>
      <c r="J723" s="40"/>
      <c r="K723" s="40"/>
      <c r="L723" s="4" t="e">
        <f t="shared" si="36"/>
        <v>#DIV/0!</v>
      </c>
      <c r="AU723" s="22" t="e">
        <f t="shared" si="37"/>
        <v>#DIV/0!</v>
      </c>
      <c r="AV723" s="11" t="s">
        <v>166</v>
      </c>
      <c r="AW723" s="38">
        <v>192.64789500340299</v>
      </c>
      <c r="AX723" s="38">
        <v>1.2712131076248901E-3</v>
      </c>
      <c r="BK723" s="25" t="s">
        <v>204</v>
      </c>
    </row>
    <row r="724" spans="2:63" ht="15.6" x14ac:dyDescent="0.3">
      <c r="B724" s="11" t="s">
        <v>216</v>
      </c>
      <c r="C724" s="40" t="s">
        <v>167</v>
      </c>
      <c r="D724" s="40"/>
      <c r="E724" s="40"/>
      <c r="F724" s="54"/>
      <c r="G724" s="49"/>
      <c r="H724" s="48" t="e">
        <f t="shared" si="35"/>
        <v>#DIV/0!</v>
      </c>
      <c r="I724" s="40"/>
      <c r="J724" s="40"/>
      <c r="K724" s="40"/>
      <c r="L724" s="4" t="e">
        <f t="shared" si="36"/>
        <v>#DIV/0!</v>
      </c>
      <c r="AU724" s="22" t="e">
        <f t="shared" si="37"/>
        <v>#DIV/0!</v>
      </c>
      <c r="AV724" s="11" t="s">
        <v>166</v>
      </c>
      <c r="AW724" s="31">
        <v>240.449643303323</v>
      </c>
      <c r="AX724" s="31">
        <v>9.6079397930808296E-6</v>
      </c>
      <c r="BK724" s="25" t="s">
        <v>204</v>
      </c>
    </row>
    <row r="725" spans="2:63" ht="15.6" x14ac:dyDescent="0.3">
      <c r="B725" s="11" t="s">
        <v>216</v>
      </c>
      <c r="C725" s="40" t="s">
        <v>167</v>
      </c>
      <c r="D725" s="40"/>
      <c r="E725" s="40"/>
      <c r="F725" s="54"/>
      <c r="G725" s="49"/>
      <c r="H725" s="48" t="e">
        <f t="shared" si="35"/>
        <v>#DIV/0!</v>
      </c>
      <c r="I725" s="40"/>
      <c r="J725" s="40"/>
      <c r="K725" s="40"/>
      <c r="L725" s="4" t="e">
        <f t="shared" si="36"/>
        <v>#DIV/0!</v>
      </c>
      <c r="AU725" s="22" t="e">
        <f t="shared" si="37"/>
        <v>#DIV/0!</v>
      </c>
      <c r="AV725" s="11" t="s">
        <v>166</v>
      </c>
      <c r="AW725" s="31">
        <v>228.05150087454999</v>
      </c>
      <c r="AX725" s="31">
        <v>2.71796072103729E-4</v>
      </c>
      <c r="BK725" s="25" t="s">
        <v>204</v>
      </c>
    </row>
    <row r="726" spans="2:63" ht="15.6" x14ac:dyDescent="0.3">
      <c r="B726" s="11" t="s">
        <v>216</v>
      </c>
      <c r="C726" s="40" t="s">
        <v>167</v>
      </c>
      <c r="D726" s="40"/>
      <c r="E726" s="40"/>
      <c r="F726" s="54"/>
      <c r="G726" s="49"/>
      <c r="H726" s="48" t="e">
        <f t="shared" si="35"/>
        <v>#DIV/0!</v>
      </c>
      <c r="I726" s="40"/>
      <c r="J726" s="40"/>
      <c r="K726" s="40"/>
      <c r="L726" s="4" t="e">
        <f t="shared" si="36"/>
        <v>#DIV/0!</v>
      </c>
      <c r="AU726" s="22" t="e">
        <f t="shared" si="37"/>
        <v>#DIV/0!</v>
      </c>
      <c r="AV726" s="11" t="s">
        <v>166</v>
      </c>
      <c r="AW726" s="31">
        <v>149.71879965238799</v>
      </c>
      <c r="AX726" s="31">
        <v>3.94033819776308E-3</v>
      </c>
      <c r="BK726" s="25" t="s">
        <v>204</v>
      </c>
    </row>
    <row r="727" spans="2:63" ht="15.6" x14ac:dyDescent="0.3">
      <c r="B727" s="11" t="s">
        <v>216</v>
      </c>
      <c r="C727" s="40" t="s">
        <v>167</v>
      </c>
      <c r="D727" s="40"/>
      <c r="E727" s="40"/>
      <c r="F727" s="54"/>
      <c r="G727" s="49"/>
      <c r="H727" s="48" t="e">
        <f t="shared" si="35"/>
        <v>#DIV/0!</v>
      </c>
      <c r="I727" s="40"/>
      <c r="J727" s="40"/>
      <c r="K727" s="40"/>
      <c r="L727" s="4" t="e">
        <f t="shared" si="36"/>
        <v>#DIV/0!</v>
      </c>
      <c r="AU727" s="22" t="e">
        <f t="shared" si="37"/>
        <v>#DIV/0!</v>
      </c>
      <c r="AV727" s="11" t="s">
        <v>166</v>
      </c>
      <c r="AW727" s="31">
        <v>120.283909274846</v>
      </c>
      <c r="AX727" s="31">
        <v>1.7505566865563701E-2</v>
      </c>
      <c r="BK727" s="25" t="s">
        <v>204</v>
      </c>
    </row>
    <row r="728" spans="2:63" ht="15.6" x14ac:dyDescent="0.3">
      <c r="B728" s="11" t="s">
        <v>216</v>
      </c>
      <c r="C728" s="40" t="s">
        <v>167</v>
      </c>
      <c r="D728" s="40"/>
      <c r="E728" s="40"/>
      <c r="F728" s="54"/>
      <c r="G728" s="49"/>
      <c r="H728" s="48" t="e">
        <f t="shared" si="35"/>
        <v>#DIV/0!</v>
      </c>
      <c r="I728" s="40"/>
      <c r="J728" s="40"/>
      <c r="K728" s="40"/>
      <c r="L728" s="4" t="e">
        <f t="shared" si="36"/>
        <v>#DIV/0!</v>
      </c>
      <c r="AU728" s="22" t="e">
        <f t="shared" si="37"/>
        <v>#DIV/0!</v>
      </c>
      <c r="AV728" s="11" t="s">
        <v>166</v>
      </c>
      <c r="AW728" s="31">
        <v>99.931460171447398</v>
      </c>
      <c r="AX728" s="31">
        <v>7.3873104811015305E-2</v>
      </c>
      <c r="BK728" s="25" t="s">
        <v>204</v>
      </c>
    </row>
    <row r="729" spans="2:63" ht="15.6" x14ac:dyDescent="0.3">
      <c r="B729" s="11" t="s">
        <v>216</v>
      </c>
      <c r="C729" s="40" t="s">
        <v>167</v>
      </c>
      <c r="D729" s="40"/>
      <c r="E729" s="40"/>
      <c r="F729" s="54"/>
      <c r="G729" s="49"/>
      <c r="H729" s="48" t="e">
        <f t="shared" si="35"/>
        <v>#DIV/0!</v>
      </c>
      <c r="I729" s="40"/>
      <c r="J729" s="40"/>
      <c r="K729" s="40"/>
      <c r="L729" s="4" t="e">
        <f t="shared" si="36"/>
        <v>#DIV/0!</v>
      </c>
      <c r="AU729" s="22" t="e">
        <f t="shared" si="37"/>
        <v>#DIV/0!</v>
      </c>
      <c r="AV729" s="11" t="s">
        <v>166</v>
      </c>
      <c r="AW729" s="31">
        <v>78.977807942777403</v>
      </c>
      <c r="AX729" s="31">
        <v>0.21750486862053001</v>
      </c>
      <c r="BK729" s="25" t="s">
        <v>204</v>
      </c>
    </row>
    <row r="730" spans="2:63" ht="15.6" x14ac:dyDescent="0.3">
      <c r="B730" s="11" t="s">
        <v>216</v>
      </c>
      <c r="C730" s="40" t="s">
        <v>167</v>
      </c>
      <c r="D730" s="40"/>
      <c r="E730" s="40"/>
      <c r="F730" s="54"/>
      <c r="G730" s="49"/>
      <c r="H730" s="48" t="e">
        <f t="shared" si="35"/>
        <v>#DIV/0!</v>
      </c>
      <c r="I730" s="40"/>
      <c r="J730" s="40"/>
      <c r="K730" s="40"/>
      <c r="L730" s="4" t="e">
        <f t="shared" si="36"/>
        <v>#DIV/0!</v>
      </c>
      <c r="AU730" s="22" t="e">
        <f t="shared" si="37"/>
        <v>#DIV/0!</v>
      </c>
      <c r="AV730" s="11" t="s">
        <v>166</v>
      </c>
      <c r="AW730" s="31">
        <v>54.605247327249003</v>
      </c>
      <c r="AX730" s="31">
        <v>0.47038837009447199</v>
      </c>
      <c r="BK730" s="25" t="s">
        <v>204</v>
      </c>
    </row>
    <row r="731" spans="2:63" ht="15.6" x14ac:dyDescent="0.3">
      <c r="B731" s="11" t="s">
        <v>216</v>
      </c>
      <c r="C731" s="40" t="s">
        <v>167</v>
      </c>
      <c r="D731" s="40"/>
      <c r="E731" s="40"/>
      <c r="F731" s="54"/>
      <c r="G731" s="49"/>
      <c r="H731" s="48" t="e">
        <f t="shared" si="35"/>
        <v>#DIV/0!</v>
      </c>
      <c r="I731" s="40"/>
      <c r="J731" s="40"/>
      <c r="K731" s="40"/>
      <c r="L731" s="4" t="e">
        <f t="shared" si="36"/>
        <v>#DIV/0!</v>
      </c>
      <c r="AU731" s="22" t="e">
        <f t="shared" si="37"/>
        <v>#DIV/0!</v>
      </c>
      <c r="AV731" s="11" t="s">
        <v>166</v>
      </c>
      <c r="AW731" s="31">
        <v>39.700859562662799</v>
      </c>
      <c r="AX731" s="31">
        <v>0.96629929466052</v>
      </c>
      <c r="BK731" s="25" t="s">
        <v>204</v>
      </c>
    </row>
    <row r="732" spans="2:63" ht="15.6" x14ac:dyDescent="0.3">
      <c r="B732" s="11" t="s">
        <v>216</v>
      </c>
      <c r="C732" s="40" t="s">
        <v>167</v>
      </c>
      <c r="D732" s="40"/>
      <c r="E732" s="40"/>
      <c r="F732" s="54"/>
      <c r="G732" s="49"/>
      <c r="H732" s="48" t="e">
        <f t="shared" si="35"/>
        <v>#DIV/0!</v>
      </c>
      <c r="I732" s="40"/>
      <c r="J732" s="40"/>
      <c r="K732" s="40"/>
      <c r="L732" s="4" t="e">
        <f t="shared" si="36"/>
        <v>#DIV/0!</v>
      </c>
      <c r="AU732" s="22" t="e">
        <f t="shared" si="37"/>
        <v>#DIV/0!</v>
      </c>
      <c r="AV732" s="11" t="s">
        <v>166</v>
      </c>
      <c r="AW732" s="31">
        <v>31.397241652720901</v>
      </c>
      <c r="AX732" s="31">
        <v>1.2496091412919801</v>
      </c>
      <c r="BK732" s="25" t="s">
        <v>204</v>
      </c>
    </row>
    <row r="733" spans="2:63" ht="15.6" x14ac:dyDescent="0.3">
      <c r="B733" s="11" t="s">
        <v>216</v>
      </c>
      <c r="C733" s="40" t="s">
        <v>167</v>
      </c>
      <c r="D733" s="40"/>
      <c r="E733" s="40"/>
      <c r="F733" s="54"/>
      <c r="G733" s="49"/>
      <c r="H733" s="48" t="e">
        <f t="shared" si="35"/>
        <v>#DIV/0!</v>
      </c>
      <c r="I733" s="40"/>
      <c r="J733" s="40"/>
      <c r="K733" s="40"/>
      <c r="L733" s="4" t="e">
        <f t="shared" si="36"/>
        <v>#DIV/0!</v>
      </c>
      <c r="AU733" s="22" t="e">
        <f t="shared" si="37"/>
        <v>#DIV/0!</v>
      </c>
      <c r="AV733" s="11" t="s">
        <v>166</v>
      </c>
      <c r="AW733" s="31">
        <v>25.247577603647901</v>
      </c>
      <c r="AX733" s="31">
        <v>1.79102536698248</v>
      </c>
      <c r="BK733" s="25" t="s">
        <v>204</v>
      </c>
    </row>
    <row r="734" spans="2:63" ht="15.6" x14ac:dyDescent="0.3">
      <c r="B734" s="11" t="s">
        <v>217</v>
      </c>
      <c r="C734" s="40" t="s">
        <v>218</v>
      </c>
      <c r="D734" s="40"/>
      <c r="E734" s="40"/>
      <c r="F734" s="54"/>
      <c r="G734" s="49"/>
      <c r="H734" s="48" t="e">
        <f t="shared" si="35"/>
        <v>#DIV/0!</v>
      </c>
      <c r="I734" s="40"/>
      <c r="J734" s="40"/>
      <c r="K734" s="40"/>
      <c r="L734" s="4" t="e">
        <f t="shared" si="36"/>
        <v>#DIV/0!</v>
      </c>
      <c r="AU734" s="22" t="e">
        <f t="shared" si="37"/>
        <v>#DIV/0!</v>
      </c>
      <c r="AV734" s="11" t="s">
        <v>166</v>
      </c>
      <c r="AW734" s="31">
        <v>801.67806338767502</v>
      </c>
      <c r="AX734" s="31">
        <v>6.4268771731701999E-4</v>
      </c>
      <c r="BK734" s="25" t="s">
        <v>204</v>
      </c>
    </row>
    <row r="735" spans="2:63" ht="15.6" x14ac:dyDescent="0.3">
      <c r="B735" s="11" t="s">
        <v>217</v>
      </c>
      <c r="C735" s="40" t="s">
        <v>218</v>
      </c>
      <c r="D735" s="40"/>
      <c r="E735" s="40"/>
      <c r="F735" s="54"/>
      <c r="G735" s="49"/>
      <c r="H735" s="48" t="e">
        <f t="shared" ref="H735:H798" si="38">((J735)*1000)/G735</f>
        <v>#DIV/0!</v>
      </c>
      <c r="I735" s="40"/>
      <c r="J735" s="40"/>
      <c r="K735" s="40"/>
      <c r="L735" s="4" t="e">
        <f t="shared" si="36"/>
        <v>#DIV/0!</v>
      </c>
      <c r="AU735" s="22" t="e">
        <f t="shared" si="37"/>
        <v>#DIV/0!</v>
      </c>
      <c r="AV735" s="11" t="s">
        <v>166</v>
      </c>
      <c r="AW735" s="31">
        <v>717.79429127135995</v>
      </c>
      <c r="AX735" s="31">
        <v>3.15593981804954E-3</v>
      </c>
      <c r="BK735" s="25" t="s">
        <v>204</v>
      </c>
    </row>
    <row r="736" spans="2:63" ht="15.6" x14ac:dyDescent="0.3">
      <c r="B736" s="11" t="s">
        <v>217</v>
      </c>
      <c r="C736" s="40" t="s">
        <v>218</v>
      </c>
      <c r="D736" s="40"/>
      <c r="E736" s="40"/>
      <c r="F736" s="54"/>
      <c r="G736" s="49"/>
      <c r="H736" s="48" t="e">
        <f t="shared" si="38"/>
        <v>#DIV/0!</v>
      </c>
      <c r="I736" s="40"/>
      <c r="J736" s="40"/>
      <c r="K736" s="40"/>
      <c r="L736" s="4" t="e">
        <f t="shared" si="36"/>
        <v>#DIV/0!</v>
      </c>
      <c r="AU736" s="22" t="e">
        <f t="shared" si="37"/>
        <v>#DIV/0!</v>
      </c>
      <c r="AV736" s="11" t="s">
        <v>166</v>
      </c>
      <c r="AW736" s="31">
        <v>666.80676921361999</v>
      </c>
      <c r="AX736" s="31">
        <v>8.8110913318754404E-3</v>
      </c>
      <c r="BK736" s="25" t="s">
        <v>204</v>
      </c>
    </row>
    <row r="737" spans="2:63" ht="15.6" x14ac:dyDescent="0.3">
      <c r="B737" s="11" t="s">
        <v>217</v>
      </c>
      <c r="C737" s="40" t="s">
        <v>218</v>
      </c>
      <c r="D737" s="40"/>
      <c r="E737" s="40"/>
      <c r="F737" s="54"/>
      <c r="G737" s="49"/>
      <c r="H737" s="48" t="e">
        <f t="shared" si="38"/>
        <v>#DIV/0!</v>
      </c>
      <c r="I737" s="40"/>
      <c r="J737" s="40"/>
      <c r="K737" s="40"/>
      <c r="L737" s="4" t="e">
        <f t="shared" si="36"/>
        <v>#DIV/0!</v>
      </c>
      <c r="AU737" s="22" t="e">
        <f t="shared" si="37"/>
        <v>#DIV/0!</v>
      </c>
      <c r="AV737" s="11" t="s">
        <v>166</v>
      </c>
      <c r="AW737" s="31">
        <v>597.03528658383505</v>
      </c>
      <c r="AX737" s="31">
        <v>3.1804974338358598E-2</v>
      </c>
      <c r="BK737" s="25" t="s">
        <v>204</v>
      </c>
    </row>
    <row r="738" spans="2:63" ht="15.6" x14ac:dyDescent="0.3">
      <c r="B738" s="11" t="s">
        <v>217</v>
      </c>
      <c r="C738" s="40" t="s">
        <v>218</v>
      </c>
      <c r="D738" s="40"/>
      <c r="E738" s="40"/>
      <c r="F738" s="54"/>
      <c r="G738" s="49"/>
      <c r="H738" s="48" t="e">
        <f t="shared" si="38"/>
        <v>#DIV/0!</v>
      </c>
      <c r="I738" s="40"/>
      <c r="J738" s="40"/>
      <c r="K738" s="40"/>
      <c r="L738" s="4" t="e">
        <f t="shared" si="36"/>
        <v>#DIV/0!</v>
      </c>
      <c r="AU738" s="22" t="e">
        <f t="shared" si="37"/>
        <v>#DIV/0!</v>
      </c>
      <c r="AV738" s="11" t="s">
        <v>166</v>
      </c>
      <c r="AW738" s="31">
        <v>575.43993733715695</v>
      </c>
      <c r="AX738" s="31">
        <v>0.10352601685988599</v>
      </c>
      <c r="BK738" s="25" t="s">
        <v>204</v>
      </c>
    </row>
    <row r="739" spans="2:63" ht="15.6" x14ac:dyDescent="0.3">
      <c r="B739" s="11" t="s">
        <v>217</v>
      </c>
      <c r="C739" s="40" t="s">
        <v>218</v>
      </c>
      <c r="D739" s="40"/>
      <c r="E739" s="40"/>
      <c r="F739" s="54"/>
      <c r="G739" s="49"/>
      <c r="H739" s="48" t="e">
        <f t="shared" si="38"/>
        <v>#DIV/0!</v>
      </c>
      <c r="I739" s="40"/>
      <c r="J739" s="40"/>
      <c r="K739" s="40"/>
      <c r="L739" s="4" t="e">
        <f t="shared" si="36"/>
        <v>#DIV/0!</v>
      </c>
      <c r="AU739" s="22" t="e">
        <f t="shared" si="37"/>
        <v>#DIV/0!</v>
      </c>
      <c r="AV739" s="11" t="s">
        <v>166</v>
      </c>
      <c r="AW739" s="31">
        <v>515.22864458175502</v>
      </c>
      <c r="AX739" s="31">
        <v>0.43585951840586601</v>
      </c>
      <c r="BK739" s="25" t="s">
        <v>204</v>
      </c>
    </row>
    <row r="740" spans="2:63" ht="15.6" x14ac:dyDescent="0.3">
      <c r="B740" s="11" t="s">
        <v>217</v>
      </c>
      <c r="C740" s="40" t="s">
        <v>218</v>
      </c>
      <c r="D740" s="40"/>
      <c r="E740" s="40"/>
      <c r="F740" s="54"/>
      <c r="G740" s="49"/>
      <c r="H740" s="48" t="e">
        <f t="shared" si="38"/>
        <v>#DIV/0!</v>
      </c>
      <c r="I740" s="40"/>
      <c r="J740" s="40"/>
      <c r="K740" s="40"/>
      <c r="L740" s="4" t="e">
        <f t="shared" si="36"/>
        <v>#DIV/0!</v>
      </c>
      <c r="AU740" s="22" t="e">
        <f t="shared" si="37"/>
        <v>#DIV/0!</v>
      </c>
      <c r="AV740" s="11" t="s">
        <v>166</v>
      </c>
      <c r="AW740" s="31">
        <v>478.63009232263801</v>
      </c>
      <c r="AX740" s="31">
        <v>2.0324496798796901</v>
      </c>
      <c r="BK740" s="25" t="s">
        <v>204</v>
      </c>
    </row>
    <row r="741" spans="2:63" ht="15.6" x14ac:dyDescent="0.3">
      <c r="B741" s="11" t="s">
        <v>217</v>
      </c>
      <c r="C741" s="40" t="s">
        <v>218</v>
      </c>
      <c r="D741" s="40"/>
      <c r="E741" s="40"/>
      <c r="F741" s="54"/>
      <c r="G741" s="49"/>
      <c r="H741" s="48" t="e">
        <f t="shared" si="38"/>
        <v>#DIV/0!</v>
      </c>
      <c r="I741" s="40"/>
      <c r="J741" s="40"/>
      <c r="K741" s="40"/>
      <c r="L741" s="4" t="e">
        <f t="shared" si="36"/>
        <v>#DIV/0!</v>
      </c>
      <c r="AU741" s="22" t="e">
        <f t="shared" si="37"/>
        <v>#DIV/0!</v>
      </c>
      <c r="AV741" s="11" t="s">
        <v>166</v>
      </c>
      <c r="AW741" s="31">
        <v>398.10717055349602</v>
      </c>
      <c r="AX741" s="31">
        <v>5.39732062443335</v>
      </c>
      <c r="BK741" s="25" t="s">
        <v>204</v>
      </c>
    </row>
    <row r="742" spans="2:63" ht="15.6" x14ac:dyDescent="0.3">
      <c r="B742" s="11" t="s">
        <v>217</v>
      </c>
      <c r="C742" s="40" t="s">
        <v>218</v>
      </c>
      <c r="D742" s="40"/>
      <c r="E742" s="40"/>
      <c r="F742" s="54"/>
      <c r="G742" s="49"/>
      <c r="H742" s="48" t="e">
        <f t="shared" si="38"/>
        <v>#DIV/0!</v>
      </c>
      <c r="I742" s="40"/>
      <c r="J742" s="40"/>
      <c r="K742" s="40"/>
      <c r="L742" s="4" t="e">
        <f t="shared" si="36"/>
        <v>#DIV/0!</v>
      </c>
      <c r="AU742" s="22" t="e">
        <f t="shared" si="37"/>
        <v>#DIV/0!</v>
      </c>
      <c r="AV742" s="11" t="s">
        <v>166</v>
      </c>
      <c r="AW742" s="31">
        <v>369.82817978026497</v>
      </c>
      <c r="AX742" s="31">
        <v>15.861944853175499</v>
      </c>
      <c r="BK742" s="25" t="s">
        <v>204</v>
      </c>
    </row>
    <row r="743" spans="2:63" ht="15.6" x14ac:dyDescent="0.3">
      <c r="B743" s="11" t="s">
        <v>217</v>
      </c>
      <c r="C743" s="40" t="s">
        <v>218</v>
      </c>
      <c r="D743" s="40"/>
      <c r="E743" s="40"/>
      <c r="F743" s="54"/>
      <c r="G743" s="49"/>
      <c r="H743" s="48" t="e">
        <f t="shared" si="38"/>
        <v>#DIV/0!</v>
      </c>
      <c r="I743" s="40"/>
      <c r="J743" s="40"/>
      <c r="K743" s="40"/>
      <c r="L743" s="4" t="e">
        <f t="shared" si="36"/>
        <v>#DIV/0!</v>
      </c>
      <c r="AU743" s="22" t="e">
        <f t="shared" si="37"/>
        <v>#DIV/0!</v>
      </c>
      <c r="AV743" s="11" t="s">
        <v>166</v>
      </c>
      <c r="AW743" s="31">
        <v>296.48313895243302</v>
      </c>
      <c r="AX743" s="31">
        <v>27.956013886321301</v>
      </c>
      <c r="BK743" s="25" t="s">
        <v>204</v>
      </c>
    </row>
    <row r="744" spans="2:63" ht="15.6" x14ac:dyDescent="0.3">
      <c r="B744" s="11" t="s">
        <v>217</v>
      </c>
      <c r="C744" s="40" t="s">
        <v>218</v>
      </c>
      <c r="D744" s="40"/>
      <c r="E744" s="40"/>
      <c r="F744" s="54"/>
      <c r="G744" s="49"/>
      <c r="H744" s="48" t="e">
        <f t="shared" si="38"/>
        <v>#DIV/0!</v>
      </c>
      <c r="I744" s="40"/>
      <c r="J744" s="40"/>
      <c r="K744" s="40"/>
      <c r="L744" s="4" t="e">
        <f t="shared" si="36"/>
        <v>#DIV/0!</v>
      </c>
      <c r="AU744" s="22" t="e">
        <f t="shared" si="37"/>
        <v>#DIV/0!</v>
      </c>
      <c r="AV744" s="11" t="s">
        <v>166</v>
      </c>
      <c r="AW744" s="31">
        <v>255.85858869056401</v>
      </c>
      <c r="AX744" s="31">
        <v>46.769248976804299</v>
      </c>
      <c r="BK744" s="25" t="s">
        <v>204</v>
      </c>
    </row>
    <row r="745" spans="2:63" ht="15.6" x14ac:dyDescent="0.3">
      <c r="B745" s="11" t="s">
        <v>217</v>
      </c>
      <c r="C745" s="40" t="s">
        <v>218</v>
      </c>
      <c r="D745" s="40"/>
      <c r="E745" s="40"/>
      <c r="F745" s="54"/>
      <c r="G745" s="49"/>
      <c r="H745" s="48" t="e">
        <f t="shared" si="38"/>
        <v>#DIV/0!</v>
      </c>
      <c r="I745" s="40"/>
      <c r="J745" s="40"/>
      <c r="K745" s="40"/>
      <c r="L745" s="4" t="e">
        <f t="shared" si="36"/>
        <v>#DIV/0!</v>
      </c>
      <c r="AU745" s="22" t="e">
        <f t="shared" si="37"/>
        <v>#DIV/0!</v>
      </c>
      <c r="AV745" s="11" t="s">
        <v>166</v>
      </c>
      <c r="AW745" s="31">
        <v>220.80047330188799</v>
      </c>
      <c r="AX745" s="31">
        <v>70.614044856012598</v>
      </c>
      <c r="BK745" s="25" t="s">
        <v>204</v>
      </c>
    </row>
    <row r="746" spans="2:63" ht="15.6" x14ac:dyDescent="0.3">
      <c r="B746" s="11" t="s">
        <v>217</v>
      </c>
      <c r="C746" s="40" t="s">
        <v>218</v>
      </c>
      <c r="D746" s="40"/>
      <c r="E746" s="40"/>
      <c r="F746" s="54"/>
      <c r="G746" s="49"/>
      <c r="H746" s="48" t="e">
        <f t="shared" si="38"/>
        <v>#DIV/0!</v>
      </c>
      <c r="I746" s="40"/>
      <c r="J746" s="40"/>
      <c r="K746" s="40"/>
      <c r="L746" s="4" t="e">
        <f t="shared" si="36"/>
        <v>#DIV/0!</v>
      </c>
      <c r="AU746" s="22" t="e">
        <f t="shared" si="37"/>
        <v>#DIV/0!</v>
      </c>
      <c r="AV746" s="11" t="s">
        <v>166</v>
      </c>
      <c r="AW746" s="31">
        <v>183.65383433483399</v>
      </c>
      <c r="AX746" s="31">
        <v>91.446758735830301</v>
      </c>
      <c r="BK746" s="25" t="s">
        <v>204</v>
      </c>
    </row>
    <row r="747" spans="2:63" ht="15.6" x14ac:dyDescent="0.3">
      <c r="B747" s="11" t="s">
        <v>217</v>
      </c>
      <c r="C747" s="40" t="s">
        <v>218</v>
      </c>
      <c r="D747" s="40"/>
      <c r="E747" s="40"/>
      <c r="F747" s="54"/>
      <c r="G747" s="49"/>
      <c r="H747" s="48" t="e">
        <f t="shared" si="38"/>
        <v>#DIV/0!</v>
      </c>
      <c r="I747" s="40"/>
      <c r="J747" s="40"/>
      <c r="K747" s="40"/>
      <c r="L747" s="4" t="e">
        <f t="shared" si="36"/>
        <v>#DIV/0!</v>
      </c>
      <c r="AU747" s="22" t="e">
        <f t="shared" si="37"/>
        <v>#DIV/0!</v>
      </c>
      <c r="AV747" s="11" t="s">
        <v>166</v>
      </c>
      <c r="AW747" s="31">
        <v>118.032063565172</v>
      </c>
      <c r="AX747" s="31">
        <v>107.186135686369</v>
      </c>
      <c r="BK747" s="25" t="s">
        <v>204</v>
      </c>
    </row>
    <row r="748" spans="2:63" ht="15.6" x14ac:dyDescent="0.3">
      <c r="B748" s="11" t="s">
        <v>217</v>
      </c>
      <c r="C748" s="40" t="s">
        <v>218</v>
      </c>
      <c r="D748" s="40"/>
      <c r="E748" s="40"/>
      <c r="F748" s="54"/>
      <c r="G748" s="49"/>
      <c r="H748" s="48" t="e">
        <f t="shared" si="38"/>
        <v>#DIV/0!</v>
      </c>
      <c r="I748" s="40"/>
      <c r="J748" s="40"/>
      <c r="K748" s="40"/>
      <c r="L748" s="4" t="e">
        <f t="shared" si="36"/>
        <v>#DIV/0!</v>
      </c>
      <c r="AU748" s="22" t="e">
        <f t="shared" si="37"/>
        <v>#DIV/0!</v>
      </c>
      <c r="AV748" s="11" t="s">
        <v>166</v>
      </c>
      <c r="AW748" s="31">
        <v>98.174794301998105</v>
      </c>
      <c r="AX748" s="31">
        <v>131.86775539899801</v>
      </c>
      <c r="BK748" s="25" t="s">
        <v>204</v>
      </c>
    </row>
    <row r="749" spans="2:63" ht="15.6" x14ac:dyDescent="0.3">
      <c r="B749" s="11" t="s">
        <v>217</v>
      </c>
      <c r="C749" s="40" t="s">
        <v>218</v>
      </c>
      <c r="D749" s="40"/>
      <c r="E749" s="40"/>
      <c r="F749" s="54"/>
      <c r="G749" s="49"/>
      <c r="H749" s="48" t="e">
        <f t="shared" si="38"/>
        <v>#DIV/0!</v>
      </c>
      <c r="I749" s="40"/>
      <c r="J749" s="40"/>
      <c r="K749" s="40"/>
      <c r="L749" s="4" t="e">
        <f t="shared" si="36"/>
        <v>#DIV/0!</v>
      </c>
      <c r="AU749" s="22" t="e">
        <f t="shared" si="37"/>
        <v>#DIV/0!</v>
      </c>
      <c r="AV749" s="11" t="s">
        <v>166</v>
      </c>
      <c r="AW749" s="31">
        <v>75.857757502918403</v>
      </c>
      <c r="AX749" s="31">
        <v>162.365984238214</v>
      </c>
      <c r="BK749" s="25" t="s">
        <v>204</v>
      </c>
    </row>
    <row r="750" spans="2:63" ht="15.6" x14ac:dyDescent="0.3">
      <c r="B750" s="11" t="s">
        <v>217</v>
      </c>
      <c r="C750" s="40" t="s">
        <v>218</v>
      </c>
      <c r="D750" s="40"/>
      <c r="E750" s="40"/>
      <c r="F750" s="54"/>
      <c r="G750" s="49"/>
      <c r="H750" s="48" t="e">
        <f t="shared" si="38"/>
        <v>#DIV/0!</v>
      </c>
      <c r="I750" s="40"/>
      <c r="J750" s="40"/>
      <c r="K750" s="40"/>
      <c r="L750" s="4" t="e">
        <f t="shared" si="36"/>
        <v>#DIV/0!</v>
      </c>
      <c r="AU750" s="22" t="e">
        <f t="shared" si="37"/>
        <v>#DIV/0!</v>
      </c>
      <c r="AV750" s="11" t="s">
        <v>166</v>
      </c>
      <c r="AW750" s="31">
        <v>70.469306896714599</v>
      </c>
      <c r="AX750" s="31">
        <v>199.50803723236899</v>
      </c>
      <c r="BK750" s="25" t="s">
        <v>204</v>
      </c>
    </row>
    <row r="751" spans="2:63" ht="15.6" x14ac:dyDescent="0.3">
      <c r="B751" s="11" t="s">
        <v>217</v>
      </c>
      <c r="C751" s="40" t="s">
        <v>218</v>
      </c>
      <c r="D751" s="40"/>
      <c r="E751" s="40"/>
      <c r="F751" s="54"/>
      <c r="G751" s="49"/>
      <c r="H751" s="48" t="e">
        <f t="shared" si="38"/>
        <v>#DIV/0!</v>
      </c>
      <c r="I751" s="40"/>
      <c r="J751" s="40"/>
      <c r="K751" s="40"/>
      <c r="L751" s="4" t="e">
        <f t="shared" si="36"/>
        <v>#DIV/0!</v>
      </c>
      <c r="AU751" s="22" t="e">
        <f t="shared" si="37"/>
        <v>#DIV/0!</v>
      </c>
      <c r="AV751" s="11" t="s">
        <v>166</v>
      </c>
      <c r="AW751" s="31">
        <v>63.095734448019201</v>
      </c>
      <c r="AX751" s="31">
        <v>245.247145042233</v>
      </c>
      <c r="BK751" s="25" t="s">
        <v>204</v>
      </c>
    </row>
    <row r="752" spans="2:63" ht="15.6" x14ac:dyDescent="0.3">
      <c r="B752" s="11" t="s">
        <v>217</v>
      </c>
      <c r="C752" s="40" t="s">
        <v>218</v>
      </c>
      <c r="D752" s="40"/>
      <c r="E752" s="40"/>
      <c r="F752" s="54"/>
      <c r="G752" s="49"/>
      <c r="H752" s="48" t="e">
        <f t="shared" si="38"/>
        <v>#DIV/0!</v>
      </c>
      <c r="I752" s="40"/>
      <c r="J752" s="40"/>
      <c r="K752" s="40"/>
      <c r="L752" s="4" t="e">
        <f t="shared" si="36"/>
        <v>#DIV/0!</v>
      </c>
      <c r="AU752" s="22" t="e">
        <f t="shared" si="37"/>
        <v>#DIV/0!</v>
      </c>
      <c r="AV752" s="11" t="s">
        <v>166</v>
      </c>
      <c r="AW752" s="31">
        <v>58.613816451402798</v>
      </c>
      <c r="AX752" s="31">
        <v>301.348689343898</v>
      </c>
      <c r="BK752" s="25" t="s">
        <v>204</v>
      </c>
    </row>
    <row r="753" spans="2:63" ht="15.6" x14ac:dyDescent="0.3">
      <c r="B753" s="11" t="s">
        <v>217</v>
      </c>
      <c r="C753" s="40" t="s">
        <v>218</v>
      </c>
      <c r="D753" s="40"/>
      <c r="E753" s="40"/>
      <c r="F753" s="54"/>
      <c r="G753" s="49"/>
      <c r="H753" s="48" t="e">
        <f t="shared" si="38"/>
        <v>#DIV/0!</v>
      </c>
      <c r="I753" s="40"/>
      <c r="J753" s="40"/>
      <c r="K753" s="40"/>
      <c r="L753" s="4" t="e">
        <f t="shared" si="36"/>
        <v>#DIV/0!</v>
      </c>
      <c r="AU753" s="22" t="e">
        <f t="shared" si="37"/>
        <v>#DIV/0!</v>
      </c>
      <c r="AV753" s="11" t="s">
        <v>166</v>
      </c>
      <c r="AW753" s="31">
        <v>52.480746024977101</v>
      </c>
      <c r="AX753" s="31">
        <v>301.71990367635402</v>
      </c>
      <c r="BK753" s="25" t="s">
        <v>204</v>
      </c>
    </row>
    <row r="754" spans="2:63" ht="15.6" x14ac:dyDescent="0.3">
      <c r="B754" s="11" t="s">
        <v>217</v>
      </c>
      <c r="C754" s="40" t="s">
        <v>218</v>
      </c>
      <c r="D754" s="40"/>
      <c r="E754" s="40"/>
      <c r="F754" s="54"/>
      <c r="G754" s="49"/>
      <c r="H754" s="48" t="e">
        <f t="shared" si="38"/>
        <v>#DIV/0!</v>
      </c>
      <c r="I754" s="40"/>
      <c r="J754" s="40"/>
      <c r="K754" s="40"/>
      <c r="L754" s="4" t="e">
        <f t="shared" si="36"/>
        <v>#DIV/0!</v>
      </c>
      <c r="AU754" s="22" t="e">
        <f t="shared" si="37"/>
        <v>#DIV/0!</v>
      </c>
      <c r="AV754" s="11" t="s">
        <v>166</v>
      </c>
      <c r="AW754" s="31">
        <v>45.289757990361998</v>
      </c>
      <c r="AX754" s="31">
        <v>318.12226022347397</v>
      </c>
      <c r="BK754" s="25" t="s">
        <v>204</v>
      </c>
    </row>
    <row r="755" spans="2:63" ht="15.6" x14ac:dyDescent="0.3">
      <c r="B755" s="11" t="s">
        <v>220</v>
      </c>
      <c r="C755" s="40" t="s">
        <v>219</v>
      </c>
      <c r="D755" s="40"/>
      <c r="E755" s="40"/>
      <c r="F755" s="54"/>
      <c r="G755" s="49"/>
      <c r="H755" s="48" t="e">
        <f t="shared" si="38"/>
        <v>#DIV/0!</v>
      </c>
      <c r="I755" s="40"/>
      <c r="J755" s="40"/>
      <c r="K755" s="40"/>
      <c r="L755" s="4" t="e">
        <f t="shared" si="36"/>
        <v>#DIV/0!</v>
      </c>
      <c r="AU755" s="22" t="e">
        <f t="shared" si="37"/>
        <v>#DIV/0!</v>
      </c>
      <c r="AV755" s="11" t="s">
        <v>166</v>
      </c>
      <c r="AW755" s="31">
        <v>772.68058509570096</v>
      </c>
      <c r="AX755" s="31">
        <v>1.3878311583706399E-3</v>
      </c>
      <c r="BK755" s="25" t="s">
        <v>204</v>
      </c>
    </row>
    <row r="756" spans="2:63" ht="15.6" x14ac:dyDescent="0.3">
      <c r="B756" s="11" t="s">
        <v>220</v>
      </c>
      <c r="C756" s="40" t="s">
        <v>219</v>
      </c>
      <c r="D756" s="40"/>
      <c r="E756" s="40"/>
      <c r="F756" s="54"/>
      <c r="G756" s="49"/>
      <c r="H756" s="48" t="e">
        <f t="shared" si="38"/>
        <v>#DIV/0!</v>
      </c>
      <c r="I756" s="40"/>
      <c r="J756" s="40"/>
      <c r="K756" s="40"/>
      <c r="L756" s="4" t="e">
        <f t="shared" si="36"/>
        <v>#DIV/0!</v>
      </c>
      <c r="AU756" s="22" t="e">
        <f t="shared" si="37"/>
        <v>#DIV/0!</v>
      </c>
      <c r="AV756" s="11" t="s">
        <v>166</v>
      </c>
      <c r="AW756" s="31">
        <v>691.83097091893399</v>
      </c>
      <c r="AX756" s="31">
        <v>1.70600460067998E-3</v>
      </c>
      <c r="BK756" s="25" t="s">
        <v>204</v>
      </c>
    </row>
    <row r="757" spans="2:63" ht="15.6" x14ac:dyDescent="0.3">
      <c r="B757" s="11" t="s">
        <v>220</v>
      </c>
      <c r="C757" s="40" t="s">
        <v>219</v>
      </c>
      <c r="D757" s="40"/>
      <c r="E757" s="40"/>
      <c r="F757" s="54"/>
      <c r="G757" s="49"/>
      <c r="H757" s="48" t="e">
        <f t="shared" si="38"/>
        <v>#DIV/0!</v>
      </c>
      <c r="I757" s="40"/>
      <c r="J757" s="40"/>
      <c r="K757" s="40"/>
      <c r="L757" s="4" t="e">
        <f t="shared" si="36"/>
        <v>#DIV/0!</v>
      </c>
      <c r="AU757" s="22" t="e">
        <f t="shared" si="37"/>
        <v>#DIV/0!</v>
      </c>
      <c r="AV757" s="11" t="s">
        <v>166</v>
      </c>
      <c r="AW757" s="31">
        <v>744.731973905985</v>
      </c>
      <c r="AX757" s="31">
        <v>0.43407458272865401</v>
      </c>
      <c r="BK757" s="25" t="s">
        <v>204</v>
      </c>
    </row>
    <row r="758" spans="2:63" ht="15.6" x14ac:dyDescent="0.3">
      <c r="B758" s="11" t="s">
        <v>220</v>
      </c>
      <c r="C758" s="40" t="s">
        <v>219</v>
      </c>
      <c r="D758" s="40"/>
      <c r="E758" s="40"/>
      <c r="F758" s="54"/>
      <c r="G758" s="49"/>
      <c r="H758" s="48" t="e">
        <f t="shared" si="38"/>
        <v>#DIV/0!</v>
      </c>
      <c r="I758" s="40"/>
      <c r="J758" s="40"/>
      <c r="K758" s="40"/>
      <c r="L758" s="4" t="e">
        <f t="shared" si="36"/>
        <v>#DIV/0!</v>
      </c>
      <c r="AU758" s="22" t="e">
        <f t="shared" si="37"/>
        <v>#DIV/0!</v>
      </c>
      <c r="AV758" s="11" t="s">
        <v>166</v>
      </c>
      <c r="AW758" s="31">
        <v>177.01089583174101</v>
      </c>
      <c r="AX758" s="31">
        <v>9.5752145709113101</v>
      </c>
      <c r="BK758" s="25" t="s">
        <v>204</v>
      </c>
    </row>
    <row r="759" spans="2:63" ht="15.6" x14ac:dyDescent="0.3">
      <c r="B759" s="11" t="s">
        <v>220</v>
      </c>
      <c r="C759" s="40" t="s">
        <v>219</v>
      </c>
      <c r="D759" s="40"/>
      <c r="E759" s="40"/>
      <c r="F759" s="54"/>
      <c r="G759" s="49"/>
      <c r="H759" s="48" t="e">
        <f t="shared" si="38"/>
        <v>#DIV/0!</v>
      </c>
      <c r="I759" s="40"/>
      <c r="J759" s="40"/>
      <c r="K759" s="40"/>
      <c r="L759" s="4" t="e">
        <f t="shared" si="36"/>
        <v>#DIV/0!</v>
      </c>
      <c r="AU759" s="22" t="e">
        <f t="shared" si="37"/>
        <v>#DIV/0!</v>
      </c>
      <c r="AV759" s="11" t="s">
        <v>166</v>
      </c>
      <c r="AW759" s="31">
        <v>136.77288255958399</v>
      </c>
      <c r="AX759" s="31">
        <v>19.691428720920999</v>
      </c>
      <c r="BK759" s="25" t="s">
        <v>204</v>
      </c>
    </row>
    <row r="760" spans="2:63" ht="15.6" x14ac:dyDescent="0.3">
      <c r="B760" s="11" t="s">
        <v>220</v>
      </c>
      <c r="C760" s="40" t="s">
        <v>219</v>
      </c>
      <c r="D760" s="40"/>
      <c r="E760" s="40"/>
      <c r="F760" s="54"/>
      <c r="G760" s="49"/>
      <c r="H760" s="48" t="e">
        <f t="shared" si="38"/>
        <v>#DIV/0!</v>
      </c>
      <c r="I760" s="40"/>
      <c r="J760" s="40"/>
      <c r="K760" s="40"/>
      <c r="L760" s="4" t="e">
        <f t="shared" si="36"/>
        <v>#DIV/0!</v>
      </c>
      <c r="AU760" s="22" t="e">
        <f t="shared" si="37"/>
        <v>#DIV/0!</v>
      </c>
      <c r="AV760" s="11" t="s">
        <v>166</v>
      </c>
      <c r="AW760" s="31">
        <v>113.762728582343</v>
      </c>
      <c r="AX760" s="31">
        <v>34.691080104456098</v>
      </c>
      <c r="BK760" s="25" t="s">
        <v>204</v>
      </c>
    </row>
    <row r="761" spans="2:63" ht="15.6" x14ac:dyDescent="0.3">
      <c r="B761" s="11" t="s">
        <v>220</v>
      </c>
      <c r="C761" s="40" t="s">
        <v>219</v>
      </c>
      <c r="D761" s="40"/>
      <c r="E761" s="40"/>
      <c r="F761" s="54"/>
      <c r="G761" s="49"/>
      <c r="H761" s="48" t="e">
        <f t="shared" si="38"/>
        <v>#DIV/0!</v>
      </c>
      <c r="I761" s="40"/>
      <c r="J761" s="40"/>
      <c r="K761" s="40"/>
      <c r="L761" s="4" t="e">
        <f t="shared" si="36"/>
        <v>#DIV/0!</v>
      </c>
      <c r="AU761" s="22" t="e">
        <f t="shared" si="37"/>
        <v>#DIV/0!</v>
      </c>
      <c r="AV761" s="11" t="s">
        <v>166</v>
      </c>
      <c r="AW761" s="31">
        <v>109.647819614318</v>
      </c>
      <c r="AX761" s="31">
        <v>40.478808712300598</v>
      </c>
      <c r="BK761" s="25" t="s">
        <v>204</v>
      </c>
    </row>
    <row r="762" spans="2:63" ht="15.6" x14ac:dyDescent="0.3">
      <c r="B762" s="11" t="s">
        <v>220</v>
      </c>
      <c r="C762" s="40" t="s">
        <v>219</v>
      </c>
      <c r="D762" s="40"/>
      <c r="E762" s="40"/>
      <c r="F762" s="54"/>
      <c r="G762" s="49"/>
      <c r="H762" s="48" t="e">
        <f t="shared" si="38"/>
        <v>#DIV/0!</v>
      </c>
      <c r="I762" s="40"/>
      <c r="J762" s="40"/>
      <c r="K762" s="40"/>
      <c r="L762" s="4" t="e">
        <f t="shared" si="36"/>
        <v>#DIV/0!</v>
      </c>
      <c r="AU762" s="22" t="e">
        <f t="shared" si="37"/>
        <v>#DIV/0!</v>
      </c>
      <c r="AV762" s="11" t="s">
        <v>166</v>
      </c>
      <c r="AW762" s="31">
        <v>105.68175092136499</v>
      </c>
      <c r="AX762" s="31">
        <v>44.870447003871902</v>
      </c>
      <c r="BK762" s="25" t="s">
        <v>204</v>
      </c>
    </row>
    <row r="763" spans="2:63" ht="15.6" x14ac:dyDescent="0.3">
      <c r="B763" s="11" t="s">
        <v>220</v>
      </c>
      <c r="C763" s="40" t="s">
        <v>219</v>
      </c>
      <c r="D763" s="40"/>
      <c r="E763" s="40"/>
      <c r="F763" s="54"/>
      <c r="G763" s="49"/>
      <c r="H763" s="48" t="e">
        <f t="shared" si="38"/>
        <v>#DIV/0!</v>
      </c>
      <c r="I763" s="40"/>
      <c r="J763" s="40"/>
      <c r="K763" s="40"/>
      <c r="L763" s="4" t="e">
        <f t="shared" si="36"/>
        <v>#DIV/0!</v>
      </c>
      <c r="AU763" s="22" t="e">
        <f t="shared" si="37"/>
        <v>#DIV/0!</v>
      </c>
      <c r="AV763" s="11" t="s">
        <v>166</v>
      </c>
      <c r="AW763" s="31">
        <v>91.201083935590702</v>
      </c>
      <c r="AX763" s="31">
        <v>44.944159936852699</v>
      </c>
      <c r="BK763" s="25" t="s">
        <v>204</v>
      </c>
    </row>
    <row r="764" spans="2:63" ht="15.6" x14ac:dyDescent="0.3">
      <c r="B764" s="11" t="s">
        <v>220</v>
      </c>
      <c r="C764" s="40" t="s">
        <v>219</v>
      </c>
      <c r="D764" s="40"/>
      <c r="E764" s="40"/>
      <c r="F764" s="54"/>
      <c r="G764" s="49"/>
      <c r="H764" s="48" t="e">
        <f t="shared" si="38"/>
        <v>#DIV/0!</v>
      </c>
      <c r="I764" s="40"/>
      <c r="J764" s="40"/>
      <c r="K764" s="40"/>
      <c r="L764" s="4" t="e">
        <f t="shared" si="36"/>
        <v>#DIV/0!</v>
      </c>
      <c r="AU764" s="22" t="e">
        <f t="shared" si="37"/>
        <v>#DIV/0!</v>
      </c>
      <c r="AV764" s="11" t="s">
        <v>166</v>
      </c>
      <c r="AW764" s="31">
        <v>87.902251683088295</v>
      </c>
      <c r="AX764" s="31">
        <v>28.337167393186501</v>
      </c>
      <c r="BK764" s="25" t="s">
        <v>204</v>
      </c>
    </row>
    <row r="765" spans="2:63" ht="15.6" x14ac:dyDescent="0.3">
      <c r="B765" s="11" t="s">
        <v>220</v>
      </c>
      <c r="C765" s="40" t="s">
        <v>219</v>
      </c>
      <c r="D765" s="40"/>
      <c r="E765" s="40"/>
      <c r="F765" s="54"/>
      <c r="G765" s="49"/>
      <c r="H765" s="48" t="e">
        <f t="shared" si="38"/>
        <v>#DIV/0!</v>
      </c>
      <c r="I765" s="40"/>
      <c r="J765" s="40"/>
      <c r="K765" s="40"/>
      <c r="L765" s="4" t="e">
        <f t="shared" si="36"/>
        <v>#DIV/0!</v>
      </c>
      <c r="AU765" s="22" t="e">
        <f t="shared" si="37"/>
        <v>#DIV/0!</v>
      </c>
      <c r="AV765" s="11" t="s">
        <v>166</v>
      </c>
      <c r="AW765" s="31">
        <v>65.463617406727494</v>
      </c>
      <c r="AX765" s="31">
        <v>42.854852039744003</v>
      </c>
      <c r="BK765" s="25" t="s">
        <v>204</v>
      </c>
    </row>
    <row r="766" spans="2:63" ht="15.6" x14ac:dyDescent="0.3">
      <c r="B766" s="11" t="s">
        <v>220</v>
      </c>
      <c r="C766" s="40" t="s">
        <v>219</v>
      </c>
      <c r="D766" s="40"/>
      <c r="E766" s="40"/>
      <c r="F766" s="54"/>
      <c r="G766" s="49"/>
      <c r="H766" s="48" t="e">
        <f t="shared" si="38"/>
        <v>#DIV/0!</v>
      </c>
      <c r="I766" s="40"/>
      <c r="J766" s="40"/>
      <c r="K766" s="40"/>
      <c r="L766" s="4" t="e">
        <f t="shared" si="36"/>
        <v>#DIV/0!</v>
      </c>
      <c r="AU766" s="22" t="e">
        <f t="shared" si="37"/>
        <v>#DIV/0!</v>
      </c>
      <c r="AV766" s="11" t="s">
        <v>166</v>
      </c>
      <c r="AW766" s="31">
        <v>46.989410860521502</v>
      </c>
      <c r="AX766" s="31">
        <v>43.013418582193097</v>
      </c>
      <c r="BK766" s="25" t="s">
        <v>204</v>
      </c>
    </row>
    <row r="767" spans="2:63" ht="15.6" x14ac:dyDescent="0.3">
      <c r="B767" s="11" t="s">
        <v>220</v>
      </c>
      <c r="C767" s="40" t="s">
        <v>219</v>
      </c>
      <c r="D767" s="40"/>
      <c r="E767" s="40"/>
      <c r="F767" s="54"/>
      <c r="G767" s="49"/>
      <c r="H767" s="48" t="e">
        <f t="shared" si="38"/>
        <v>#DIV/0!</v>
      </c>
      <c r="I767" s="40"/>
      <c r="J767" s="40"/>
      <c r="K767" s="40"/>
      <c r="L767" s="4" t="e">
        <f t="shared" si="36"/>
        <v>#DIV/0!</v>
      </c>
      <c r="AU767" s="22" t="e">
        <f t="shared" si="37"/>
        <v>#DIV/0!</v>
      </c>
      <c r="AV767" s="11" t="s">
        <v>166</v>
      </c>
      <c r="AW767" s="31">
        <v>37.670379898390699</v>
      </c>
      <c r="AX767" s="31">
        <v>31.6963972326114</v>
      </c>
      <c r="BK767" s="25" t="s">
        <v>204</v>
      </c>
    </row>
    <row r="768" spans="2:63" ht="15.6" x14ac:dyDescent="0.3">
      <c r="B768" s="11" t="s">
        <v>220</v>
      </c>
      <c r="C768" s="40" t="s">
        <v>219</v>
      </c>
      <c r="D768" s="40"/>
      <c r="E768" s="40"/>
      <c r="F768" s="54"/>
      <c r="G768" s="49"/>
      <c r="H768" s="48" t="e">
        <f t="shared" si="38"/>
        <v>#DIV/0!</v>
      </c>
      <c r="I768" s="40"/>
      <c r="J768" s="40"/>
      <c r="K768" s="40"/>
      <c r="L768" s="4" t="e">
        <f t="shared" si="36"/>
        <v>#DIV/0!</v>
      </c>
      <c r="AU768" s="22" t="e">
        <f t="shared" si="37"/>
        <v>#DIV/0!</v>
      </c>
      <c r="AV768" s="11" t="s">
        <v>166</v>
      </c>
      <c r="AW768" s="31">
        <v>31.3328572431558</v>
      </c>
      <c r="AX768" s="31">
        <v>25.869740910305499</v>
      </c>
      <c r="BK768" s="25" t="s">
        <v>204</v>
      </c>
    </row>
    <row r="769" spans="2:63" ht="15.6" x14ac:dyDescent="0.3">
      <c r="B769" s="11" t="s">
        <v>221</v>
      </c>
      <c r="C769" s="40" t="s">
        <v>202</v>
      </c>
      <c r="D769" s="40"/>
      <c r="E769" s="40"/>
      <c r="F769" s="54"/>
      <c r="G769" s="49"/>
      <c r="H769" s="48" t="e">
        <f t="shared" si="38"/>
        <v>#DIV/0!</v>
      </c>
      <c r="I769" s="40"/>
      <c r="J769" s="40"/>
      <c r="K769" s="40"/>
      <c r="L769" s="4" t="e">
        <f t="shared" si="36"/>
        <v>#DIV/0!</v>
      </c>
      <c r="AI769" s="11" t="s">
        <v>223</v>
      </c>
      <c r="AJ769" s="28">
        <v>50.970653260244298</v>
      </c>
      <c r="AK769" s="28">
        <v>14.654895666131599</v>
      </c>
      <c r="AL769" s="11" t="s">
        <v>222</v>
      </c>
      <c r="AM769" s="27">
        <v>307.21873653301998</v>
      </c>
      <c r="AN769" s="27">
        <v>14.8006158995815</v>
      </c>
      <c r="AO769" s="11" t="s">
        <v>224</v>
      </c>
      <c r="AP769" s="29">
        <v>37.096774193548299</v>
      </c>
      <c r="AQ769" s="29">
        <v>36.4203797235023</v>
      </c>
      <c r="AU769" s="22" t="e">
        <f t="shared" si="37"/>
        <v>#DIV/0!</v>
      </c>
      <c r="AV769" s="11"/>
      <c r="AW769" s="45"/>
      <c r="AX769" s="45"/>
      <c r="BK769" s="25" t="s">
        <v>225</v>
      </c>
    </row>
    <row r="770" spans="2:63" ht="15.6" x14ac:dyDescent="0.3">
      <c r="B770" s="11" t="s">
        <v>221</v>
      </c>
      <c r="C770" s="40" t="s">
        <v>202</v>
      </c>
      <c r="D770" s="40"/>
      <c r="E770" s="40"/>
      <c r="F770" s="54"/>
      <c r="G770" s="49"/>
      <c r="H770" s="48" t="e">
        <f t="shared" si="38"/>
        <v>#DIV/0!</v>
      </c>
      <c r="I770" s="40"/>
      <c r="J770" s="40"/>
      <c r="K770" s="40"/>
      <c r="L770" s="4" t="e">
        <f t="shared" si="36"/>
        <v>#DIV/0!</v>
      </c>
      <c r="AI770" s="11" t="s">
        <v>223</v>
      </c>
      <c r="AJ770" s="28">
        <v>145.286047427238</v>
      </c>
      <c r="AK770" s="28">
        <v>14.9630818619582</v>
      </c>
      <c r="AL770" s="11" t="s">
        <v>222</v>
      </c>
      <c r="AM770" s="27">
        <v>69.678089507240301</v>
      </c>
      <c r="AN770" s="27">
        <v>15.1007464435146</v>
      </c>
      <c r="AO770" s="11" t="s">
        <v>224</v>
      </c>
      <c r="AP770" s="29">
        <v>37.096774193548299</v>
      </c>
      <c r="AQ770" s="29">
        <v>34.116379723502298</v>
      </c>
      <c r="AU770" s="22" t="e">
        <f t="shared" si="37"/>
        <v>#DIV/0!</v>
      </c>
      <c r="AV770" s="11"/>
      <c r="AW770" s="45"/>
      <c r="AX770" s="45"/>
      <c r="BK770" s="25" t="s">
        <v>225</v>
      </c>
    </row>
    <row r="771" spans="2:63" ht="15.6" x14ac:dyDescent="0.3">
      <c r="B771" s="11" t="s">
        <v>221</v>
      </c>
      <c r="C771" s="40" t="s">
        <v>202</v>
      </c>
      <c r="D771" s="40"/>
      <c r="E771" s="40"/>
      <c r="F771" s="54"/>
      <c r="G771" s="49"/>
      <c r="H771" s="48" t="e">
        <f t="shared" si="38"/>
        <v>#DIV/0!</v>
      </c>
      <c r="I771" s="40"/>
      <c r="J771" s="40"/>
      <c r="K771" s="40"/>
      <c r="L771" s="4" t="e">
        <f t="shared" si="36"/>
        <v>#DIV/0!</v>
      </c>
      <c r="AI771" s="11" t="s">
        <v>223</v>
      </c>
      <c r="AJ771" s="28">
        <v>196.205215179139</v>
      </c>
      <c r="AK771" s="28">
        <v>15.2712680577849</v>
      </c>
      <c r="AL771" s="11" t="s">
        <v>222</v>
      </c>
      <c r="AM771" s="27">
        <v>28.996334174830601</v>
      </c>
      <c r="AN771" s="27">
        <v>15.3269690376569</v>
      </c>
      <c r="AO771" s="11" t="s">
        <v>224</v>
      </c>
      <c r="AP771" s="29">
        <v>69.354838709677296</v>
      </c>
      <c r="AQ771" s="29">
        <v>33.460040552995302</v>
      </c>
      <c r="AU771" s="22" t="e">
        <f t="shared" si="37"/>
        <v>#DIV/0!</v>
      </c>
      <c r="AV771" s="11"/>
      <c r="AW771" s="45"/>
      <c r="AX771" s="45"/>
      <c r="BK771" s="25" t="s">
        <v>225</v>
      </c>
    </row>
    <row r="772" spans="2:63" ht="15.6" x14ac:dyDescent="0.3">
      <c r="B772" s="11" t="s">
        <v>221</v>
      </c>
      <c r="C772" s="40" t="s">
        <v>202</v>
      </c>
      <c r="D772" s="40"/>
      <c r="E772" s="40"/>
      <c r="F772" s="54"/>
      <c r="G772" s="49"/>
      <c r="H772" s="48" t="e">
        <f t="shared" si="38"/>
        <v>#DIV/0!</v>
      </c>
      <c r="I772" s="40"/>
      <c r="J772" s="40"/>
      <c r="K772" s="40"/>
      <c r="L772" s="4" t="e">
        <f t="shared" si="36"/>
        <v>#DIV/0!</v>
      </c>
      <c r="AI772" s="11" t="s">
        <v>223</v>
      </c>
      <c r="AJ772" s="28">
        <v>271.65571337714601</v>
      </c>
      <c r="AK772" s="28">
        <v>15.540930979133201</v>
      </c>
      <c r="AL772" s="11" t="s">
        <v>222</v>
      </c>
      <c r="AM772" s="27">
        <v>12.4805668148629</v>
      </c>
      <c r="AN772" s="27">
        <v>15.630152301255199</v>
      </c>
      <c r="AO772" s="11" t="s">
        <v>224</v>
      </c>
      <c r="AP772" s="29">
        <v>82.258064516128997</v>
      </c>
      <c r="AQ772" s="29">
        <v>29.810624884792599</v>
      </c>
      <c r="AU772" s="22" t="e">
        <f t="shared" si="37"/>
        <v>#DIV/0!</v>
      </c>
      <c r="AV772" s="11"/>
      <c r="AW772" s="45"/>
      <c r="AX772" s="45"/>
      <c r="BK772" s="25" t="s">
        <v>225</v>
      </c>
    </row>
    <row r="773" spans="2:63" ht="15.6" x14ac:dyDescent="0.3">
      <c r="B773" s="11" t="s">
        <v>221</v>
      </c>
      <c r="C773" s="40" t="s">
        <v>202</v>
      </c>
      <c r="D773" s="40"/>
      <c r="E773" s="40"/>
      <c r="F773" s="54"/>
      <c r="G773" s="49"/>
      <c r="H773" s="48" t="e">
        <f t="shared" si="38"/>
        <v>#DIV/0!</v>
      </c>
      <c r="I773" s="40"/>
      <c r="J773" s="40"/>
      <c r="K773" s="40"/>
      <c r="L773" s="4" t="e">
        <f t="shared" ref="L773:L836" si="39">J773/K773</f>
        <v>#DIV/0!</v>
      </c>
      <c r="AI773" s="11" t="s">
        <v>223</v>
      </c>
      <c r="AJ773" s="28">
        <v>337.68436354826002</v>
      </c>
      <c r="AK773" s="28">
        <v>15.6565008025682</v>
      </c>
      <c r="AL773" s="11" t="s">
        <v>222</v>
      </c>
      <c r="AM773" s="27">
        <v>6.3583917265868797</v>
      </c>
      <c r="AN773" s="27">
        <v>15.818938912133801</v>
      </c>
      <c r="AO773" s="11" t="s">
        <v>224</v>
      </c>
      <c r="AP773" s="29">
        <v>80.645161290322505</v>
      </c>
      <c r="AQ773" s="29">
        <v>28.0444018433179</v>
      </c>
      <c r="AU773" s="22" t="e">
        <f t="shared" si="37"/>
        <v>#DIV/0!</v>
      </c>
      <c r="AV773" s="11"/>
      <c r="AW773" s="45"/>
      <c r="AX773" s="45"/>
      <c r="BK773" s="25" t="s">
        <v>225</v>
      </c>
    </row>
    <row r="774" spans="2:63" ht="15.6" x14ac:dyDescent="0.3">
      <c r="B774" s="11" t="s">
        <v>221</v>
      </c>
      <c r="C774" s="40" t="s">
        <v>202</v>
      </c>
      <c r="D774" s="40"/>
      <c r="E774" s="40"/>
      <c r="F774" s="54"/>
      <c r="G774" s="49"/>
      <c r="H774" s="48" t="e">
        <f t="shared" si="38"/>
        <v>#DIV/0!</v>
      </c>
      <c r="I774" s="40"/>
      <c r="J774" s="40"/>
      <c r="K774" s="40"/>
      <c r="L774" s="4" t="e">
        <f t="shared" si="39"/>
        <v>#DIV/0!</v>
      </c>
      <c r="AI774" s="11" t="s">
        <v>223</v>
      </c>
      <c r="AJ774" s="28">
        <v>416.90541809261299</v>
      </c>
      <c r="AK774" s="28">
        <v>15.9646869983948</v>
      </c>
      <c r="AL774" s="11" t="s">
        <v>222</v>
      </c>
      <c r="AM774" s="27">
        <v>2.0204091680156999</v>
      </c>
      <c r="AN774" s="27">
        <v>16.0822761506276</v>
      </c>
      <c r="AO774" s="11" t="s">
        <v>224</v>
      </c>
      <c r="AP774" s="29">
        <v>79.838709677419303</v>
      </c>
      <c r="AQ774" s="29">
        <v>25.087690322580599</v>
      </c>
      <c r="AU774" s="22" t="e">
        <f t="shared" si="37"/>
        <v>#DIV/0!</v>
      </c>
      <c r="AV774" s="11"/>
      <c r="AW774" s="45"/>
      <c r="AX774" s="45"/>
      <c r="BK774" s="25" t="s">
        <v>225</v>
      </c>
    </row>
    <row r="775" spans="2:63" ht="15.6" x14ac:dyDescent="0.3">
      <c r="B775" s="11" t="s">
        <v>221</v>
      </c>
      <c r="C775" s="40" t="s">
        <v>202</v>
      </c>
      <c r="D775" s="40"/>
      <c r="E775" s="40"/>
      <c r="F775" s="54"/>
      <c r="G775" s="49"/>
      <c r="H775" s="48" t="e">
        <f t="shared" si="38"/>
        <v>#DIV/0!</v>
      </c>
      <c r="I775" s="40"/>
      <c r="J775" s="40"/>
      <c r="K775" s="40"/>
      <c r="L775" s="4" t="e">
        <f t="shared" si="39"/>
        <v>#DIV/0!</v>
      </c>
      <c r="AI775" s="11" t="s">
        <v>223</v>
      </c>
      <c r="AJ775" s="28">
        <v>501.741421605742</v>
      </c>
      <c r="AK775" s="28">
        <v>16.8507223113964</v>
      </c>
      <c r="AL775" s="11" t="s">
        <v>222</v>
      </c>
      <c r="AM775" s="27">
        <v>1.0646249815314399</v>
      </c>
      <c r="AN775" s="27">
        <v>16.9624234309623</v>
      </c>
      <c r="AO775" s="11" t="s">
        <v>224</v>
      </c>
      <c r="AP775" s="29">
        <v>112.096774193548</v>
      </c>
      <c r="AQ775" s="29">
        <v>24.508151152073701</v>
      </c>
      <c r="AU775" s="22" t="e">
        <f t="shared" si="37"/>
        <v>#DIV/0!</v>
      </c>
      <c r="AV775" s="11"/>
      <c r="AW775" s="45"/>
      <c r="AX775" s="45"/>
      <c r="BK775" s="25" t="s">
        <v>225</v>
      </c>
    </row>
    <row r="776" spans="2:63" ht="15.6" x14ac:dyDescent="0.3">
      <c r="B776" s="11" t="s">
        <v>221</v>
      </c>
      <c r="C776" s="40" t="s">
        <v>202</v>
      </c>
      <c r="D776" s="40"/>
      <c r="E776" s="40"/>
      <c r="F776" s="54"/>
      <c r="G776" s="49"/>
      <c r="H776" s="48" t="e">
        <f t="shared" si="38"/>
        <v>#DIV/0!</v>
      </c>
      <c r="I776" s="40"/>
      <c r="J776" s="40"/>
      <c r="K776" s="40"/>
      <c r="L776" s="4" t="e">
        <f t="shared" si="39"/>
        <v>#DIV/0!</v>
      </c>
      <c r="AI776" s="11" t="s">
        <v>223</v>
      </c>
      <c r="AJ776" s="28">
        <v>554.47772494624303</v>
      </c>
      <c r="AK776" s="28">
        <v>18.044943820224699</v>
      </c>
      <c r="AL776" s="11" t="s">
        <v>222</v>
      </c>
      <c r="AM776" s="27">
        <v>0.32707274170758199</v>
      </c>
      <c r="AN776" s="27">
        <v>18.108799999999999</v>
      </c>
      <c r="AO776" s="11" t="s">
        <v>224</v>
      </c>
      <c r="AP776" s="29">
        <v>123.387096774193</v>
      </c>
      <c r="AQ776" s="29">
        <v>24.314912442396299</v>
      </c>
      <c r="AU776" s="22" t="e">
        <f t="shared" si="37"/>
        <v>#DIV/0!</v>
      </c>
      <c r="AV776" s="11"/>
      <c r="AW776" s="45"/>
      <c r="AX776" s="45"/>
      <c r="BK776" s="25" t="s">
        <v>225</v>
      </c>
    </row>
    <row r="777" spans="2:63" ht="15.6" x14ac:dyDescent="0.3">
      <c r="B777" s="11" t="s">
        <v>221</v>
      </c>
      <c r="C777" s="40" t="s">
        <v>202</v>
      </c>
      <c r="D777" s="40"/>
      <c r="E777" s="40"/>
      <c r="F777" s="54"/>
      <c r="G777" s="49"/>
      <c r="H777" s="48" t="e">
        <f t="shared" si="38"/>
        <v>#DIV/0!</v>
      </c>
      <c r="I777" s="40"/>
      <c r="J777" s="40"/>
      <c r="K777" s="40"/>
      <c r="L777" s="4" t="e">
        <f t="shared" si="39"/>
        <v>#DIV/0!</v>
      </c>
      <c r="AI777" s="11" t="s">
        <v>223</v>
      </c>
      <c r="AJ777" s="28">
        <v>616.67524758472302</v>
      </c>
      <c r="AK777" s="28">
        <v>18.892455858747901</v>
      </c>
      <c r="AL777" s="11" t="s">
        <v>222</v>
      </c>
      <c r="AM777" s="27">
        <v>0.15059975584607599</v>
      </c>
      <c r="AN777" s="27">
        <v>18.949904602510401</v>
      </c>
      <c r="AO777" s="11" t="s">
        <v>224</v>
      </c>
      <c r="AP777" s="29">
        <v>287.90322580645102</v>
      </c>
      <c r="AQ777" s="29">
        <v>22.645662672811</v>
      </c>
      <c r="AU777" s="22" t="e">
        <f t="shared" si="37"/>
        <v>#DIV/0!</v>
      </c>
      <c r="BK777" s="25" t="s">
        <v>225</v>
      </c>
    </row>
    <row r="778" spans="2:63" ht="15.6" x14ac:dyDescent="0.3">
      <c r="B778" s="11" t="s">
        <v>221</v>
      </c>
      <c r="C778" s="40" t="s">
        <v>202</v>
      </c>
      <c r="D778" s="40"/>
      <c r="E778" s="40"/>
      <c r="F778" s="54"/>
      <c r="G778" s="49"/>
      <c r="H778" s="48" t="e">
        <f t="shared" si="38"/>
        <v>#DIV/0!</v>
      </c>
      <c r="I778" s="40"/>
      <c r="J778" s="40"/>
      <c r="K778" s="40"/>
      <c r="L778" s="4" t="e">
        <f t="shared" si="39"/>
        <v>#DIV/0!</v>
      </c>
      <c r="AI778" s="11" t="s">
        <v>223</v>
      </c>
      <c r="AJ778" s="28">
        <v>644.88022047911704</v>
      </c>
      <c r="AK778" s="28">
        <v>20.125200642054502</v>
      </c>
      <c r="AL778" s="11" t="s">
        <v>222</v>
      </c>
      <c r="AM778" s="27">
        <v>5.4763818678216503E-2</v>
      </c>
      <c r="AN778" s="27">
        <v>20.173884518828402</v>
      </c>
      <c r="AO778" s="11" t="s">
        <v>224</v>
      </c>
      <c r="AP778" s="29">
        <v>323.38709677419303</v>
      </c>
      <c r="AQ778" s="29">
        <v>21.7969695852534</v>
      </c>
      <c r="AU778" s="22" t="e">
        <f t="shared" si="37"/>
        <v>#DIV/0!</v>
      </c>
      <c r="BK778" s="25" t="s">
        <v>225</v>
      </c>
    </row>
    <row r="779" spans="2:63" ht="15.6" x14ac:dyDescent="0.3">
      <c r="B779" s="11" t="s">
        <v>221</v>
      </c>
      <c r="C779" s="40" t="s">
        <v>202</v>
      </c>
      <c r="D779" s="40"/>
      <c r="E779" s="40"/>
      <c r="F779" s="54"/>
      <c r="G779" s="49"/>
      <c r="H779" s="48" t="e">
        <f t="shared" si="38"/>
        <v>#DIV/0!</v>
      </c>
      <c r="I779" s="40"/>
      <c r="J779" s="40"/>
      <c r="K779" s="40"/>
      <c r="L779" s="4" t="e">
        <f t="shared" si="39"/>
        <v>#DIV/0!</v>
      </c>
      <c r="AI779" s="11" t="s">
        <v>223</v>
      </c>
      <c r="AJ779" s="28">
        <v>678.760713528574</v>
      </c>
      <c r="AK779" s="28">
        <v>21.165329052969501</v>
      </c>
      <c r="AL779" s="11" t="s">
        <v>222</v>
      </c>
      <c r="AM779" s="27">
        <v>2.3571376089457401E-2</v>
      </c>
      <c r="AN779" s="27">
        <v>21.1298677824267</v>
      </c>
      <c r="AO779" s="11" t="s">
        <v>224</v>
      </c>
      <c r="AP779" s="29">
        <v>282.25806451612902</v>
      </c>
      <c r="AQ779" s="29">
        <v>21.110282027649699</v>
      </c>
      <c r="AU779" s="22" t="e">
        <f t="shared" si="37"/>
        <v>#DIV/0!</v>
      </c>
      <c r="BK779" s="25" t="s">
        <v>225</v>
      </c>
    </row>
    <row r="780" spans="2:63" ht="15.6" x14ac:dyDescent="0.3">
      <c r="B780" s="11" t="s">
        <v>221</v>
      </c>
      <c r="C780" s="40" t="s">
        <v>202</v>
      </c>
      <c r="D780" s="40"/>
      <c r="E780" s="40"/>
      <c r="F780" s="54"/>
      <c r="G780" s="49"/>
      <c r="H780" s="48" t="e">
        <f t="shared" si="38"/>
        <v>#DIV/0!</v>
      </c>
      <c r="I780" s="40"/>
      <c r="J780" s="40"/>
      <c r="K780" s="40"/>
      <c r="L780" s="4" t="e">
        <f t="shared" si="39"/>
        <v>#DIV/0!</v>
      </c>
      <c r="AI780" s="11" t="s">
        <v>223</v>
      </c>
      <c r="AJ780" s="28">
        <v>699.46394500136296</v>
      </c>
      <c r="AK780" s="28">
        <v>21.820224719101098</v>
      </c>
      <c r="AL780" s="11" t="s">
        <v>222</v>
      </c>
      <c r="AM780" s="27">
        <v>1.2846552938231301E-2</v>
      </c>
      <c r="AN780" s="27">
        <v>21.8949757322175</v>
      </c>
      <c r="AO780" s="11" t="s">
        <v>224</v>
      </c>
      <c r="AP780" s="29">
        <v>224.193548387096</v>
      </c>
      <c r="AQ780" s="29">
        <v>20.0414525345622</v>
      </c>
      <c r="AU780" s="22" t="e">
        <f t="shared" si="37"/>
        <v>#DIV/0!</v>
      </c>
      <c r="BK780" s="25" t="s">
        <v>225</v>
      </c>
    </row>
    <row r="781" spans="2:63" ht="15.6" x14ac:dyDescent="0.3">
      <c r="B781" s="11" t="s">
        <v>221</v>
      </c>
      <c r="C781" s="40" t="s">
        <v>202</v>
      </c>
      <c r="D781" s="40"/>
      <c r="E781" s="40"/>
      <c r="F781" s="54"/>
      <c r="G781" s="49"/>
      <c r="H781" s="48" t="e">
        <f t="shared" si="38"/>
        <v>#DIV/0!</v>
      </c>
      <c r="I781" s="40"/>
      <c r="J781" s="40"/>
      <c r="K781" s="40"/>
      <c r="L781" s="4" t="e">
        <f t="shared" si="39"/>
        <v>#DIV/0!</v>
      </c>
      <c r="AI781" s="11" t="s">
        <v>223</v>
      </c>
      <c r="AJ781" s="28">
        <v>716.37239165329004</v>
      </c>
      <c r="AK781" s="28">
        <v>22.744783306580999</v>
      </c>
      <c r="AL781" s="11" t="s">
        <v>222</v>
      </c>
      <c r="AM781" s="27">
        <v>6.5448482532327497E-3</v>
      </c>
      <c r="AN781" s="27">
        <v>22.774962343096199</v>
      </c>
      <c r="AO781" s="11" t="s">
        <v>224</v>
      </c>
      <c r="AP781" s="29">
        <v>126.61290322580599</v>
      </c>
      <c r="AQ781" s="29">
        <v>18.823358525345601</v>
      </c>
      <c r="AU781" s="22" t="e">
        <f t="shared" ref="AU781:AU844" si="40">(AS781*AT781)/(AG781)</f>
        <v>#DIV/0!</v>
      </c>
      <c r="BK781" s="25" t="s">
        <v>225</v>
      </c>
    </row>
    <row r="782" spans="2:63" ht="15.6" x14ac:dyDescent="0.3">
      <c r="B782" s="11" t="s">
        <v>221</v>
      </c>
      <c r="C782" s="40" t="s">
        <v>202</v>
      </c>
      <c r="D782" s="40"/>
      <c r="E782" s="40"/>
      <c r="F782" s="54"/>
      <c r="G782" s="49"/>
      <c r="H782" s="48" t="e">
        <f t="shared" si="38"/>
        <v>#DIV/0!</v>
      </c>
      <c r="I782" s="40"/>
      <c r="J782" s="40"/>
      <c r="K782" s="40"/>
      <c r="L782" s="4" t="e">
        <f t="shared" si="39"/>
        <v>#DIV/0!</v>
      </c>
      <c r="AI782" s="11" t="s">
        <v>223</v>
      </c>
      <c r="AJ782" s="28">
        <v>725.688240104182</v>
      </c>
      <c r="AK782" s="28">
        <v>24.247191011235898</v>
      </c>
      <c r="AL782" s="11" t="s">
        <v>222</v>
      </c>
      <c r="AM782" s="27">
        <v>1.81724811038936E-3</v>
      </c>
      <c r="AN782" s="27">
        <v>24.3048569037656</v>
      </c>
      <c r="AO782" s="11" t="s">
        <v>224</v>
      </c>
      <c r="AP782" s="29">
        <v>79.838709677419402</v>
      </c>
      <c r="AQ782" s="29">
        <v>18.022090322580599</v>
      </c>
      <c r="AU782" s="22" t="e">
        <f t="shared" si="40"/>
        <v>#DIV/0!</v>
      </c>
      <c r="BK782" s="25" t="s">
        <v>225</v>
      </c>
    </row>
    <row r="783" spans="2:63" ht="15.6" x14ac:dyDescent="0.3">
      <c r="B783" s="11" t="s">
        <v>221</v>
      </c>
      <c r="C783" s="40" t="s">
        <v>202</v>
      </c>
      <c r="D783" s="40"/>
      <c r="E783" s="40"/>
      <c r="F783" s="54"/>
      <c r="G783" s="49"/>
      <c r="H783" s="48" t="e">
        <f t="shared" si="38"/>
        <v>#DIV/0!</v>
      </c>
      <c r="I783" s="40"/>
      <c r="J783" s="40"/>
      <c r="K783" s="40"/>
      <c r="L783" s="4" t="e">
        <f t="shared" si="39"/>
        <v>#DIV/0!</v>
      </c>
      <c r="AI783" s="11" t="s">
        <v>223</v>
      </c>
      <c r="AJ783" s="28">
        <v>733.20815288167398</v>
      </c>
      <c r="AK783" s="28">
        <v>24.593900481540899</v>
      </c>
      <c r="AL783" s="11" t="s">
        <v>222</v>
      </c>
      <c r="AM783" s="27">
        <v>1.4351713818101801E-3</v>
      </c>
      <c r="AN783" s="27">
        <v>24.6493322175732</v>
      </c>
      <c r="AO783" s="11" t="s">
        <v>224</v>
      </c>
      <c r="AP783" s="29">
        <v>41.935483870967602</v>
      </c>
      <c r="AQ783" s="29">
        <v>16.835848847926201</v>
      </c>
      <c r="AU783" s="22" t="e">
        <f t="shared" si="40"/>
        <v>#DIV/0!</v>
      </c>
      <c r="BK783" s="25" t="s">
        <v>225</v>
      </c>
    </row>
    <row r="784" spans="2:63" ht="15.6" x14ac:dyDescent="0.3">
      <c r="B784" s="11" t="s">
        <v>221</v>
      </c>
      <c r="C784" s="40" t="s">
        <v>202</v>
      </c>
      <c r="D784" s="40"/>
      <c r="E784" s="40"/>
      <c r="F784" s="54"/>
      <c r="G784" s="49"/>
      <c r="H784" s="48" t="e">
        <f t="shared" si="38"/>
        <v>#DIV/0!</v>
      </c>
      <c r="I784" s="40"/>
      <c r="J784" s="40"/>
      <c r="K784" s="40"/>
      <c r="L784" s="4" t="e">
        <f t="shared" si="39"/>
        <v>#DIV/0!</v>
      </c>
      <c r="AI784" s="11" t="s">
        <v>223</v>
      </c>
      <c r="AJ784" s="28">
        <v>746.37935733971301</v>
      </c>
      <c r="AK784" s="28">
        <v>25.056179775280899</v>
      </c>
      <c r="AL784" s="11" t="s">
        <v>222</v>
      </c>
      <c r="AM784" s="27">
        <v>9.5757224159769699E-4</v>
      </c>
      <c r="AN784" s="27">
        <v>25.146604184100401</v>
      </c>
      <c r="AO784" s="11" t="s">
        <v>224</v>
      </c>
      <c r="AP784" s="29">
        <v>10.483870967741799</v>
      </c>
      <c r="AQ784" s="29">
        <v>15.9944995391705</v>
      </c>
      <c r="AU784" s="22" t="e">
        <f t="shared" si="40"/>
        <v>#DIV/0!</v>
      </c>
      <c r="BK784" s="25" t="s">
        <v>225</v>
      </c>
    </row>
    <row r="785" spans="2:63" ht="15.6" x14ac:dyDescent="0.3">
      <c r="B785" s="11" t="s">
        <v>221</v>
      </c>
      <c r="C785" s="40" t="s">
        <v>202</v>
      </c>
      <c r="D785" s="40"/>
      <c r="E785" s="40"/>
      <c r="F785" s="54"/>
      <c r="G785" s="49"/>
      <c r="H785" s="48" t="e">
        <f t="shared" si="38"/>
        <v>#DIV/0!</v>
      </c>
      <c r="I785" s="40"/>
      <c r="J785" s="40"/>
      <c r="K785" s="40"/>
      <c r="L785" s="4" t="e">
        <f t="shared" si="39"/>
        <v>#DIV/0!</v>
      </c>
      <c r="AI785" s="11" t="s">
        <v>223</v>
      </c>
      <c r="AJ785" s="28">
        <v>757.46691298948997</v>
      </c>
      <c r="AK785" s="28">
        <v>28.022471910112301</v>
      </c>
      <c r="AL785" s="11" t="s">
        <v>222</v>
      </c>
      <c r="AM785" s="27">
        <v>8.0900236422601097E-4</v>
      </c>
      <c r="AN785" s="27">
        <v>28.02580083682</v>
      </c>
      <c r="AO785" s="11" t="s">
        <v>224</v>
      </c>
      <c r="AP785" s="29">
        <v>3.22580645161278</v>
      </c>
      <c r="AQ785" s="29">
        <v>15.6880958525345</v>
      </c>
      <c r="AU785" s="22" t="e">
        <f t="shared" si="40"/>
        <v>#DIV/0!</v>
      </c>
      <c r="BK785" s="25" t="s">
        <v>225</v>
      </c>
    </row>
    <row r="786" spans="2:63" ht="15.6" x14ac:dyDescent="0.3">
      <c r="B786" s="11" t="s">
        <v>221</v>
      </c>
      <c r="C786" s="40" t="s">
        <v>202</v>
      </c>
      <c r="D786" s="40"/>
      <c r="E786" s="40"/>
      <c r="F786" s="54"/>
      <c r="G786" s="49"/>
      <c r="H786" s="48" t="e">
        <f t="shared" si="38"/>
        <v>#DIV/0!</v>
      </c>
      <c r="I786" s="40"/>
      <c r="J786" s="40"/>
      <c r="K786" s="40"/>
      <c r="L786" s="4" t="e">
        <f t="shared" si="39"/>
        <v>#DIV/0!</v>
      </c>
      <c r="AI786" s="11" t="s">
        <v>223</v>
      </c>
      <c r="AJ786" s="28">
        <v>766.755504406554</v>
      </c>
      <c r="AK786" s="28">
        <v>29.871589085072198</v>
      </c>
      <c r="AL786" s="11" t="s">
        <v>222</v>
      </c>
      <c r="AM786" s="27">
        <v>7.5624251267615605E-4</v>
      </c>
      <c r="AN786" s="27">
        <v>29.868679497907898</v>
      </c>
      <c r="AO786" s="11" t="s">
        <v>224</v>
      </c>
      <c r="AP786" s="29">
        <v>0.80645161290324596</v>
      </c>
      <c r="AQ786" s="29">
        <v>15.5347612903225</v>
      </c>
      <c r="AU786" s="22" t="e">
        <f t="shared" si="40"/>
        <v>#DIV/0!</v>
      </c>
      <c r="BK786" s="25" t="s">
        <v>225</v>
      </c>
    </row>
    <row r="787" spans="2:63" ht="15.6" x14ac:dyDescent="0.3">
      <c r="B787" s="11" t="s">
        <v>221</v>
      </c>
      <c r="C787" s="40" t="s">
        <v>202</v>
      </c>
      <c r="D787" s="40"/>
      <c r="E787" s="40"/>
      <c r="F787" s="54"/>
      <c r="G787" s="49"/>
      <c r="H787" s="48" t="e">
        <f t="shared" si="38"/>
        <v>#DIV/0!</v>
      </c>
      <c r="I787" s="40"/>
      <c r="J787" s="40"/>
      <c r="K787" s="40"/>
      <c r="L787" s="4" t="e">
        <f t="shared" si="39"/>
        <v>#DIV/0!</v>
      </c>
      <c r="AI787" s="11" t="s">
        <v>223</v>
      </c>
      <c r="AJ787" s="28">
        <v>777.79157454798701</v>
      </c>
      <c r="AK787" s="28">
        <v>33.492776886035301</v>
      </c>
      <c r="AL787" s="11" t="s">
        <v>222</v>
      </c>
      <c r="AM787" s="27">
        <v>6.6082076595403404E-4</v>
      </c>
      <c r="AN787" s="27">
        <v>33.477636820083603</v>
      </c>
      <c r="AO787" s="11" t="s">
        <v>224</v>
      </c>
      <c r="AP787" s="29">
        <v>-0.80645161290318801</v>
      </c>
      <c r="AQ787" s="29">
        <v>15.227738248847899</v>
      </c>
      <c r="AU787" s="22" t="e">
        <f t="shared" si="40"/>
        <v>#DIV/0!</v>
      </c>
      <c r="BK787" s="25" t="s">
        <v>225</v>
      </c>
    </row>
    <row r="788" spans="2:63" ht="15.6" x14ac:dyDescent="0.3">
      <c r="B788" s="11" t="s">
        <v>221</v>
      </c>
      <c r="C788" s="40" t="s">
        <v>202</v>
      </c>
      <c r="D788" s="40"/>
      <c r="E788" s="40"/>
      <c r="F788" s="54"/>
      <c r="G788" s="49"/>
      <c r="H788" s="48" t="e">
        <f t="shared" si="38"/>
        <v>#DIV/0!</v>
      </c>
      <c r="I788" s="40"/>
      <c r="J788" s="40"/>
      <c r="K788" s="40"/>
      <c r="L788" s="4" t="e">
        <f t="shared" si="39"/>
        <v>#DIV/0!</v>
      </c>
      <c r="AI788" s="11" t="s">
        <v>223</v>
      </c>
      <c r="AJ788" s="28">
        <v>777.7310033617</v>
      </c>
      <c r="AK788" s="28">
        <v>34.263242375601898</v>
      </c>
      <c r="AL788" s="11" t="s">
        <v>222</v>
      </c>
      <c r="AM788" s="27">
        <v>5.5829266844084104E-4</v>
      </c>
      <c r="AN788" s="27">
        <v>34.206433472803297</v>
      </c>
      <c r="AO788" s="11" t="s">
        <v>224</v>
      </c>
      <c r="AP788" s="29">
        <v>6.3343378394168799E-14</v>
      </c>
      <c r="AQ788" s="29">
        <v>14.920449769585201</v>
      </c>
      <c r="AU788" s="22" t="e">
        <f t="shared" si="40"/>
        <v>#DIV/0!</v>
      </c>
      <c r="BK788" s="25" t="s">
        <v>225</v>
      </c>
    </row>
    <row r="789" spans="2:63" ht="15.6" x14ac:dyDescent="0.3">
      <c r="B789" s="11" t="s">
        <v>221</v>
      </c>
      <c r="C789" s="40" t="s">
        <v>202</v>
      </c>
      <c r="D789" s="40"/>
      <c r="E789" s="40"/>
      <c r="F789" s="54"/>
      <c r="G789" s="49"/>
      <c r="H789" s="48" t="e">
        <f t="shared" si="38"/>
        <v>#DIV/0!</v>
      </c>
      <c r="I789" s="40"/>
      <c r="J789" s="40"/>
      <c r="K789" s="40"/>
      <c r="L789" s="4" t="e">
        <f t="shared" si="39"/>
        <v>#DIV/0!</v>
      </c>
      <c r="AI789" s="11" t="s">
        <v>223</v>
      </c>
      <c r="AJ789" s="28">
        <v>781.33196038644405</v>
      </c>
      <c r="AK789" s="28">
        <v>36.4590690208667</v>
      </c>
      <c r="AL789" s="11" t="s">
        <v>222</v>
      </c>
      <c r="AM789" s="27">
        <v>5.2188308595897204E-4</v>
      </c>
      <c r="AN789" s="27">
        <v>36.394912133891197</v>
      </c>
      <c r="AO789" s="11" t="s">
        <v>224</v>
      </c>
      <c r="AP789" s="29">
        <v>6.3875675691598701E-14</v>
      </c>
      <c r="AQ789" s="29">
        <v>14.690049769585199</v>
      </c>
      <c r="AU789" s="22" t="e">
        <f t="shared" si="40"/>
        <v>#DIV/0!</v>
      </c>
      <c r="BK789" s="25" t="s">
        <v>225</v>
      </c>
    </row>
    <row r="790" spans="2:63" ht="15.6" x14ac:dyDescent="0.3">
      <c r="B790" s="11" t="s">
        <v>226</v>
      </c>
      <c r="C790" s="40" t="s">
        <v>227</v>
      </c>
      <c r="D790" s="40"/>
      <c r="E790" s="40"/>
      <c r="F790" s="54"/>
      <c r="G790" s="49"/>
      <c r="H790" s="48" t="e">
        <f t="shared" si="38"/>
        <v>#DIV/0!</v>
      </c>
      <c r="I790" s="40"/>
      <c r="J790" s="40"/>
      <c r="K790" s="40"/>
      <c r="L790" s="4" t="e">
        <f t="shared" si="39"/>
        <v>#DIV/0!</v>
      </c>
      <c r="AU790" s="22" t="e">
        <f t="shared" si="40"/>
        <v>#DIV/0!</v>
      </c>
      <c r="AV790" s="11" t="s">
        <v>166</v>
      </c>
      <c r="AW790" s="45">
        <v>64.838205404468894</v>
      </c>
      <c r="AX790" s="45">
        <v>9.5499258602143602E-2</v>
      </c>
      <c r="BK790" s="25" t="s">
        <v>228</v>
      </c>
    </row>
    <row r="791" spans="2:63" ht="15.6" x14ac:dyDescent="0.3">
      <c r="B791" s="11" t="s">
        <v>226</v>
      </c>
      <c r="C791" s="40" t="s">
        <v>227</v>
      </c>
      <c r="D791" s="40"/>
      <c r="E791" s="40"/>
      <c r="F791" s="54"/>
      <c r="G791" s="49"/>
      <c r="H791" s="48" t="e">
        <f t="shared" si="38"/>
        <v>#DIV/0!</v>
      </c>
      <c r="I791" s="40"/>
      <c r="J791" s="40"/>
      <c r="K791" s="40"/>
      <c r="L791" s="4" t="e">
        <f t="shared" si="39"/>
        <v>#DIV/0!</v>
      </c>
      <c r="AU791" s="22" t="e">
        <f t="shared" si="40"/>
        <v>#DIV/0!</v>
      </c>
      <c r="AV791" s="11" t="s">
        <v>166</v>
      </c>
      <c r="AW791" s="45">
        <v>48.015889267284599</v>
      </c>
      <c r="AX791" s="45">
        <v>1.86208713666287</v>
      </c>
      <c r="BK791" s="25" t="s">
        <v>228</v>
      </c>
    </row>
    <row r="792" spans="2:63" ht="15.6" x14ac:dyDescent="0.3">
      <c r="B792" s="11" t="s">
        <v>226</v>
      </c>
      <c r="C792" s="40" t="s">
        <v>227</v>
      </c>
      <c r="D792" s="40"/>
      <c r="E792" s="40"/>
      <c r="F792" s="54"/>
      <c r="G792" s="49"/>
      <c r="H792" s="48" t="e">
        <f t="shared" si="38"/>
        <v>#DIV/0!</v>
      </c>
      <c r="I792" s="40"/>
      <c r="J792" s="40"/>
      <c r="K792" s="40"/>
      <c r="L792" s="4" t="e">
        <f t="shared" si="39"/>
        <v>#DIV/0!</v>
      </c>
      <c r="AU792" s="22" t="e">
        <f t="shared" si="40"/>
        <v>#DIV/0!</v>
      </c>
      <c r="AV792" s="11" t="s">
        <v>166</v>
      </c>
      <c r="AW792" s="45">
        <v>45.986367745798098</v>
      </c>
      <c r="AX792" s="45">
        <v>1.99526231496886</v>
      </c>
      <c r="BK792" s="25" t="s">
        <v>228</v>
      </c>
    </row>
    <row r="793" spans="2:63" ht="15.6" x14ac:dyDescent="0.3">
      <c r="B793" s="11" t="s">
        <v>226</v>
      </c>
      <c r="C793" s="40" t="s">
        <v>227</v>
      </c>
      <c r="D793" s="40"/>
      <c r="E793" s="40"/>
      <c r="F793" s="54"/>
      <c r="G793" s="49"/>
      <c r="H793" s="48" t="e">
        <f t="shared" si="38"/>
        <v>#DIV/0!</v>
      </c>
      <c r="I793" s="40"/>
      <c r="J793" s="40"/>
      <c r="K793" s="40"/>
      <c r="L793" s="4" t="e">
        <f t="shared" si="39"/>
        <v>#DIV/0!</v>
      </c>
      <c r="AU793" s="22" t="e">
        <f t="shared" si="40"/>
        <v>#DIV/0!</v>
      </c>
      <c r="AV793" s="11" t="s">
        <v>166</v>
      </c>
      <c r="AW793" s="45">
        <v>44.0473908241107</v>
      </c>
      <c r="AX793" s="45">
        <v>2.4547089156850501</v>
      </c>
      <c r="BK793" s="25" t="s">
        <v>228</v>
      </c>
    </row>
    <row r="794" spans="2:63" ht="15.6" x14ac:dyDescent="0.3">
      <c r="B794" s="11" t="s">
        <v>226</v>
      </c>
      <c r="C794" s="40" t="s">
        <v>227</v>
      </c>
      <c r="D794" s="40"/>
      <c r="E794" s="40"/>
      <c r="F794" s="54"/>
      <c r="G794" s="49"/>
      <c r="H794" s="48" t="e">
        <f t="shared" si="38"/>
        <v>#DIV/0!</v>
      </c>
      <c r="I794" s="40"/>
      <c r="J794" s="40"/>
      <c r="K794" s="40"/>
      <c r="L794" s="4" t="e">
        <f t="shared" si="39"/>
        <v>#DIV/0!</v>
      </c>
      <c r="AU794" s="22" t="e">
        <f t="shared" si="40"/>
        <v>#DIV/0!</v>
      </c>
      <c r="AV794" s="11" t="s">
        <v>166</v>
      </c>
      <c r="AW794" s="45">
        <v>41.301178233208098</v>
      </c>
      <c r="AX794" s="45">
        <v>4.5708818961487498</v>
      </c>
      <c r="BK794" s="25" t="s">
        <v>228</v>
      </c>
    </row>
    <row r="795" spans="2:63" ht="15.6" x14ac:dyDescent="0.3">
      <c r="B795" s="11" t="s">
        <v>226</v>
      </c>
      <c r="C795" s="40" t="s">
        <v>227</v>
      </c>
      <c r="D795" s="40"/>
      <c r="E795" s="40"/>
      <c r="F795" s="54"/>
      <c r="G795" s="49"/>
      <c r="H795" s="48" t="e">
        <f t="shared" si="38"/>
        <v>#DIV/0!</v>
      </c>
      <c r="I795" s="40"/>
      <c r="J795" s="40"/>
      <c r="K795" s="40"/>
      <c r="L795" s="4" t="e">
        <f t="shared" si="39"/>
        <v>#DIV/0!</v>
      </c>
      <c r="AU795" s="22" t="e">
        <f t="shared" si="40"/>
        <v>#DIV/0!</v>
      </c>
      <c r="AV795" s="11" t="s">
        <v>166</v>
      </c>
      <c r="AW795" s="45">
        <v>34.014701700150397</v>
      </c>
      <c r="AX795" s="45">
        <v>8.5113803820237202</v>
      </c>
      <c r="BK795" s="25" t="s">
        <v>228</v>
      </c>
    </row>
    <row r="796" spans="2:63" ht="15.6" x14ac:dyDescent="0.3">
      <c r="B796" s="11" t="s">
        <v>226</v>
      </c>
      <c r="C796" s="40" t="s">
        <v>227</v>
      </c>
      <c r="D796" s="40"/>
      <c r="E796" s="40"/>
      <c r="F796" s="54"/>
      <c r="G796" s="49"/>
      <c r="H796" s="48" t="e">
        <f t="shared" si="38"/>
        <v>#DIV/0!</v>
      </c>
      <c r="I796" s="40"/>
      <c r="J796" s="40"/>
      <c r="K796" s="40"/>
      <c r="L796" s="4" t="e">
        <f t="shared" si="39"/>
        <v>#DIV/0!</v>
      </c>
      <c r="AU796" s="22" t="e">
        <f t="shared" si="40"/>
        <v>#DIV/0!</v>
      </c>
      <c r="AV796" s="11" t="s">
        <v>166</v>
      </c>
      <c r="AW796" s="45">
        <v>31.201710554019002</v>
      </c>
      <c r="AX796" s="45">
        <v>10.4712854805089</v>
      </c>
      <c r="BK796" s="25" t="s">
        <v>228</v>
      </c>
    </row>
    <row r="797" spans="2:63" ht="15.6" x14ac:dyDescent="0.3">
      <c r="B797" s="11" t="s">
        <v>226</v>
      </c>
      <c r="C797" s="40" t="s">
        <v>227</v>
      </c>
      <c r="D797" s="40"/>
      <c r="E797" s="40"/>
      <c r="F797" s="54"/>
      <c r="G797" s="49"/>
      <c r="H797" s="48" t="e">
        <f t="shared" si="38"/>
        <v>#DIV/0!</v>
      </c>
      <c r="I797" s="40"/>
      <c r="J797" s="40"/>
      <c r="K797" s="40"/>
      <c r="L797" s="4" t="e">
        <f t="shared" si="39"/>
        <v>#DIV/0!</v>
      </c>
      <c r="AU797" s="22" t="e">
        <f t="shared" si="40"/>
        <v>#DIV/0!</v>
      </c>
      <c r="AV797" s="11" t="s">
        <v>166</v>
      </c>
      <c r="AW797" s="45">
        <v>30.552513759402899</v>
      </c>
      <c r="AX797" s="45">
        <v>22.387211385683301</v>
      </c>
      <c r="BK797" s="25" t="s">
        <v>228</v>
      </c>
    </row>
    <row r="798" spans="2:63" ht="15.6" x14ac:dyDescent="0.3">
      <c r="B798" s="11" t="s">
        <v>229</v>
      </c>
      <c r="C798" s="40" t="s">
        <v>230</v>
      </c>
      <c r="D798" s="40"/>
      <c r="E798" s="40"/>
      <c r="F798" s="54"/>
      <c r="G798" s="49"/>
      <c r="H798" s="48" t="e">
        <f t="shared" si="38"/>
        <v>#DIV/0!</v>
      </c>
      <c r="I798" s="40"/>
      <c r="J798" s="40"/>
      <c r="K798" s="40"/>
      <c r="L798" s="4" t="e">
        <f t="shared" si="39"/>
        <v>#DIV/0!</v>
      </c>
      <c r="AU798" s="22" t="e">
        <f t="shared" si="40"/>
        <v>#DIV/0!</v>
      </c>
      <c r="AV798" s="11" t="s">
        <v>166</v>
      </c>
      <c r="AW798" s="38">
        <v>86.034246907338698</v>
      </c>
      <c r="AX798" s="38">
        <v>0.93325430079698601</v>
      </c>
      <c r="BK798" s="25" t="s">
        <v>228</v>
      </c>
    </row>
    <row r="799" spans="2:63" ht="15.6" x14ac:dyDescent="0.3">
      <c r="B799" s="11" t="s">
        <v>229</v>
      </c>
      <c r="C799" s="40" t="s">
        <v>230</v>
      </c>
      <c r="D799" s="40"/>
      <c r="E799" s="40"/>
      <c r="F799" s="54"/>
      <c r="G799" s="49"/>
      <c r="H799" s="48" t="e">
        <f t="shared" ref="H799:H851" si="41">((J799)*1000)/G799</f>
        <v>#DIV/0!</v>
      </c>
      <c r="I799" s="40"/>
      <c r="J799" s="40"/>
      <c r="K799" s="40"/>
      <c r="L799" s="4" t="e">
        <f t="shared" si="39"/>
        <v>#DIV/0!</v>
      </c>
      <c r="AU799" s="22" t="e">
        <f t="shared" si="40"/>
        <v>#DIV/0!</v>
      </c>
      <c r="AV799" s="11" t="s">
        <v>166</v>
      </c>
      <c r="AW799" s="38">
        <v>20.266746605472399</v>
      </c>
      <c r="AX799" s="38">
        <v>33.884415613920403</v>
      </c>
      <c r="BK799" s="25" t="s">
        <v>228</v>
      </c>
    </row>
    <row r="800" spans="2:63" ht="15.6" x14ac:dyDescent="0.3">
      <c r="B800" s="11" t="s">
        <v>229</v>
      </c>
      <c r="C800" s="40" t="s">
        <v>230</v>
      </c>
      <c r="D800" s="40"/>
      <c r="E800" s="40"/>
      <c r="F800" s="54"/>
      <c r="G800" s="49"/>
      <c r="H800" s="48" t="e">
        <f t="shared" si="41"/>
        <v>#DIV/0!</v>
      </c>
      <c r="I800" s="40"/>
      <c r="J800" s="40"/>
      <c r="K800" s="40"/>
      <c r="L800" s="4" t="e">
        <f t="shared" si="39"/>
        <v>#DIV/0!</v>
      </c>
      <c r="AU800" s="22" t="e">
        <f t="shared" si="40"/>
        <v>#DIV/0!</v>
      </c>
      <c r="AV800" s="11" t="s">
        <v>166</v>
      </c>
      <c r="AW800" s="38">
        <v>17.817430376582202</v>
      </c>
      <c r="AX800" s="38">
        <v>109.647819614317</v>
      </c>
      <c r="BK800" s="25" t="s">
        <v>228</v>
      </c>
    </row>
    <row r="801" spans="2:63" ht="15.6" x14ac:dyDescent="0.3">
      <c r="B801" s="11" t="s">
        <v>229</v>
      </c>
      <c r="C801" s="40" t="s">
        <v>230</v>
      </c>
      <c r="D801" s="40"/>
      <c r="E801" s="40"/>
      <c r="F801" s="54"/>
      <c r="G801" s="49"/>
      <c r="H801" s="48" t="e">
        <f t="shared" si="41"/>
        <v>#DIV/0!</v>
      </c>
      <c r="I801" s="40"/>
      <c r="J801" s="40"/>
      <c r="K801" s="40"/>
      <c r="L801" s="4" t="e">
        <f t="shared" si="39"/>
        <v>#DIV/0!</v>
      </c>
      <c r="AU801" s="22" t="e">
        <f t="shared" si="40"/>
        <v>#DIV/0!</v>
      </c>
      <c r="AV801" s="11" t="s">
        <v>166</v>
      </c>
      <c r="AW801" s="38">
        <v>19.852577560525699</v>
      </c>
      <c r="AX801" s="38">
        <v>117.48975549395099</v>
      </c>
      <c r="BK801" s="25" t="s">
        <v>228</v>
      </c>
    </row>
    <row r="802" spans="2:63" ht="15.6" x14ac:dyDescent="0.3">
      <c r="B802" s="11" t="s">
        <v>229</v>
      </c>
      <c r="C802" s="40" t="s">
        <v>230</v>
      </c>
      <c r="D802" s="40"/>
      <c r="E802" s="40"/>
      <c r="F802" s="54"/>
      <c r="G802" s="49"/>
      <c r="H802" s="48" t="e">
        <f t="shared" si="41"/>
        <v>#DIV/0!</v>
      </c>
      <c r="I802" s="40"/>
      <c r="J802" s="40"/>
      <c r="K802" s="40"/>
      <c r="L802" s="4" t="e">
        <f t="shared" si="39"/>
        <v>#DIV/0!</v>
      </c>
      <c r="AU802" s="22" t="e">
        <f t="shared" si="40"/>
        <v>#DIV/0!</v>
      </c>
      <c r="AV802" s="11" t="s">
        <v>166</v>
      </c>
      <c r="AW802" s="38">
        <v>22.599976170226999</v>
      </c>
      <c r="AX802" s="38">
        <v>102.32929922807401</v>
      </c>
      <c r="BK802" s="25" t="s">
        <v>228</v>
      </c>
    </row>
    <row r="803" spans="2:63" ht="15.6" x14ac:dyDescent="0.3">
      <c r="B803" s="11" t="s">
        <v>229</v>
      </c>
      <c r="C803" s="40" t="s">
        <v>230</v>
      </c>
      <c r="D803" s="40"/>
      <c r="E803" s="40"/>
      <c r="F803" s="54"/>
      <c r="G803" s="49"/>
      <c r="H803" s="48" t="e">
        <f t="shared" si="41"/>
        <v>#DIV/0!</v>
      </c>
      <c r="I803" s="40"/>
      <c r="J803" s="40"/>
      <c r="K803" s="40"/>
      <c r="L803" s="4" t="e">
        <f t="shared" si="39"/>
        <v>#DIV/0!</v>
      </c>
      <c r="AU803" s="22" t="e">
        <f t="shared" si="40"/>
        <v>#DIV/0!</v>
      </c>
      <c r="AV803" s="11" t="s">
        <v>166</v>
      </c>
      <c r="AW803" s="38">
        <v>24.648133500222901</v>
      </c>
      <c r="AX803" s="38">
        <v>144.543977074591</v>
      </c>
      <c r="BK803" s="25" t="s">
        <v>228</v>
      </c>
    </row>
    <row r="804" spans="2:63" ht="15.6" x14ac:dyDescent="0.3">
      <c r="B804" s="11" t="s">
        <v>229</v>
      </c>
      <c r="C804" s="40" t="s">
        <v>230</v>
      </c>
      <c r="D804" s="40"/>
      <c r="E804" s="40"/>
      <c r="F804" s="54"/>
      <c r="G804" s="49"/>
      <c r="H804" s="48" t="e">
        <f t="shared" si="41"/>
        <v>#DIV/0!</v>
      </c>
      <c r="I804" s="40"/>
      <c r="J804" s="40"/>
      <c r="K804" s="40"/>
      <c r="L804" s="4" t="e">
        <f t="shared" si="39"/>
        <v>#DIV/0!</v>
      </c>
      <c r="AU804" s="22" t="e">
        <f t="shared" si="40"/>
        <v>#DIV/0!</v>
      </c>
      <c r="AV804" s="11" t="s">
        <v>166</v>
      </c>
      <c r="AW804" s="38">
        <v>12.0753967384818</v>
      </c>
      <c r="AX804" s="38">
        <v>134.89628825916401</v>
      </c>
      <c r="BK804" s="25" t="s">
        <v>228</v>
      </c>
    </row>
    <row r="805" spans="2:63" ht="15.6" x14ac:dyDescent="0.3">
      <c r="B805" s="11" t="s">
        <v>232</v>
      </c>
      <c r="C805" s="40" t="s">
        <v>231</v>
      </c>
      <c r="D805" s="40"/>
      <c r="E805" s="40"/>
      <c r="F805" s="54"/>
      <c r="G805" s="49"/>
      <c r="H805" s="48" t="e">
        <f t="shared" si="41"/>
        <v>#DIV/0!</v>
      </c>
      <c r="I805" s="40"/>
      <c r="J805" s="40"/>
      <c r="K805" s="40"/>
      <c r="L805" s="4" t="e">
        <f t="shared" si="39"/>
        <v>#DIV/0!</v>
      </c>
      <c r="AU805" s="22" t="e">
        <f t="shared" si="40"/>
        <v>#DIV/0!</v>
      </c>
      <c r="AV805" s="11" t="s">
        <v>166</v>
      </c>
      <c r="AW805" s="45">
        <v>707.75448330944801</v>
      </c>
      <c r="AX805" s="45">
        <v>4.0738027780411001E-7</v>
      </c>
      <c r="BK805" s="25" t="s">
        <v>228</v>
      </c>
    </row>
    <row r="806" spans="2:63" ht="15.6" x14ac:dyDescent="0.3">
      <c r="B806" s="11" t="s">
        <v>232</v>
      </c>
      <c r="C806" s="40" t="s">
        <v>231</v>
      </c>
      <c r="D806" s="40"/>
      <c r="E806" s="40"/>
      <c r="F806" s="54"/>
      <c r="G806" s="49"/>
      <c r="H806" s="48" t="e">
        <f t="shared" si="41"/>
        <v>#DIV/0!</v>
      </c>
      <c r="I806" s="40"/>
      <c r="J806" s="40"/>
      <c r="K806" s="40"/>
      <c r="L806" s="4" t="e">
        <f t="shared" si="39"/>
        <v>#DIV/0!</v>
      </c>
      <c r="AU806" s="22" t="e">
        <f t="shared" si="40"/>
        <v>#DIV/0!</v>
      </c>
      <c r="AV806" s="11" t="s">
        <v>166</v>
      </c>
      <c r="AW806" s="45">
        <v>1297.4036558836699</v>
      </c>
      <c r="AX806" s="45">
        <v>9.3325430079699803E-7</v>
      </c>
      <c r="BK806" s="25" t="s">
        <v>228</v>
      </c>
    </row>
    <row r="807" spans="2:63" ht="15.6" x14ac:dyDescent="0.3">
      <c r="B807" s="11" t="s">
        <v>232</v>
      </c>
      <c r="C807" s="40" t="s">
        <v>231</v>
      </c>
      <c r="D807" s="40"/>
      <c r="E807" s="40"/>
      <c r="F807" s="54"/>
      <c r="G807" s="49"/>
      <c r="H807" s="48" t="e">
        <f t="shared" si="41"/>
        <v>#DIV/0!</v>
      </c>
      <c r="I807" s="40"/>
      <c r="J807" s="40"/>
      <c r="K807" s="40"/>
      <c r="L807" s="4" t="e">
        <f t="shared" si="39"/>
        <v>#DIV/0!</v>
      </c>
      <c r="AU807" s="22" t="e">
        <f t="shared" si="40"/>
        <v>#DIV/0!</v>
      </c>
      <c r="AV807" s="11" t="s">
        <v>166</v>
      </c>
      <c r="AW807" s="45">
        <v>1218.1596932089201</v>
      </c>
      <c r="AX807" s="45">
        <v>9.7723722095580906E-6</v>
      </c>
      <c r="BK807" s="25" t="s">
        <v>228</v>
      </c>
    </row>
    <row r="808" spans="2:63" ht="15.6" x14ac:dyDescent="0.3">
      <c r="B808" s="11" t="s">
        <v>232</v>
      </c>
      <c r="C808" s="40" t="s">
        <v>231</v>
      </c>
      <c r="D808" s="40"/>
      <c r="E808" s="40"/>
      <c r="F808" s="54"/>
      <c r="G808" s="49"/>
      <c r="H808" s="48" t="e">
        <f t="shared" si="41"/>
        <v>#DIV/0!</v>
      </c>
      <c r="I808" s="40"/>
      <c r="J808" s="40"/>
      <c r="K808" s="40"/>
      <c r="L808" s="4" t="e">
        <f t="shared" si="39"/>
        <v>#DIV/0!</v>
      </c>
      <c r="AU808" s="22" t="e">
        <f t="shared" si="40"/>
        <v>#DIV/0!</v>
      </c>
      <c r="AV808" s="11" t="s">
        <v>166</v>
      </c>
      <c r="AW808" s="45">
        <v>694.71633674720499</v>
      </c>
      <c r="AX808" s="45">
        <v>1.9498445997580402E-5</v>
      </c>
      <c r="BK808" s="25" t="s">
        <v>228</v>
      </c>
    </row>
    <row r="809" spans="2:63" ht="15.6" x14ac:dyDescent="0.3">
      <c r="B809" s="11" t="s">
        <v>232</v>
      </c>
      <c r="C809" s="40" t="s">
        <v>231</v>
      </c>
      <c r="D809" s="40"/>
      <c r="E809" s="40"/>
      <c r="F809" s="54"/>
      <c r="G809" s="49"/>
      <c r="H809" s="48" t="e">
        <f t="shared" si="41"/>
        <v>#DIV/0!</v>
      </c>
      <c r="I809" s="40"/>
      <c r="J809" s="40"/>
      <c r="K809" s="40"/>
      <c r="L809" s="4" t="e">
        <f t="shared" si="39"/>
        <v>#DIV/0!</v>
      </c>
      <c r="AU809" s="22" t="e">
        <f t="shared" si="40"/>
        <v>#DIV/0!</v>
      </c>
      <c r="AV809" s="11" t="s">
        <v>166</v>
      </c>
      <c r="AW809" s="45">
        <v>809.27959728358701</v>
      </c>
      <c r="AX809" s="45">
        <v>1.0232929922807599E-4</v>
      </c>
      <c r="BK809" s="25" t="s">
        <v>228</v>
      </c>
    </row>
    <row r="810" spans="2:63" ht="15.6" x14ac:dyDescent="0.3">
      <c r="B810" s="11" t="s">
        <v>232</v>
      </c>
      <c r="C810" s="40" t="s">
        <v>231</v>
      </c>
      <c r="D810" s="40"/>
      <c r="E810" s="40"/>
      <c r="F810" s="54"/>
      <c r="G810" s="49"/>
      <c r="H810" s="48" t="e">
        <f t="shared" si="41"/>
        <v>#DIV/0!</v>
      </c>
      <c r="I810" s="40"/>
      <c r="J810" s="40"/>
      <c r="K810" s="40"/>
      <c r="L810" s="4" t="e">
        <f t="shared" si="39"/>
        <v>#DIV/0!</v>
      </c>
      <c r="AU810" s="22" t="e">
        <f t="shared" si="40"/>
        <v>#DIV/0!</v>
      </c>
      <c r="AV810" s="11" t="s">
        <v>166</v>
      </c>
      <c r="AW810" s="45">
        <v>348.87998608049799</v>
      </c>
      <c r="AX810" s="45">
        <v>9.9999999999998701E-4</v>
      </c>
      <c r="BK810" s="25" t="s">
        <v>228</v>
      </c>
    </row>
    <row r="811" spans="2:63" ht="15.6" x14ac:dyDescent="0.3">
      <c r="B811" s="11" t="s">
        <v>232</v>
      </c>
      <c r="C811" s="40" t="s">
        <v>231</v>
      </c>
      <c r="D811" s="40"/>
      <c r="E811" s="40"/>
      <c r="F811" s="54"/>
      <c r="G811" s="49"/>
      <c r="H811" s="48" t="e">
        <f t="shared" si="41"/>
        <v>#DIV/0!</v>
      </c>
      <c r="I811" s="40"/>
      <c r="J811" s="40"/>
      <c r="K811" s="40"/>
      <c r="L811" s="4" t="e">
        <f t="shared" si="39"/>
        <v>#DIV/0!</v>
      </c>
      <c r="AU811" s="22" t="e">
        <f t="shared" si="40"/>
        <v>#DIV/0!</v>
      </c>
      <c r="AV811" s="11" t="s">
        <v>166</v>
      </c>
      <c r="AW811" s="45">
        <v>203.56772361315501</v>
      </c>
      <c r="AX811" s="45">
        <v>9.7723722095579401E-3</v>
      </c>
      <c r="BK811" s="25" t="s">
        <v>228</v>
      </c>
    </row>
    <row r="812" spans="2:63" ht="15.6" x14ac:dyDescent="0.3">
      <c r="B812" s="11" t="s">
        <v>232</v>
      </c>
      <c r="C812" s="40" t="s">
        <v>231</v>
      </c>
      <c r="D812" s="40"/>
      <c r="E812" s="40"/>
      <c r="F812" s="54"/>
      <c r="G812" s="49"/>
      <c r="H812" s="48" t="e">
        <f t="shared" si="41"/>
        <v>#DIV/0!</v>
      </c>
      <c r="I812" s="40"/>
      <c r="J812" s="40"/>
      <c r="K812" s="40"/>
      <c r="L812" s="4" t="e">
        <f t="shared" si="39"/>
        <v>#DIV/0!</v>
      </c>
      <c r="AU812" s="22" t="e">
        <f t="shared" si="40"/>
        <v>#DIV/0!</v>
      </c>
      <c r="AV812" s="11" t="s">
        <v>166</v>
      </c>
      <c r="AW812" s="45">
        <v>59.479347719391399</v>
      </c>
      <c r="AX812" s="45">
        <v>0.12589254117941601</v>
      </c>
      <c r="BK812" s="25" t="s">
        <v>228</v>
      </c>
    </row>
    <row r="813" spans="2:63" ht="15.6" x14ac:dyDescent="0.3">
      <c r="B813" s="11" t="s">
        <v>232</v>
      </c>
      <c r="C813" s="40" t="s">
        <v>231</v>
      </c>
      <c r="D813" s="40"/>
      <c r="E813" s="40"/>
      <c r="F813" s="54"/>
      <c r="G813" s="49"/>
      <c r="H813" s="48" t="e">
        <f t="shared" si="41"/>
        <v>#DIV/0!</v>
      </c>
      <c r="I813" s="40"/>
      <c r="J813" s="40"/>
      <c r="K813" s="40"/>
      <c r="L813" s="4" t="e">
        <f t="shared" si="39"/>
        <v>#DIV/0!</v>
      </c>
      <c r="AU813" s="22" t="e">
        <f t="shared" si="40"/>
        <v>#DIV/0!</v>
      </c>
      <c r="AV813" s="11" t="s">
        <v>166</v>
      </c>
      <c r="AW813" s="45">
        <v>32.524196238768297</v>
      </c>
      <c r="AX813" s="45">
        <v>1.1481536214968799</v>
      </c>
      <c r="BK813" s="25" t="s">
        <v>228</v>
      </c>
    </row>
    <row r="814" spans="2:63" ht="15.6" x14ac:dyDescent="0.3">
      <c r="B814" s="11" t="s">
        <v>232</v>
      </c>
      <c r="C814" s="40" t="s">
        <v>231</v>
      </c>
      <c r="D814" s="40"/>
      <c r="E814" s="40"/>
      <c r="F814" s="54"/>
      <c r="G814" s="49"/>
      <c r="H814" s="48" t="e">
        <f t="shared" si="41"/>
        <v>#DIV/0!</v>
      </c>
      <c r="I814" s="40"/>
      <c r="J814" s="40"/>
      <c r="K814" s="40"/>
      <c r="L814" s="4" t="e">
        <f t="shared" si="39"/>
        <v>#DIV/0!</v>
      </c>
      <c r="AU814" s="22" t="e">
        <f t="shared" si="40"/>
        <v>#DIV/0!</v>
      </c>
      <c r="AV814" s="11" t="s">
        <v>166</v>
      </c>
      <c r="AW814" s="45">
        <v>41.323508088419999</v>
      </c>
      <c r="AX814" s="45">
        <v>9.1201083935589295</v>
      </c>
      <c r="BK814" s="25" t="s">
        <v>228</v>
      </c>
    </row>
    <row r="815" spans="2:63" ht="15.6" x14ac:dyDescent="0.3">
      <c r="B815" s="11" t="s">
        <v>232</v>
      </c>
      <c r="C815" s="40" t="s">
        <v>231</v>
      </c>
      <c r="D815" s="40"/>
      <c r="E815" s="40"/>
      <c r="F815" s="54"/>
      <c r="G815" s="49"/>
      <c r="H815" s="48" t="e">
        <f t="shared" si="41"/>
        <v>#DIV/0!</v>
      </c>
      <c r="I815" s="40"/>
      <c r="J815" s="40"/>
      <c r="K815" s="40"/>
      <c r="L815" s="4" t="e">
        <f t="shared" si="39"/>
        <v>#DIV/0!</v>
      </c>
      <c r="AU815" s="22" t="e">
        <f t="shared" si="40"/>
        <v>#DIV/0!</v>
      </c>
      <c r="AV815" s="11" t="s">
        <v>166</v>
      </c>
      <c r="AW815" s="45">
        <v>19.813985050551199</v>
      </c>
      <c r="AX815" s="45">
        <v>9.7723722095581493</v>
      </c>
      <c r="BK815" s="25" t="s">
        <v>228</v>
      </c>
    </row>
    <row r="816" spans="2:63" ht="15.6" x14ac:dyDescent="0.3">
      <c r="B816" s="11" t="s">
        <v>232</v>
      </c>
      <c r="C816" s="40" t="s">
        <v>231</v>
      </c>
      <c r="D816" s="40"/>
      <c r="E816" s="40"/>
      <c r="F816" s="54"/>
      <c r="G816" s="49"/>
      <c r="H816" s="48" t="e">
        <f t="shared" si="41"/>
        <v>#DIV/0!</v>
      </c>
      <c r="I816" s="40"/>
      <c r="J816" s="40"/>
      <c r="K816" s="40"/>
      <c r="L816" s="4" t="e">
        <f t="shared" si="39"/>
        <v>#DIV/0!</v>
      </c>
      <c r="AU816" s="22" t="e">
        <f t="shared" si="40"/>
        <v>#DIV/0!</v>
      </c>
      <c r="AV816" s="11" t="s">
        <v>166</v>
      </c>
      <c r="AW816" s="45">
        <v>14.9858282588841</v>
      </c>
      <c r="AX816" s="45">
        <v>95.499258602144394</v>
      </c>
      <c r="BK816" s="25" t="s">
        <v>228</v>
      </c>
    </row>
    <row r="817" spans="2:63" ht="15.6" x14ac:dyDescent="0.3">
      <c r="B817" s="11" t="s">
        <v>232</v>
      </c>
      <c r="C817" s="40" t="s">
        <v>231</v>
      </c>
      <c r="D817" s="40"/>
      <c r="E817" s="40"/>
      <c r="F817" s="54"/>
      <c r="G817" s="49"/>
      <c r="H817" s="48" t="e">
        <f t="shared" si="41"/>
        <v>#DIV/0!</v>
      </c>
      <c r="I817" s="40"/>
      <c r="J817" s="40"/>
      <c r="K817" s="40"/>
      <c r="L817" s="4" t="e">
        <f t="shared" si="39"/>
        <v>#DIV/0!</v>
      </c>
      <c r="AU817" s="22" t="e">
        <f t="shared" si="40"/>
        <v>#DIV/0!</v>
      </c>
      <c r="AV817" s="11" t="s">
        <v>166</v>
      </c>
      <c r="AW817" s="45">
        <v>10.173368802757</v>
      </c>
      <c r="AX817" s="45">
        <v>1000</v>
      </c>
      <c r="BK817" s="25" t="s">
        <v>228</v>
      </c>
    </row>
    <row r="818" spans="2:63" ht="15.6" x14ac:dyDescent="0.3">
      <c r="B818" s="11" t="s">
        <v>233</v>
      </c>
      <c r="C818" s="40" t="s">
        <v>234</v>
      </c>
      <c r="D818" s="40"/>
      <c r="E818" s="40"/>
      <c r="F818" s="54"/>
      <c r="G818" s="49"/>
      <c r="H818" s="48" t="e">
        <f t="shared" si="41"/>
        <v>#DIV/0!</v>
      </c>
      <c r="I818" s="40"/>
      <c r="J818" s="40"/>
      <c r="K818" s="40"/>
      <c r="L818" s="4" t="e">
        <f t="shared" si="39"/>
        <v>#DIV/0!</v>
      </c>
      <c r="AU818" s="22" t="e">
        <f t="shared" si="40"/>
        <v>#DIV/0!</v>
      </c>
      <c r="AV818" s="11" t="s">
        <v>166</v>
      </c>
      <c r="AW818" s="39">
        <v>1192.81411586332</v>
      </c>
      <c r="AX818" s="39">
        <v>2.0892961308540501E-5</v>
      </c>
      <c r="BK818" s="25" t="s">
        <v>228</v>
      </c>
    </row>
    <row r="819" spans="2:63" ht="15.6" x14ac:dyDescent="0.3">
      <c r="B819" s="11" t="s">
        <v>233</v>
      </c>
      <c r="C819" s="40" t="s">
        <v>234</v>
      </c>
      <c r="D819" s="40"/>
      <c r="E819" s="40"/>
      <c r="F819" s="54"/>
      <c r="G819" s="49"/>
      <c r="H819" s="48" t="e">
        <f t="shared" si="41"/>
        <v>#DIV/0!</v>
      </c>
      <c r="I819" s="40"/>
      <c r="J819" s="40"/>
      <c r="K819" s="40"/>
      <c r="L819" s="4" t="e">
        <f t="shared" si="39"/>
        <v>#DIV/0!</v>
      </c>
      <c r="AU819" s="22" t="e">
        <f t="shared" si="40"/>
        <v>#DIV/0!</v>
      </c>
      <c r="AV819" s="11" t="s">
        <v>166</v>
      </c>
      <c r="AW819" s="39">
        <v>1004.17062252133</v>
      </c>
      <c r="AX819" s="39">
        <v>5.8884365535558501E-5</v>
      </c>
      <c r="BK819" s="25" t="s">
        <v>228</v>
      </c>
    </row>
    <row r="820" spans="2:63" ht="15.6" x14ac:dyDescent="0.3">
      <c r="B820" s="11" t="s">
        <v>233</v>
      </c>
      <c r="C820" s="40" t="s">
        <v>234</v>
      </c>
      <c r="D820" s="40"/>
      <c r="E820" s="40"/>
      <c r="F820" s="54"/>
      <c r="G820" s="49"/>
      <c r="H820" s="48" t="e">
        <f t="shared" si="41"/>
        <v>#DIV/0!</v>
      </c>
      <c r="I820" s="40"/>
      <c r="J820" s="40"/>
      <c r="K820" s="40"/>
      <c r="L820" s="4" t="e">
        <f t="shared" si="39"/>
        <v>#DIV/0!</v>
      </c>
      <c r="AU820" s="22" t="e">
        <f t="shared" si="40"/>
        <v>#DIV/0!</v>
      </c>
      <c r="AV820" s="11" t="s">
        <v>166</v>
      </c>
      <c r="AW820" s="39">
        <v>492.726174967031</v>
      </c>
      <c r="AX820" s="39">
        <v>4.0738027780411299E-4</v>
      </c>
      <c r="BK820" s="25" t="s">
        <v>228</v>
      </c>
    </row>
    <row r="821" spans="2:63" ht="15.6" x14ac:dyDescent="0.3">
      <c r="B821" s="11" t="s">
        <v>233</v>
      </c>
      <c r="C821" s="40" t="s">
        <v>234</v>
      </c>
      <c r="D821" s="40"/>
      <c r="E821" s="40"/>
      <c r="F821" s="54"/>
      <c r="G821" s="49"/>
      <c r="H821" s="48" t="e">
        <f t="shared" si="41"/>
        <v>#DIV/0!</v>
      </c>
      <c r="I821" s="40"/>
      <c r="J821" s="40"/>
      <c r="K821" s="40"/>
      <c r="L821" s="4" t="e">
        <f t="shared" si="39"/>
        <v>#DIV/0!</v>
      </c>
      <c r="AU821" s="22" t="e">
        <f t="shared" si="40"/>
        <v>#DIV/0!</v>
      </c>
      <c r="AV821" s="11" t="s">
        <v>166</v>
      </c>
      <c r="AW821" s="39">
        <v>306.79936761371101</v>
      </c>
      <c r="AX821" s="39">
        <v>4.5708818961486802E-3</v>
      </c>
      <c r="BK821" s="25" t="s">
        <v>228</v>
      </c>
    </row>
    <row r="822" spans="2:63" ht="15.6" x14ac:dyDescent="0.3">
      <c r="B822" s="11" t="s">
        <v>233</v>
      </c>
      <c r="C822" s="40" t="s">
        <v>234</v>
      </c>
      <c r="D822" s="40"/>
      <c r="E822" s="40"/>
      <c r="F822" s="54"/>
      <c r="G822" s="49"/>
      <c r="H822" s="48" t="e">
        <f t="shared" si="41"/>
        <v>#DIV/0!</v>
      </c>
      <c r="I822" s="40"/>
      <c r="J822" s="40"/>
      <c r="K822" s="40"/>
      <c r="L822" s="4" t="e">
        <f t="shared" si="39"/>
        <v>#DIV/0!</v>
      </c>
      <c r="AU822" s="22" t="e">
        <f t="shared" si="40"/>
        <v>#DIV/0!</v>
      </c>
      <c r="AV822" s="11" t="s">
        <v>166</v>
      </c>
      <c r="AW822" s="39">
        <v>199.26756768606899</v>
      </c>
      <c r="AX822" s="39">
        <v>1.38038426460288E-2</v>
      </c>
      <c r="BK822" s="25" t="s">
        <v>228</v>
      </c>
    </row>
    <row r="823" spans="2:63" ht="15.6" x14ac:dyDescent="0.3">
      <c r="B823" s="11" t="s">
        <v>233</v>
      </c>
      <c r="C823" s="40" t="s">
        <v>234</v>
      </c>
      <c r="D823" s="40"/>
      <c r="E823" s="40"/>
      <c r="F823" s="54"/>
      <c r="G823" s="49"/>
      <c r="H823" s="48" t="e">
        <f t="shared" si="41"/>
        <v>#DIV/0!</v>
      </c>
      <c r="I823" s="40"/>
      <c r="J823" s="40"/>
      <c r="K823" s="40"/>
      <c r="L823" s="4" t="e">
        <f t="shared" si="39"/>
        <v>#DIV/0!</v>
      </c>
      <c r="AU823" s="22" t="e">
        <f t="shared" si="40"/>
        <v>#DIV/0!</v>
      </c>
      <c r="AV823" s="11" t="s">
        <v>166</v>
      </c>
      <c r="AW823" s="39">
        <v>187.03586074217</v>
      </c>
      <c r="AX823" s="39">
        <v>9.5499258602142104E-2</v>
      </c>
      <c r="BK823" s="25" t="s">
        <v>228</v>
      </c>
    </row>
    <row r="824" spans="2:63" ht="15.6" x14ac:dyDescent="0.3">
      <c r="B824" s="11" t="s">
        <v>233</v>
      </c>
      <c r="C824" s="40" t="s">
        <v>234</v>
      </c>
      <c r="D824" s="40"/>
      <c r="E824" s="40"/>
      <c r="F824" s="54"/>
      <c r="G824" s="49"/>
      <c r="H824" s="48" t="e">
        <f t="shared" si="41"/>
        <v>#DIV/0!</v>
      </c>
      <c r="I824" s="40"/>
      <c r="J824" s="40"/>
      <c r="K824" s="40"/>
      <c r="L824" s="4" t="e">
        <f t="shared" si="39"/>
        <v>#DIV/0!</v>
      </c>
      <c r="AU824" s="22" t="e">
        <f t="shared" si="40"/>
        <v>#DIV/0!</v>
      </c>
      <c r="AV824" s="11" t="s">
        <v>166</v>
      </c>
      <c r="AW824" s="39">
        <v>121.44780539641501</v>
      </c>
      <c r="AX824" s="39">
        <v>0.204173794466951</v>
      </c>
      <c r="BK824" s="25" t="s">
        <v>228</v>
      </c>
    </row>
    <row r="825" spans="2:63" ht="15.6" x14ac:dyDescent="0.3">
      <c r="B825" s="11" t="s">
        <v>233</v>
      </c>
      <c r="C825" s="40" t="s">
        <v>234</v>
      </c>
      <c r="D825" s="40"/>
      <c r="E825" s="40"/>
      <c r="F825" s="54"/>
      <c r="G825" s="49"/>
      <c r="H825" s="48" t="e">
        <f t="shared" si="41"/>
        <v>#DIV/0!</v>
      </c>
      <c r="I825" s="40"/>
      <c r="J825" s="40"/>
      <c r="K825" s="40"/>
      <c r="L825" s="4" t="e">
        <f t="shared" si="39"/>
        <v>#DIV/0!</v>
      </c>
      <c r="AU825" s="22" t="e">
        <f t="shared" si="40"/>
        <v>#DIV/0!</v>
      </c>
      <c r="AV825" s="11" t="s">
        <v>166</v>
      </c>
      <c r="AW825" s="39">
        <v>102.25189408523801</v>
      </c>
      <c r="AX825" s="39">
        <v>0.660693448007589</v>
      </c>
      <c r="BK825" s="25" t="s">
        <v>228</v>
      </c>
    </row>
    <row r="826" spans="2:63" ht="15.6" x14ac:dyDescent="0.3">
      <c r="B826" s="11" t="s">
        <v>233</v>
      </c>
      <c r="C826" s="40" t="s">
        <v>234</v>
      </c>
      <c r="D826" s="40"/>
      <c r="E826" s="40"/>
      <c r="F826" s="54"/>
      <c r="G826" s="49"/>
      <c r="H826" s="48" t="e">
        <f t="shared" si="41"/>
        <v>#DIV/0!</v>
      </c>
      <c r="I826" s="40"/>
      <c r="J826" s="40"/>
      <c r="K826" s="40"/>
      <c r="L826" s="4" t="e">
        <f t="shared" si="39"/>
        <v>#DIV/0!</v>
      </c>
      <c r="AU826" s="22" t="e">
        <f t="shared" si="40"/>
        <v>#DIV/0!</v>
      </c>
      <c r="AV826" s="11" t="s">
        <v>166</v>
      </c>
      <c r="AW826" s="39">
        <v>62.295990275880797</v>
      </c>
      <c r="AX826" s="39">
        <v>6.0255958607435103</v>
      </c>
      <c r="BK826" s="25" t="s">
        <v>228</v>
      </c>
    </row>
    <row r="827" spans="2:63" ht="15.6" x14ac:dyDescent="0.3">
      <c r="B827" s="11" t="s">
        <v>233</v>
      </c>
      <c r="C827" s="40" t="s">
        <v>234</v>
      </c>
      <c r="D827" s="40"/>
      <c r="E827" s="40"/>
      <c r="F827" s="54"/>
      <c r="G827" s="49"/>
      <c r="H827" s="48" t="e">
        <f t="shared" si="41"/>
        <v>#DIV/0!</v>
      </c>
      <c r="I827" s="40"/>
      <c r="J827" s="40"/>
      <c r="K827" s="40"/>
      <c r="L827" s="4" t="e">
        <f t="shared" si="39"/>
        <v>#DIV/0!</v>
      </c>
      <c r="AU827" s="22" t="e">
        <f t="shared" si="40"/>
        <v>#DIV/0!</v>
      </c>
      <c r="AV827" s="11" t="s">
        <v>166</v>
      </c>
      <c r="AW827" s="39">
        <v>54.7850385815997</v>
      </c>
      <c r="AX827" s="39">
        <v>29.512092266663899</v>
      </c>
      <c r="BK827" s="25" t="s">
        <v>228</v>
      </c>
    </row>
    <row r="828" spans="2:63" ht="15.6" x14ac:dyDescent="0.3">
      <c r="B828" s="11" t="s">
        <v>233</v>
      </c>
      <c r="C828" s="40" t="s">
        <v>234</v>
      </c>
      <c r="D828" s="40"/>
      <c r="E828" s="40"/>
      <c r="F828" s="54"/>
      <c r="G828" s="49"/>
      <c r="H828" s="48" t="e">
        <f t="shared" si="41"/>
        <v>#DIV/0!</v>
      </c>
      <c r="I828" s="40"/>
      <c r="J828" s="40"/>
      <c r="K828" s="40"/>
      <c r="L828" s="4" t="e">
        <f t="shared" si="39"/>
        <v>#DIV/0!</v>
      </c>
      <c r="AU828" s="22" t="e">
        <f t="shared" si="40"/>
        <v>#DIV/0!</v>
      </c>
      <c r="AV828" s="11" t="s">
        <v>166</v>
      </c>
      <c r="AW828" s="39">
        <v>17.085555675781901</v>
      </c>
      <c r="AX828" s="39">
        <v>575.43993733715297</v>
      </c>
      <c r="BK828" s="25" t="s">
        <v>228</v>
      </c>
    </row>
    <row r="829" spans="2:63" ht="15.6" x14ac:dyDescent="0.3">
      <c r="B829" s="11" t="s">
        <v>235</v>
      </c>
      <c r="C829" s="40" t="s">
        <v>236</v>
      </c>
      <c r="D829" s="40"/>
      <c r="E829" s="40"/>
      <c r="F829" s="54"/>
      <c r="G829" s="49"/>
      <c r="H829" s="48" t="e">
        <f t="shared" si="41"/>
        <v>#DIV/0!</v>
      </c>
      <c r="I829" s="40"/>
      <c r="J829" s="40"/>
      <c r="K829" s="40"/>
      <c r="L829" s="4" t="e">
        <f t="shared" si="39"/>
        <v>#DIV/0!</v>
      </c>
      <c r="AU829" s="22" t="e">
        <f t="shared" si="40"/>
        <v>#DIV/0!</v>
      </c>
      <c r="AV829" s="11" t="s">
        <v>166</v>
      </c>
      <c r="AW829" s="31">
        <v>161.34164436223099</v>
      </c>
      <c r="AX829" s="31">
        <v>9.1201083935589793</v>
      </c>
      <c r="BK829" s="25" t="s">
        <v>228</v>
      </c>
    </row>
    <row r="830" spans="2:63" ht="15.6" x14ac:dyDescent="0.3">
      <c r="B830" s="11" t="s">
        <v>235</v>
      </c>
      <c r="C830" s="40" t="s">
        <v>236</v>
      </c>
      <c r="D830" s="40"/>
      <c r="E830" s="40"/>
      <c r="F830" s="54"/>
      <c r="G830" s="49"/>
      <c r="H830" s="48" t="e">
        <f t="shared" si="41"/>
        <v>#DIV/0!</v>
      </c>
      <c r="I830" s="40"/>
      <c r="J830" s="40"/>
      <c r="K830" s="40"/>
      <c r="L830" s="4" t="e">
        <f t="shared" si="39"/>
        <v>#DIV/0!</v>
      </c>
      <c r="AU830" s="22" t="e">
        <f t="shared" si="40"/>
        <v>#DIV/0!</v>
      </c>
      <c r="AV830" s="11" t="s">
        <v>166</v>
      </c>
      <c r="AW830" s="31">
        <v>71.105207553566103</v>
      </c>
      <c r="AX830" s="31">
        <v>154.88166189124701</v>
      </c>
      <c r="BK830" s="25" t="s">
        <v>228</v>
      </c>
    </row>
    <row r="831" spans="2:63" ht="15.6" x14ac:dyDescent="0.3">
      <c r="B831" s="11" t="s">
        <v>235</v>
      </c>
      <c r="C831" s="40" t="s">
        <v>236</v>
      </c>
      <c r="D831" s="40"/>
      <c r="E831" s="40"/>
      <c r="F831" s="54"/>
      <c r="G831" s="49"/>
      <c r="H831" s="48" t="e">
        <f t="shared" si="41"/>
        <v>#DIV/0!</v>
      </c>
      <c r="I831" s="40"/>
      <c r="J831" s="40"/>
      <c r="K831" s="40"/>
      <c r="L831" s="4" t="e">
        <f t="shared" si="39"/>
        <v>#DIV/0!</v>
      </c>
      <c r="AU831" s="22" t="e">
        <f t="shared" si="40"/>
        <v>#DIV/0!</v>
      </c>
      <c r="AV831" s="11" t="s">
        <v>166</v>
      </c>
      <c r="AW831" s="31">
        <v>30.025362742804099</v>
      </c>
      <c r="AX831" s="31">
        <v>4897.7881936844597</v>
      </c>
      <c r="BK831" s="25" t="s">
        <v>228</v>
      </c>
    </row>
    <row r="832" spans="2:63" ht="15.6" x14ac:dyDescent="0.3">
      <c r="B832" s="11" t="s">
        <v>235</v>
      </c>
      <c r="C832" s="40" t="s">
        <v>236</v>
      </c>
      <c r="D832" s="40"/>
      <c r="E832" s="40"/>
      <c r="F832" s="54"/>
      <c r="G832" s="49"/>
      <c r="H832" s="48" t="e">
        <f t="shared" si="41"/>
        <v>#DIV/0!</v>
      </c>
      <c r="I832" s="40"/>
      <c r="J832" s="40"/>
      <c r="K832" s="40"/>
      <c r="L832" s="4" t="e">
        <f t="shared" si="39"/>
        <v>#DIV/0!</v>
      </c>
      <c r="AU832" s="22" t="e">
        <f t="shared" si="40"/>
        <v>#DIV/0!</v>
      </c>
      <c r="AV832" s="11" t="s">
        <v>166</v>
      </c>
      <c r="AW832" s="31">
        <v>18.297609979138699</v>
      </c>
      <c r="AX832" s="31">
        <v>63095.734448019502</v>
      </c>
      <c r="BK832" s="25" t="s">
        <v>228</v>
      </c>
    </row>
    <row r="833" spans="2:63" ht="15.6" x14ac:dyDescent="0.3">
      <c r="B833" s="11" t="s">
        <v>235</v>
      </c>
      <c r="C833" s="40" t="s">
        <v>236</v>
      </c>
      <c r="D833" s="40"/>
      <c r="E833" s="40"/>
      <c r="F833" s="54"/>
      <c r="G833" s="49"/>
      <c r="H833" s="48" t="e">
        <f t="shared" si="41"/>
        <v>#DIV/0!</v>
      </c>
      <c r="I833" s="40"/>
      <c r="J833" s="40"/>
      <c r="K833" s="40"/>
      <c r="L833" s="4" t="e">
        <f t="shared" si="39"/>
        <v>#DIV/0!</v>
      </c>
      <c r="AU833" s="22" t="e">
        <f t="shared" si="40"/>
        <v>#DIV/0!</v>
      </c>
      <c r="AV833" s="11" t="s">
        <v>166</v>
      </c>
      <c r="AW833" s="31">
        <v>9.3704524971141208</v>
      </c>
      <c r="AX833" s="31">
        <v>234422.881531992</v>
      </c>
      <c r="BK833" s="25" t="s">
        <v>228</v>
      </c>
    </row>
    <row r="834" spans="2:63" ht="15.6" x14ac:dyDescent="0.3">
      <c r="B834" s="11" t="s">
        <v>237</v>
      </c>
      <c r="C834" s="40" t="s">
        <v>238</v>
      </c>
      <c r="D834" s="40"/>
      <c r="E834" s="40"/>
      <c r="F834" s="54"/>
      <c r="G834" s="49"/>
      <c r="H834" s="48" t="e">
        <f t="shared" si="41"/>
        <v>#DIV/0!</v>
      </c>
      <c r="I834" s="40"/>
      <c r="J834" s="40"/>
      <c r="K834" s="40"/>
      <c r="L834" s="4" t="e">
        <f t="shared" si="39"/>
        <v>#DIV/0!</v>
      </c>
      <c r="AU834" s="22" t="e">
        <f t="shared" si="40"/>
        <v>#DIV/0!</v>
      </c>
      <c r="AV834" s="11" t="s">
        <v>166</v>
      </c>
      <c r="AW834" s="45">
        <v>14.0348111355184</v>
      </c>
      <c r="AX834" s="45">
        <v>38.904514499427798</v>
      </c>
      <c r="BK834" s="25" t="s">
        <v>228</v>
      </c>
    </row>
    <row r="835" spans="2:63" ht="15.6" x14ac:dyDescent="0.3">
      <c r="B835" s="11" t="s">
        <v>237</v>
      </c>
      <c r="C835" s="40" t="s">
        <v>238</v>
      </c>
      <c r="D835" s="40"/>
      <c r="E835" s="40"/>
      <c r="F835" s="54"/>
      <c r="G835" s="49"/>
      <c r="H835" s="48" t="e">
        <f t="shared" si="41"/>
        <v>#DIV/0!</v>
      </c>
      <c r="I835" s="40"/>
      <c r="J835" s="40"/>
      <c r="K835" s="40"/>
      <c r="L835" s="4" t="e">
        <f t="shared" si="39"/>
        <v>#DIV/0!</v>
      </c>
      <c r="AU835" s="22" t="e">
        <f t="shared" si="40"/>
        <v>#DIV/0!</v>
      </c>
      <c r="AV835" s="11" t="s">
        <v>166</v>
      </c>
      <c r="AW835" s="45">
        <v>12.613774723659301</v>
      </c>
      <c r="AX835" s="45">
        <v>218.776162394952</v>
      </c>
      <c r="BK835" s="25" t="s">
        <v>228</v>
      </c>
    </row>
    <row r="836" spans="2:63" ht="15.6" x14ac:dyDescent="0.3">
      <c r="B836" s="11" t="s">
        <v>237</v>
      </c>
      <c r="C836" s="40" t="s">
        <v>238</v>
      </c>
      <c r="D836" s="40"/>
      <c r="E836" s="40"/>
      <c r="F836" s="54"/>
      <c r="G836" s="49"/>
      <c r="H836" s="48" t="e">
        <f t="shared" si="41"/>
        <v>#DIV/0!</v>
      </c>
      <c r="I836" s="40"/>
      <c r="J836" s="40"/>
      <c r="K836" s="40"/>
      <c r="L836" s="4" t="e">
        <f t="shared" si="39"/>
        <v>#DIV/0!</v>
      </c>
      <c r="AU836" s="22" t="e">
        <f t="shared" si="40"/>
        <v>#DIV/0!</v>
      </c>
      <c r="AV836" s="11" t="s">
        <v>166</v>
      </c>
      <c r="AW836" s="45">
        <v>13.1718836949183</v>
      </c>
      <c r="AX836" s="45">
        <v>234.422881531993</v>
      </c>
      <c r="BK836" s="25" t="s">
        <v>228</v>
      </c>
    </row>
    <row r="837" spans="2:63" ht="15.6" x14ac:dyDescent="0.3">
      <c r="B837" s="11" t="s">
        <v>237</v>
      </c>
      <c r="C837" s="40" t="s">
        <v>238</v>
      </c>
      <c r="D837" s="40"/>
      <c r="E837" s="40"/>
      <c r="F837" s="54"/>
      <c r="G837" s="49"/>
      <c r="H837" s="48" t="e">
        <f t="shared" si="41"/>
        <v>#DIV/0!</v>
      </c>
      <c r="I837" s="40"/>
      <c r="J837" s="40"/>
      <c r="K837" s="40"/>
      <c r="L837" s="4" t="e">
        <f t="shared" ref="L837:L851" si="42">J837/K837</f>
        <v>#DIV/0!</v>
      </c>
      <c r="AU837" s="22" t="e">
        <f t="shared" si="40"/>
        <v>#DIV/0!</v>
      </c>
      <c r="AV837" s="11" t="s">
        <v>166</v>
      </c>
      <c r="AW837" s="45">
        <v>14.364052881030799</v>
      </c>
      <c r="AX837" s="45">
        <v>288.40315031265902</v>
      </c>
      <c r="BK837" s="25" t="s">
        <v>228</v>
      </c>
    </row>
    <row r="838" spans="2:63" ht="15.6" x14ac:dyDescent="0.3">
      <c r="B838" s="11" t="s">
        <v>239</v>
      </c>
      <c r="C838" s="40" t="s">
        <v>240</v>
      </c>
      <c r="D838" s="40"/>
      <c r="E838" s="40"/>
      <c r="F838" s="54"/>
      <c r="G838" s="49"/>
      <c r="H838" s="48" t="e">
        <f t="shared" si="41"/>
        <v>#DIV/0!</v>
      </c>
      <c r="I838" s="40"/>
      <c r="J838" s="40"/>
      <c r="K838" s="40"/>
      <c r="L838" s="4" t="e">
        <f t="shared" si="42"/>
        <v>#DIV/0!</v>
      </c>
      <c r="AU838" s="22" t="e">
        <f t="shared" si="40"/>
        <v>#DIV/0!</v>
      </c>
      <c r="AV838" s="11" t="s">
        <v>166</v>
      </c>
      <c r="AW838" s="45">
        <v>24.1326844247283</v>
      </c>
      <c r="AX838" s="45">
        <v>269.15348039269003</v>
      </c>
      <c r="BK838" s="25" t="s">
        <v>228</v>
      </c>
    </row>
    <row r="839" spans="2:63" ht="15.6" x14ac:dyDescent="0.3">
      <c r="B839" s="11" t="s">
        <v>239</v>
      </c>
      <c r="C839" s="40" t="s">
        <v>240</v>
      </c>
      <c r="D839" s="40"/>
      <c r="E839" s="40"/>
      <c r="F839" s="54"/>
      <c r="G839" s="49"/>
      <c r="H839" s="48" t="e">
        <f t="shared" si="41"/>
        <v>#DIV/0!</v>
      </c>
      <c r="I839" s="40"/>
      <c r="J839" s="40"/>
      <c r="K839" s="40"/>
      <c r="L839" s="4" t="e">
        <f t="shared" si="42"/>
        <v>#DIV/0!</v>
      </c>
      <c r="AU839" s="22" t="e">
        <f t="shared" si="40"/>
        <v>#DIV/0!</v>
      </c>
      <c r="AV839" s="11" t="s">
        <v>166</v>
      </c>
      <c r="AW839" s="45">
        <v>22.623197692997199</v>
      </c>
      <c r="AX839" s="45">
        <v>380.18939632056299</v>
      </c>
      <c r="BK839" s="25" t="s">
        <v>228</v>
      </c>
    </row>
    <row r="840" spans="2:63" ht="15.6" x14ac:dyDescent="0.3">
      <c r="B840" s="11" t="s">
        <v>239</v>
      </c>
      <c r="C840" s="40" t="s">
        <v>240</v>
      </c>
      <c r="D840" s="40"/>
      <c r="E840" s="40"/>
      <c r="F840" s="54"/>
      <c r="G840" s="49"/>
      <c r="H840" s="48" t="e">
        <f t="shared" si="41"/>
        <v>#DIV/0!</v>
      </c>
      <c r="I840" s="40"/>
      <c r="J840" s="40"/>
      <c r="K840" s="40"/>
      <c r="L840" s="4" t="e">
        <f t="shared" si="42"/>
        <v>#DIV/0!</v>
      </c>
      <c r="AU840" s="22" t="e">
        <f t="shared" si="40"/>
        <v>#DIV/0!</v>
      </c>
      <c r="AV840" s="11" t="s">
        <v>166</v>
      </c>
      <c r="AW840" s="45">
        <v>21.6693093914907</v>
      </c>
      <c r="AX840" s="45">
        <v>467.735141287197</v>
      </c>
      <c r="BK840" s="25" t="s">
        <v>228</v>
      </c>
    </row>
    <row r="841" spans="2:63" ht="15.6" x14ac:dyDescent="0.3">
      <c r="B841" s="11" t="s">
        <v>239</v>
      </c>
      <c r="C841" s="40" t="s">
        <v>240</v>
      </c>
      <c r="D841" s="40"/>
      <c r="E841" s="40"/>
      <c r="F841" s="54"/>
      <c r="G841" s="49"/>
      <c r="H841" s="48" t="e">
        <f t="shared" si="41"/>
        <v>#DIV/0!</v>
      </c>
      <c r="I841" s="40"/>
      <c r="J841" s="40"/>
      <c r="K841" s="40"/>
      <c r="L841" s="4" t="e">
        <f t="shared" si="42"/>
        <v>#DIV/0!</v>
      </c>
      <c r="AU841" s="22" t="e">
        <f t="shared" si="40"/>
        <v>#DIV/0!</v>
      </c>
      <c r="AV841" s="11" t="s">
        <v>166</v>
      </c>
      <c r="AW841" s="45">
        <v>17.463695496017699</v>
      </c>
      <c r="AX841" s="45">
        <v>812.83051616409398</v>
      </c>
      <c r="BK841" s="25" t="s">
        <v>228</v>
      </c>
    </row>
    <row r="842" spans="2:63" ht="15.6" x14ac:dyDescent="0.3">
      <c r="B842" s="11" t="s">
        <v>239</v>
      </c>
      <c r="C842" s="40" t="s">
        <v>240</v>
      </c>
      <c r="D842" s="40"/>
      <c r="E842" s="40"/>
      <c r="F842" s="54"/>
      <c r="G842" s="49"/>
      <c r="H842" s="48" t="e">
        <f t="shared" si="41"/>
        <v>#DIV/0!</v>
      </c>
      <c r="I842" s="40"/>
      <c r="J842" s="40"/>
      <c r="K842" s="40"/>
      <c r="L842" s="4" t="e">
        <f t="shared" si="42"/>
        <v>#DIV/0!</v>
      </c>
      <c r="AU842" s="22" t="e">
        <f t="shared" si="40"/>
        <v>#DIV/0!</v>
      </c>
      <c r="AV842" s="11" t="s">
        <v>166</v>
      </c>
      <c r="AW842" s="45">
        <v>15.340696234221401</v>
      </c>
      <c r="AX842" s="45">
        <v>933.25430079699402</v>
      </c>
      <c r="BK842" s="25" t="s">
        <v>228</v>
      </c>
    </row>
    <row r="843" spans="2:63" ht="15.6" x14ac:dyDescent="0.3">
      <c r="B843" s="11" t="s">
        <v>242</v>
      </c>
      <c r="C843" s="40" t="s">
        <v>241</v>
      </c>
      <c r="D843" s="40"/>
      <c r="E843" s="40"/>
      <c r="F843" s="54"/>
      <c r="G843" s="49"/>
      <c r="H843" s="48" t="e">
        <f t="shared" si="41"/>
        <v>#DIV/0!</v>
      </c>
      <c r="I843" s="40"/>
      <c r="J843" s="40"/>
      <c r="K843" s="40"/>
      <c r="L843" s="4" t="e">
        <f t="shared" si="42"/>
        <v>#DIV/0!</v>
      </c>
      <c r="AU843" s="22" t="e">
        <f t="shared" si="40"/>
        <v>#DIV/0!</v>
      </c>
      <c r="AV843" s="11" t="s">
        <v>166</v>
      </c>
      <c r="AW843" s="47">
        <v>20.7735986680762</v>
      </c>
      <c r="AX843" s="47">
        <v>1737.8008287493501</v>
      </c>
      <c r="BK843" s="25" t="s">
        <v>228</v>
      </c>
    </row>
    <row r="844" spans="2:63" ht="15.6" x14ac:dyDescent="0.3">
      <c r="B844" s="11" t="s">
        <v>242</v>
      </c>
      <c r="C844" s="40" t="s">
        <v>241</v>
      </c>
      <c r="D844" s="40"/>
      <c r="E844" s="40"/>
      <c r="F844" s="54"/>
      <c r="G844" s="49"/>
      <c r="H844" s="48" t="e">
        <f t="shared" si="41"/>
        <v>#DIV/0!</v>
      </c>
      <c r="I844" s="40"/>
      <c r="J844" s="40"/>
      <c r="K844" s="40"/>
      <c r="L844" s="4" t="e">
        <f t="shared" si="42"/>
        <v>#DIV/0!</v>
      </c>
      <c r="AU844" s="22" t="e">
        <f t="shared" si="40"/>
        <v>#DIV/0!</v>
      </c>
      <c r="AV844" s="11" t="s">
        <v>166</v>
      </c>
      <c r="AW844" s="47">
        <v>19.894470942824601</v>
      </c>
      <c r="AX844" s="47">
        <v>1737.8008287493701</v>
      </c>
      <c r="BK844" s="25" t="s">
        <v>228</v>
      </c>
    </row>
    <row r="845" spans="2:63" ht="15.6" x14ac:dyDescent="0.3">
      <c r="B845" s="11" t="s">
        <v>242</v>
      </c>
      <c r="C845" s="40" t="s">
        <v>241</v>
      </c>
      <c r="D845" s="40"/>
      <c r="E845" s="40"/>
      <c r="F845" s="54"/>
      <c r="G845" s="49"/>
      <c r="H845" s="48" t="e">
        <f t="shared" si="41"/>
        <v>#DIV/0!</v>
      </c>
      <c r="I845" s="40"/>
      <c r="J845" s="40"/>
      <c r="K845" s="40"/>
      <c r="L845" s="4" t="e">
        <f t="shared" si="42"/>
        <v>#DIV/0!</v>
      </c>
      <c r="AU845" s="22" t="e">
        <f t="shared" ref="AU845:AU851" si="43">(AS845*AT845)/(AG845)</f>
        <v>#DIV/0!</v>
      </c>
      <c r="AV845" s="11" t="s">
        <v>166</v>
      </c>
      <c r="AW845" s="47">
        <v>19.052547438644801</v>
      </c>
      <c r="AX845" s="47">
        <v>1737.8008287493799</v>
      </c>
      <c r="BK845" s="25" t="s">
        <v>228</v>
      </c>
    </row>
    <row r="846" spans="2:63" ht="15.6" x14ac:dyDescent="0.3">
      <c r="B846" s="11" t="s">
        <v>242</v>
      </c>
      <c r="C846" s="40" t="s">
        <v>241</v>
      </c>
      <c r="D846" s="40"/>
      <c r="E846" s="40"/>
      <c r="F846" s="54"/>
      <c r="G846" s="49"/>
      <c r="H846" s="48" t="e">
        <f t="shared" si="41"/>
        <v>#DIV/0!</v>
      </c>
      <c r="I846" s="40"/>
      <c r="J846" s="40"/>
      <c r="K846" s="40"/>
      <c r="L846" s="4" t="e">
        <f t="shared" si="42"/>
        <v>#DIV/0!</v>
      </c>
      <c r="AU846" s="22" t="e">
        <f t="shared" si="43"/>
        <v>#DIV/0!</v>
      </c>
      <c r="AV846" s="11" t="s">
        <v>166</v>
      </c>
      <c r="AW846" s="47">
        <v>17.855994256290501</v>
      </c>
      <c r="AX846" s="47">
        <v>1737.8008287493501</v>
      </c>
      <c r="BK846" s="25" t="s">
        <v>228</v>
      </c>
    </row>
    <row r="847" spans="2:63" ht="15.6" x14ac:dyDescent="0.3">
      <c r="B847" s="11" t="s">
        <v>242</v>
      </c>
      <c r="C847" s="40" t="s">
        <v>241</v>
      </c>
      <c r="D847" s="40"/>
      <c r="E847" s="40"/>
      <c r="F847" s="54"/>
      <c r="G847" s="49"/>
      <c r="H847" s="48" t="e">
        <f t="shared" si="41"/>
        <v>#DIV/0!</v>
      </c>
      <c r="I847" s="40"/>
      <c r="J847" s="40"/>
      <c r="K847" s="40"/>
      <c r="L847" s="4" t="e">
        <f t="shared" si="42"/>
        <v>#DIV/0!</v>
      </c>
      <c r="AU847" s="22" t="e">
        <f t="shared" si="43"/>
        <v>#DIV/0!</v>
      </c>
      <c r="AV847" s="11" t="s">
        <v>166</v>
      </c>
      <c r="AW847" s="47">
        <v>16.736397105125501</v>
      </c>
      <c r="AX847" s="47">
        <v>1995.26231496888</v>
      </c>
      <c r="BK847" s="25" t="s">
        <v>228</v>
      </c>
    </row>
    <row r="848" spans="2:63" ht="15.6" x14ac:dyDescent="0.3">
      <c r="B848" s="11" t="s">
        <v>243</v>
      </c>
      <c r="C848" s="40" t="s">
        <v>244</v>
      </c>
      <c r="D848" s="40"/>
      <c r="E848" s="40"/>
      <c r="F848" s="54"/>
      <c r="G848" s="49"/>
      <c r="H848" s="48" t="e">
        <f t="shared" si="41"/>
        <v>#DIV/0!</v>
      </c>
      <c r="I848" s="40"/>
      <c r="J848" s="40"/>
      <c r="K848" s="40"/>
      <c r="L848" s="4" t="e">
        <f t="shared" si="42"/>
        <v>#DIV/0!</v>
      </c>
      <c r="AU848" s="22" t="e">
        <f t="shared" si="43"/>
        <v>#DIV/0!</v>
      </c>
      <c r="AV848" s="11" t="s">
        <v>166</v>
      </c>
      <c r="AW848" s="39">
        <v>17.091097552652499</v>
      </c>
      <c r="AX848" s="39">
        <v>870.96358995608102</v>
      </c>
      <c r="BK848" s="25" t="s">
        <v>228</v>
      </c>
    </row>
    <row r="849" spans="2:63" ht="15.6" x14ac:dyDescent="0.3">
      <c r="B849" s="11" t="s">
        <v>243</v>
      </c>
      <c r="C849" s="40" t="s">
        <v>244</v>
      </c>
      <c r="D849" s="40"/>
      <c r="E849" s="40"/>
      <c r="F849" s="54"/>
      <c r="G849" s="49"/>
      <c r="H849" s="48" t="e">
        <f t="shared" si="41"/>
        <v>#DIV/0!</v>
      </c>
      <c r="I849" s="40"/>
      <c r="J849" s="40"/>
      <c r="K849" s="40"/>
      <c r="L849" s="4" t="e">
        <f t="shared" si="42"/>
        <v>#DIV/0!</v>
      </c>
      <c r="AU849" s="22" t="e">
        <f t="shared" si="43"/>
        <v>#DIV/0!</v>
      </c>
      <c r="AV849" s="11" t="s">
        <v>166</v>
      </c>
      <c r="AW849" s="39">
        <v>16.368696055184799</v>
      </c>
      <c r="AX849" s="39">
        <v>933.25430079700197</v>
      </c>
      <c r="BK849" s="25" t="s">
        <v>228</v>
      </c>
    </row>
    <row r="850" spans="2:63" ht="15.6" x14ac:dyDescent="0.3">
      <c r="B850" s="11" t="s">
        <v>243</v>
      </c>
      <c r="C850" s="40" t="s">
        <v>244</v>
      </c>
      <c r="D850" s="40"/>
      <c r="E850" s="40"/>
      <c r="F850" s="54"/>
      <c r="G850" s="49"/>
      <c r="H850" s="48" t="e">
        <f t="shared" si="41"/>
        <v>#DIV/0!</v>
      </c>
      <c r="I850" s="40"/>
      <c r="J850" s="40"/>
      <c r="K850" s="40"/>
      <c r="L850" s="4" t="e">
        <f t="shared" si="42"/>
        <v>#DIV/0!</v>
      </c>
      <c r="AU850" s="22" t="e">
        <f t="shared" si="43"/>
        <v>#DIV/0!</v>
      </c>
      <c r="AV850" s="11" t="s">
        <v>166</v>
      </c>
      <c r="AW850" s="39">
        <v>16.021192390628698</v>
      </c>
      <c r="AX850" s="39">
        <v>1148.1536214968601</v>
      </c>
      <c r="BK850" s="25" t="s">
        <v>228</v>
      </c>
    </row>
    <row r="851" spans="2:63" ht="15.6" x14ac:dyDescent="0.3">
      <c r="B851" s="11" t="s">
        <v>243</v>
      </c>
      <c r="C851" s="40" t="s">
        <v>244</v>
      </c>
      <c r="D851" s="40"/>
      <c r="E851" s="40"/>
      <c r="F851" s="54"/>
      <c r="G851" s="49"/>
      <c r="H851" s="48" t="e">
        <f t="shared" si="41"/>
        <v>#DIV/0!</v>
      </c>
      <c r="I851" s="40"/>
      <c r="J851" s="40"/>
      <c r="K851" s="40"/>
      <c r="L851" s="4" t="e">
        <f t="shared" si="42"/>
        <v>#DIV/0!</v>
      </c>
      <c r="AU851" s="22" t="e">
        <f t="shared" si="43"/>
        <v>#DIV/0!</v>
      </c>
      <c r="AV851" s="11" t="s">
        <v>166</v>
      </c>
      <c r="AW851" s="39">
        <v>15.019075223945601</v>
      </c>
      <c r="AX851" s="39">
        <v>1621.8100973589001</v>
      </c>
      <c r="BK851" s="25" t="s">
        <v>228</v>
      </c>
    </row>
  </sheetData>
  <sortState xmlns:xlrd2="http://schemas.microsoft.com/office/spreadsheetml/2017/richdata2" ref="AP3:AQ11">
    <sortCondition ref="AQ3:AQ11"/>
  </sortState>
  <phoneticPr fontId="2" type="noConversion"/>
  <hyperlinks>
    <hyperlink ref="BK24" r:id="rId1" xr:uid="{C863D2C6-9CCD-4085-8AB5-2F6195C57E81}"/>
    <hyperlink ref="BK25" r:id="rId2" xr:uid="{EE6A7DB9-297C-4942-A7BF-96CA046F373F}"/>
    <hyperlink ref="BK26" r:id="rId3" xr:uid="{9AEE9382-C5BF-4FEA-BD52-74690C2AD902}"/>
    <hyperlink ref="BK27" r:id="rId4" xr:uid="{F029C3A4-2DC6-4F1B-AC95-4901CB3FBFC0}"/>
    <hyperlink ref="BK30" r:id="rId5" xr:uid="{1DC2C241-3D8C-4236-8BE1-C89E804569C8}"/>
    <hyperlink ref="BK31" r:id="rId6" xr:uid="{83D2E700-5EA7-42BD-ABEF-9E31F4FFCCE7}"/>
    <hyperlink ref="BK32" r:id="rId7" xr:uid="{43799FBB-31D3-4A0B-9AC5-B077837C0334}"/>
    <hyperlink ref="BK33" r:id="rId8" xr:uid="{E7E48B7B-A733-42D9-8B0D-1A913378BD8A}"/>
    <hyperlink ref="BK34" r:id="rId9" xr:uid="{C4A2EC0F-37E7-448E-8B62-171784117C4D}"/>
    <hyperlink ref="BK35" r:id="rId10" xr:uid="{E7626280-9E21-4535-8D44-548C05CEF953}"/>
    <hyperlink ref="BK36" r:id="rId11" xr:uid="{9157C5D5-347C-4EA1-8260-7559A22DB11C}"/>
    <hyperlink ref="BK37" r:id="rId12" xr:uid="{F8B32EA3-4802-479B-AD49-4E83B2C3D4EB}"/>
    <hyperlink ref="BK38" r:id="rId13" xr:uid="{763FBB67-3FCF-48A3-A08C-5B613E25FA3E}"/>
    <hyperlink ref="BK39" r:id="rId14" xr:uid="{DF608049-219F-4A69-BD14-4304637FF5E0}"/>
    <hyperlink ref="BK40" r:id="rId15" xr:uid="{7E292FB0-20FE-461F-8B79-DEED07142E96}"/>
    <hyperlink ref="BK41" r:id="rId16" xr:uid="{19793B9B-99BF-4B6C-8EEB-2F0F9AFA6FA9}"/>
    <hyperlink ref="BK4" r:id="rId17" xr:uid="{8FF1BDAC-143E-4EC1-A5F9-EF7D92797AEA}"/>
    <hyperlink ref="BK5" r:id="rId18" xr:uid="{428EF52D-8237-4147-8B76-E92DEE5A9983}"/>
    <hyperlink ref="BK6" r:id="rId19" xr:uid="{366F4C18-CACF-4A0F-8075-B8467ACE3FAF}"/>
    <hyperlink ref="BK7" r:id="rId20" xr:uid="{A5C9BACC-A2A4-4958-858E-9EDB1F2820AA}"/>
    <hyperlink ref="BK8" r:id="rId21" xr:uid="{035ECA5F-DB0A-4F37-B31A-E59CAD7B3A7A}"/>
    <hyperlink ref="BK9" r:id="rId22" xr:uid="{66B2F939-91D2-4463-8E7D-0EE37179E3F0}"/>
    <hyperlink ref="BK10" r:id="rId23" xr:uid="{D7892D79-2F49-4136-981C-2C89B3E4BD5E}"/>
    <hyperlink ref="BK11" r:id="rId24" xr:uid="{B3AB960F-C62D-47AD-A112-A0053B71594F}"/>
    <hyperlink ref="BK12" r:id="rId25" xr:uid="{F35D28F8-C5A6-4065-BE36-03089BAC2AE3}"/>
    <hyperlink ref="BK13" r:id="rId26" xr:uid="{7FD7D575-5F68-4A09-8569-5445E763C443}"/>
    <hyperlink ref="BK14" r:id="rId27" xr:uid="{E7853390-0543-48D4-B141-A5A107AA7494}"/>
    <hyperlink ref="BK15" r:id="rId28" xr:uid="{DBFFA773-5E54-437B-B3D0-AEB962E0DE96}"/>
    <hyperlink ref="BK16" r:id="rId29" xr:uid="{A78E3892-1A4E-4990-BDBB-A07BBA6AA0D7}"/>
    <hyperlink ref="BK17" r:id="rId30" xr:uid="{D2A86B02-D071-4B30-BDD0-D807C665231C}"/>
    <hyperlink ref="BK18" r:id="rId31" xr:uid="{AB2A0208-C725-4171-B6B9-F5F5565D506E}"/>
    <hyperlink ref="BK19" r:id="rId32" xr:uid="{E538DDED-9F80-4AD8-9CB1-A836B97B6187}"/>
    <hyperlink ref="BK20" r:id="rId33" xr:uid="{2FF67EC4-02AF-4A98-BACC-9A55772EDABF}"/>
    <hyperlink ref="BK21" r:id="rId34" xr:uid="{295216C9-92FC-4CDF-9720-28B9C0D1824C}"/>
    <hyperlink ref="BK22" r:id="rId35" xr:uid="{72B251E4-D6E8-4467-A22C-75E63673DA8D}"/>
    <hyperlink ref="BK23" r:id="rId36" xr:uid="{F82CDD13-BA71-4B32-A7D7-9EF355BAB49B}"/>
    <hyperlink ref="BK28" r:id="rId37" xr:uid="{33419597-DFFD-4147-A3DD-7A8BFF676D5C}"/>
    <hyperlink ref="BK29" r:id="rId38" xr:uid="{509325BF-7E47-4110-B417-CD42AD7391A9}"/>
    <hyperlink ref="BK42:BK239" r:id="rId39" display="https://doi.org/10.1038/s41467-019-10567-5" xr:uid="{D37AC137-08CD-4BFB-8678-D67DF9CDF809}"/>
    <hyperlink ref="BK240" r:id="rId40" xr:uid="{8DA1C040-2601-4432-B0D4-AC51B382640D}"/>
    <hyperlink ref="BK241:BK272" r:id="rId41" display="https://doi.org/10.1002/aenm.201401072" xr:uid="{85B0E1F0-CA35-4A3E-B83D-4AB3B32EFE36}"/>
    <hyperlink ref="BK273" r:id="rId42" xr:uid="{B2F00610-1BDB-4381-AD78-21D1AF2324C9}"/>
    <hyperlink ref="BK274:BK447" r:id="rId43" display="https://doi.org/10.1038/natrevmats.2016.50" xr:uid="{34043878-0BAF-4417-8D29-64EB4C7DCA95}"/>
    <hyperlink ref="BK448:BK510" r:id="rId44" display="https://doi.org/10.1038/natrevmats.2016.50" xr:uid="{8A183873-12F3-41CA-B4FD-91546A718A44}"/>
    <hyperlink ref="BK511" r:id="rId45" xr:uid="{DB82C066-0FEB-4CA0-8D2A-B7C0311AB25B}"/>
    <hyperlink ref="BK512:BK527" r:id="rId46" display="https://doi.org/10.1038/NMAT4784" xr:uid="{9F97F1F9-B8D5-4172-933F-629BC9F81885}"/>
    <hyperlink ref="BK528:BK533" r:id="rId47" display="https://doi.org/10.1038/NMAT4784" xr:uid="{29E80FB2-5DE1-49A5-AD2D-2F6C60FF8155}"/>
    <hyperlink ref="BK534:BK546" r:id="rId48" display="https://doi.org/10.1038/NMAT4784" xr:uid="{78BE9EF6-115E-4FC9-B570-1D717B513D7B}"/>
    <hyperlink ref="BK547:BK768" r:id="rId49" display="https://doi.org/10.1038/NMAT4784" xr:uid="{1612B2E8-6182-427A-BCDB-EA9AE1DCBD14}"/>
    <hyperlink ref="BK769" r:id="rId50" xr:uid="{23459E4A-8640-470F-B608-845D9628A76C}"/>
    <hyperlink ref="BK770:BK789" r:id="rId51" display="https://doi.org/10.1142/9789813148611_0008" xr:uid="{80338273-8525-4216-8A53-59C95A035C7F}"/>
    <hyperlink ref="BK790" r:id="rId52" xr:uid="{0D28A097-8DEB-40A3-8524-7CA0D5C5308F}"/>
    <hyperlink ref="BK791" r:id="rId53" xr:uid="{5F2627E1-97F1-4041-9DEC-C1A3F64DF02F}"/>
    <hyperlink ref="BK792:BK797" r:id="rId54" display="https://doi.org/10.1038/s41598-020-64951-z" xr:uid="{14D8E401-0845-4DD4-90BE-A3E961246DBF}"/>
    <hyperlink ref="BK3" r:id="rId55" xr:uid="{A22FACFB-624A-4023-80F1-D7B94C934B6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EFDDD-AB09-493C-9439-4FBB7F31B7E9}">
  <dimension ref="A1:J63"/>
  <sheetViews>
    <sheetView topLeftCell="A3" zoomScale="108" zoomScaleNormal="100" workbookViewId="0">
      <selection activeCell="F53" sqref="F53"/>
    </sheetView>
  </sheetViews>
  <sheetFormatPr defaultRowHeight="14.4" x14ac:dyDescent="0.3"/>
  <cols>
    <col min="1" max="1" width="29.33203125" customWidth="1"/>
    <col min="2" max="2" width="86.5546875" customWidth="1"/>
    <col min="3" max="3" width="86.5546875" hidden="1" customWidth="1"/>
    <col min="4" max="4" width="28.6640625" bestFit="1" customWidth="1"/>
    <col min="5" max="5" width="46" bestFit="1" customWidth="1"/>
    <col min="6" max="6" width="109.109375" customWidth="1"/>
    <col min="7" max="7" width="41.33203125" customWidth="1"/>
    <col min="9" max="9" width="10.21875" bestFit="1" customWidth="1"/>
    <col min="10" max="10" width="20.33203125" bestFit="1" customWidth="1"/>
  </cols>
  <sheetData>
    <row r="1" spans="1:10" s="67" customFormat="1" ht="28.8" x14ac:dyDescent="0.3">
      <c r="A1" s="58" t="s">
        <v>363</v>
      </c>
      <c r="B1" s="58" t="s">
        <v>269</v>
      </c>
      <c r="C1" s="58" t="s">
        <v>364</v>
      </c>
      <c r="D1" s="66" t="s">
        <v>305</v>
      </c>
      <c r="E1" s="66" t="s">
        <v>312</v>
      </c>
      <c r="F1" s="66" t="s">
        <v>367</v>
      </c>
      <c r="G1" s="58" t="s">
        <v>360</v>
      </c>
      <c r="I1" s="68" t="s">
        <v>357</v>
      </c>
      <c r="J1" s="69" t="s">
        <v>361</v>
      </c>
    </row>
    <row r="2" spans="1:10" x14ac:dyDescent="0.3">
      <c r="A2" s="64" t="s">
        <v>270</v>
      </c>
      <c r="B2" s="65" t="s">
        <v>271</v>
      </c>
      <c r="C2" s="65"/>
      <c r="D2" s="63"/>
      <c r="E2" s="62" t="s">
        <v>311</v>
      </c>
      <c r="F2" s="62"/>
      <c r="G2" s="59"/>
      <c r="I2" s="59" t="s">
        <v>358</v>
      </c>
      <c r="J2" s="59" t="s">
        <v>359</v>
      </c>
    </row>
    <row r="3" spans="1:10" x14ac:dyDescent="0.3">
      <c r="A3" s="64" t="s">
        <v>272</v>
      </c>
      <c r="B3" s="65" t="s">
        <v>273</v>
      </c>
      <c r="C3" s="65"/>
      <c r="D3" s="63"/>
      <c r="E3" s="62" t="s">
        <v>310</v>
      </c>
      <c r="F3" s="62"/>
      <c r="G3" s="59"/>
    </row>
    <row r="4" spans="1:10" x14ac:dyDescent="0.3">
      <c r="A4" s="64" t="s">
        <v>36</v>
      </c>
      <c r="B4" s="65" t="s">
        <v>274</v>
      </c>
      <c r="C4" s="65"/>
      <c r="D4" s="63"/>
      <c r="E4" s="62" t="s">
        <v>310</v>
      </c>
      <c r="F4" s="62"/>
      <c r="G4" s="59"/>
    </row>
    <row r="5" spans="1:10" x14ac:dyDescent="0.3">
      <c r="A5" s="60" t="s">
        <v>45</v>
      </c>
      <c r="B5" s="61" t="s">
        <v>275</v>
      </c>
      <c r="C5" s="61"/>
      <c r="D5" s="63"/>
      <c r="E5" s="62" t="s">
        <v>310</v>
      </c>
      <c r="F5" s="62"/>
      <c r="G5" s="59"/>
    </row>
    <row r="6" spans="1:10" x14ac:dyDescent="0.3">
      <c r="A6" s="70" t="s">
        <v>366</v>
      </c>
      <c r="B6" s="61" t="s">
        <v>276</v>
      </c>
      <c r="C6" s="61"/>
      <c r="D6" s="63"/>
      <c r="E6" s="62" t="s">
        <v>310</v>
      </c>
      <c r="F6" s="62"/>
      <c r="G6" s="59"/>
    </row>
    <row r="7" spans="1:10" x14ac:dyDescent="0.3">
      <c r="A7" s="60" t="s">
        <v>277</v>
      </c>
      <c r="B7" s="61" t="s">
        <v>278</v>
      </c>
      <c r="C7" s="61"/>
      <c r="D7" s="63"/>
      <c r="E7" s="62" t="s">
        <v>310</v>
      </c>
      <c r="F7" s="62"/>
      <c r="G7" s="59"/>
    </row>
    <row r="8" spans="1:10" x14ac:dyDescent="0.3">
      <c r="A8" s="60" t="s">
        <v>279</v>
      </c>
      <c r="B8" s="61" t="s">
        <v>280</v>
      </c>
      <c r="C8" s="61"/>
      <c r="D8" s="63"/>
      <c r="E8" s="62" t="s">
        <v>310</v>
      </c>
      <c r="F8" s="62"/>
      <c r="G8" s="59"/>
    </row>
    <row r="9" spans="1:10" x14ac:dyDescent="0.3">
      <c r="A9" s="64" t="s">
        <v>281</v>
      </c>
      <c r="B9" s="65" t="s">
        <v>282</v>
      </c>
      <c r="C9" s="65"/>
      <c r="D9" s="63"/>
      <c r="E9" s="62" t="s">
        <v>310</v>
      </c>
      <c r="F9" s="62"/>
      <c r="G9" s="59"/>
    </row>
    <row r="10" spans="1:10" x14ac:dyDescent="0.3">
      <c r="A10" s="60" t="s">
        <v>283</v>
      </c>
      <c r="B10" s="61" t="s">
        <v>284</v>
      </c>
      <c r="C10" s="61"/>
      <c r="D10" s="63"/>
      <c r="E10" s="62" t="s">
        <v>310</v>
      </c>
      <c r="F10" s="62"/>
      <c r="G10" s="59"/>
    </row>
    <row r="11" spans="1:10" x14ac:dyDescent="0.3">
      <c r="A11" s="60" t="s">
        <v>285</v>
      </c>
      <c r="B11" s="61" t="s">
        <v>286</v>
      </c>
      <c r="C11" s="61"/>
      <c r="D11" s="63"/>
      <c r="E11" s="62" t="s">
        <v>310</v>
      </c>
      <c r="F11" s="62"/>
      <c r="G11" s="59"/>
    </row>
    <row r="12" spans="1:10" x14ac:dyDescent="0.3">
      <c r="A12" s="60" t="s">
        <v>287</v>
      </c>
      <c r="B12" s="61" t="s">
        <v>288</v>
      </c>
      <c r="C12" s="61"/>
      <c r="D12" s="63"/>
      <c r="E12" s="62" t="s">
        <v>310</v>
      </c>
      <c r="F12" s="62"/>
      <c r="G12" s="59"/>
    </row>
    <row r="13" spans="1:10" x14ac:dyDescent="0.3">
      <c r="A13" s="60" t="s">
        <v>289</v>
      </c>
      <c r="B13" s="61" t="s">
        <v>290</v>
      </c>
      <c r="C13" s="61"/>
      <c r="D13" s="63"/>
      <c r="E13" s="62" t="s">
        <v>310</v>
      </c>
      <c r="F13" s="62"/>
      <c r="G13" s="59"/>
    </row>
    <row r="14" spans="1:10" x14ac:dyDescent="0.3">
      <c r="A14" s="60" t="s">
        <v>291</v>
      </c>
      <c r="B14" s="61" t="s">
        <v>292</v>
      </c>
      <c r="C14" s="61"/>
      <c r="D14" s="63"/>
      <c r="E14" s="62" t="s">
        <v>310</v>
      </c>
      <c r="F14" s="62"/>
      <c r="G14" s="59"/>
    </row>
    <row r="15" spans="1:10" x14ac:dyDescent="0.3">
      <c r="A15" s="64" t="s">
        <v>50</v>
      </c>
      <c r="B15" s="65" t="s">
        <v>293</v>
      </c>
      <c r="C15" s="65"/>
      <c r="D15" s="63"/>
      <c r="E15" s="62" t="s">
        <v>310</v>
      </c>
      <c r="F15" s="62"/>
      <c r="G15" s="59"/>
    </row>
    <row r="16" spans="1:10" x14ac:dyDescent="0.3">
      <c r="A16" s="60" t="s">
        <v>294</v>
      </c>
      <c r="B16" s="61" t="s">
        <v>295</v>
      </c>
      <c r="C16" s="61"/>
      <c r="D16" s="63"/>
      <c r="E16" s="62" t="s">
        <v>310</v>
      </c>
      <c r="F16" s="62"/>
      <c r="G16" s="59"/>
    </row>
    <row r="17" spans="1:7" x14ac:dyDescent="0.3">
      <c r="A17" s="60" t="s">
        <v>296</v>
      </c>
      <c r="B17" s="61" t="s">
        <v>297</v>
      </c>
      <c r="C17" s="61"/>
      <c r="D17" s="57"/>
      <c r="E17" s="62" t="s">
        <v>310</v>
      </c>
      <c r="F17" s="62"/>
      <c r="G17" s="59"/>
    </row>
    <row r="18" spans="1:7" x14ac:dyDescent="0.3">
      <c r="A18" s="60" t="s">
        <v>298</v>
      </c>
      <c r="B18" s="61" t="s">
        <v>299</v>
      </c>
      <c r="C18" s="61"/>
      <c r="D18" s="57"/>
      <c r="E18" s="62" t="s">
        <v>310</v>
      </c>
      <c r="F18" s="62"/>
      <c r="G18" s="59"/>
    </row>
    <row r="19" spans="1:7" x14ac:dyDescent="0.3">
      <c r="A19" s="60" t="s">
        <v>300</v>
      </c>
      <c r="B19" s="61" t="s">
        <v>301</v>
      </c>
      <c r="C19" s="61"/>
      <c r="D19" s="63"/>
      <c r="E19" s="62" t="s">
        <v>310</v>
      </c>
      <c r="F19" s="62"/>
      <c r="G19" s="59"/>
    </row>
    <row r="20" spans="1:7" x14ac:dyDescent="0.3">
      <c r="A20" s="60" t="s">
        <v>43</v>
      </c>
      <c r="B20" s="61" t="s">
        <v>302</v>
      </c>
      <c r="C20" s="61"/>
      <c r="D20" s="63"/>
      <c r="E20" s="62" t="s">
        <v>310</v>
      </c>
      <c r="F20" s="62"/>
      <c r="G20" s="59"/>
    </row>
    <row r="21" spans="1:7" x14ac:dyDescent="0.3">
      <c r="A21" s="60" t="s">
        <v>303</v>
      </c>
      <c r="B21" s="61" t="s">
        <v>304</v>
      </c>
      <c r="C21" s="61"/>
      <c r="D21" s="71"/>
      <c r="E21" s="62" t="s">
        <v>310</v>
      </c>
      <c r="F21" s="62"/>
      <c r="G21" s="59"/>
    </row>
    <row r="22" spans="1:7" ht="28.8" x14ac:dyDescent="0.3">
      <c r="A22" s="60" t="s">
        <v>306</v>
      </c>
      <c r="B22" s="61" t="s">
        <v>309</v>
      </c>
      <c r="C22" s="61"/>
      <c r="D22" s="63"/>
      <c r="E22" s="59"/>
      <c r="F22" s="59"/>
      <c r="G22" s="59"/>
    </row>
    <row r="23" spans="1:7" x14ac:dyDescent="0.3">
      <c r="A23" s="60" t="s">
        <v>307</v>
      </c>
      <c r="B23" s="61" t="s">
        <v>308</v>
      </c>
      <c r="C23" s="61"/>
      <c r="D23" s="63"/>
      <c r="E23" s="59"/>
      <c r="F23" s="59"/>
      <c r="G23" s="59"/>
    </row>
    <row r="24" spans="1:7" x14ac:dyDescent="0.3">
      <c r="A24" s="60" t="s">
        <v>58</v>
      </c>
      <c r="B24" s="61" t="s">
        <v>313</v>
      </c>
      <c r="C24" s="61"/>
      <c r="D24" s="63"/>
      <c r="E24" s="59"/>
      <c r="F24" s="59"/>
      <c r="G24" s="59"/>
    </row>
    <row r="25" spans="1:7" x14ac:dyDescent="0.3">
      <c r="A25" s="60" t="s">
        <v>67</v>
      </c>
      <c r="B25" s="61" t="s">
        <v>314</v>
      </c>
      <c r="C25" s="61"/>
      <c r="D25" s="63"/>
      <c r="E25" s="59"/>
      <c r="F25" s="59"/>
      <c r="G25" s="59"/>
    </row>
    <row r="26" spans="1:7" x14ac:dyDescent="0.3">
      <c r="A26" s="60" t="s">
        <v>1</v>
      </c>
      <c r="B26" s="61" t="s">
        <v>315</v>
      </c>
      <c r="C26" s="61"/>
      <c r="D26" s="63"/>
      <c r="E26" s="59"/>
      <c r="F26" s="59"/>
      <c r="G26" s="59"/>
    </row>
    <row r="27" spans="1:7" x14ac:dyDescent="0.3">
      <c r="A27" s="60" t="s">
        <v>248</v>
      </c>
      <c r="B27" s="61" t="s">
        <v>316</v>
      </c>
      <c r="C27" s="61"/>
      <c r="D27" s="63"/>
      <c r="E27" s="59"/>
      <c r="F27" s="59"/>
      <c r="G27" s="59"/>
    </row>
    <row r="28" spans="1:7" x14ac:dyDescent="0.3">
      <c r="A28" s="60" t="s">
        <v>268</v>
      </c>
      <c r="B28" s="61" t="s">
        <v>317</v>
      </c>
      <c r="C28" s="61"/>
      <c r="D28" s="63"/>
      <c r="E28" s="59"/>
      <c r="F28" s="59"/>
      <c r="G28" s="59"/>
    </row>
    <row r="29" spans="1:7" x14ac:dyDescent="0.3">
      <c r="A29" s="60" t="s">
        <v>257</v>
      </c>
      <c r="B29" s="61" t="s">
        <v>318</v>
      </c>
      <c r="C29" s="61"/>
      <c r="D29" s="63"/>
      <c r="E29" s="59"/>
      <c r="F29" s="59"/>
      <c r="G29" s="59"/>
    </row>
    <row r="30" spans="1:7" ht="28.8" x14ac:dyDescent="0.3">
      <c r="A30" s="60" t="s">
        <v>256</v>
      </c>
      <c r="B30" s="61" t="s">
        <v>319</v>
      </c>
      <c r="C30" s="61"/>
      <c r="D30" s="63"/>
      <c r="E30" s="59"/>
      <c r="F30" s="59"/>
      <c r="G30" s="59"/>
    </row>
    <row r="31" spans="1:7" ht="57.6" x14ac:dyDescent="0.3">
      <c r="A31" s="60" t="s">
        <v>320</v>
      </c>
      <c r="B31" s="61" t="s">
        <v>321</v>
      </c>
      <c r="C31" s="61"/>
      <c r="D31" s="63"/>
      <c r="E31" s="59"/>
      <c r="F31" s="59"/>
      <c r="G31" s="59"/>
    </row>
    <row r="32" spans="1:7" x14ac:dyDescent="0.3">
      <c r="A32" s="60" t="s">
        <v>252</v>
      </c>
      <c r="B32" s="61" t="s">
        <v>322</v>
      </c>
      <c r="C32" s="61"/>
      <c r="D32" s="63"/>
      <c r="E32" s="59"/>
      <c r="F32" s="59"/>
      <c r="G32" s="59"/>
    </row>
    <row r="33" spans="1:7" x14ac:dyDescent="0.3">
      <c r="A33" s="60" t="s">
        <v>323</v>
      </c>
      <c r="B33" s="61" t="s">
        <v>324</v>
      </c>
      <c r="C33" s="61"/>
      <c r="D33" s="63"/>
      <c r="E33" s="59"/>
      <c r="F33" s="59"/>
      <c r="G33" s="59"/>
    </row>
    <row r="34" spans="1:7" ht="28.8" x14ac:dyDescent="0.3">
      <c r="A34" s="60" t="s">
        <v>325</v>
      </c>
      <c r="B34" s="61" t="s">
        <v>326</v>
      </c>
      <c r="C34" s="61"/>
      <c r="D34" s="63"/>
      <c r="E34" s="59"/>
      <c r="F34" s="59"/>
      <c r="G34" s="59"/>
    </row>
    <row r="35" spans="1:7" x14ac:dyDescent="0.3">
      <c r="A35" s="60" t="s">
        <v>188</v>
      </c>
      <c r="B35" s="61" t="s">
        <v>327</v>
      </c>
      <c r="C35" s="61"/>
      <c r="D35" s="63"/>
      <c r="E35" s="59"/>
      <c r="F35" s="59"/>
      <c r="G35" s="59"/>
    </row>
    <row r="36" spans="1:7" ht="28.8" x14ac:dyDescent="0.3">
      <c r="A36" s="60" t="s">
        <v>247</v>
      </c>
      <c r="B36" s="61" t="s">
        <v>328</v>
      </c>
      <c r="C36" s="61"/>
      <c r="D36" s="63"/>
      <c r="E36" s="59"/>
      <c r="F36" s="59"/>
      <c r="G36" s="59"/>
    </row>
    <row r="37" spans="1:7" x14ac:dyDescent="0.3">
      <c r="A37" s="60" t="s">
        <v>196</v>
      </c>
      <c r="B37" s="61" t="s">
        <v>329</v>
      </c>
      <c r="C37" s="61"/>
      <c r="D37" s="63"/>
      <c r="E37" s="59"/>
      <c r="F37" s="59"/>
      <c r="G37" s="59"/>
    </row>
    <row r="38" spans="1:7" ht="57.6" x14ac:dyDescent="0.3">
      <c r="A38" s="60" t="s">
        <v>150</v>
      </c>
      <c r="B38" s="61" t="s">
        <v>330</v>
      </c>
      <c r="C38" s="61"/>
      <c r="D38" s="63"/>
      <c r="E38" s="59"/>
      <c r="F38" s="74" t="s">
        <v>399</v>
      </c>
      <c r="G38" s="59"/>
    </row>
    <row r="39" spans="1:7" x14ac:dyDescent="0.3">
      <c r="A39" s="60" t="s">
        <v>48</v>
      </c>
      <c r="B39" s="61" t="s">
        <v>331</v>
      </c>
      <c r="C39" s="61"/>
      <c r="D39" s="63"/>
      <c r="E39" s="59"/>
      <c r="F39" s="59"/>
      <c r="G39" s="59"/>
    </row>
    <row r="40" spans="1:7" x14ac:dyDescent="0.3">
      <c r="A40" s="60" t="s">
        <v>60</v>
      </c>
      <c r="B40" s="61" t="s">
        <v>332</v>
      </c>
      <c r="C40" s="61"/>
      <c r="D40" s="63"/>
      <c r="E40" s="59"/>
      <c r="F40" s="59"/>
      <c r="G40" s="59"/>
    </row>
    <row r="41" spans="1:7" ht="57.6" x14ac:dyDescent="0.3">
      <c r="A41" s="60" t="s">
        <v>151</v>
      </c>
      <c r="B41" s="61" t="s">
        <v>333</v>
      </c>
      <c r="C41" s="61"/>
      <c r="D41" s="63"/>
      <c r="E41" s="59"/>
      <c r="F41" s="74" t="s">
        <v>400</v>
      </c>
      <c r="G41" s="59"/>
    </row>
    <row r="42" spans="1:7" x14ac:dyDescent="0.3">
      <c r="A42" s="60" t="s">
        <v>47</v>
      </c>
      <c r="B42" s="61" t="s">
        <v>334</v>
      </c>
      <c r="C42" s="61"/>
      <c r="D42" s="63"/>
      <c r="E42" s="59"/>
      <c r="F42" s="59"/>
      <c r="G42" s="59"/>
    </row>
    <row r="43" spans="1:7" x14ac:dyDescent="0.3">
      <c r="A43" s="60" t="s">
        <v>60</v>
      </c>
      <c r="B43" s="61" t="s">
        <v>335</v>
      </c>
      <c r="C43" s="61"/>
      <c r="D43" s="63"/>
      <c r="E43" s="59"/>
      <c r="F43" s="59"/>
      <c r="G43" s="59"/>
    </row>
    <row r="44" spans="1:7" ht="57.6" x14ac:dyDescent="0.3">
      <c r="A44" s="60" t="s">
        <v>153</v>
      </c>
      <c r="B44" s="61" t="s">
        <v>336</v>
      </c>
      <c r="C44" s="61"/>
      <c r="D44" s="63"/>
      <c r="E44" s="59"/>
      <c r="F44" s="74" t="s">
        <v>400</v>
      </c>
      <c r="G44" s="59"/>
    </row>
    <row r="45" spans="1:7" x14ac:dyDescent="0.3">
      <c r="A45" s="60" t="s">
        <v>155</v>
      </c>
      <c r="B45" s="61" t="s">
        <v>337</v>
      </c>
      <c r="C45" s="61"/>
      <c r="D45" s="63"/>
      <c r="E45" s="59"/>
      <c r="F45" s="59"/>
      <c r="G45" s="59"/>
    </row>
    <row r="46" spans="1:7" x14ac:dyDescent="0.3">
      <c r="A46" s="60" t="s">
        <v>60</v>
      </c>
      <c r="B46" s="61" t="s">
        <v>338</v>
      </c>
      <c r="C46" s="61"/>
      <c r="D46" s="63"/>
      <c r="E46" s="59"/>
      <c r="F46" s="59"/>
      <c r="G46" s="59"/>
    </row>
    <row r="47" spans="1:7" ht="57.6" x14ac:dyDescent="0.3">
      <c r="A47" s="60" t="s">
        <v>160</v>
      </c>
      <c r="B47" s="61" t="s">
        <v>339</v>
      </c>
      <c r="C47" s="61"/>
      <c r="D47" s="63"/>
      <c r="E47" s="59"/>
      <c r="F47" s="74" t="s">
        <v>400</v>
      </c>
      <c r="G47" s="59"/>
    </row>
    <row r="48" spans="1:7" x14ac:dyDescent="0.3">
      <c r="A48" s="60" t="s">
        <v>157</v>
      </c>
      <c r="B48" s="61" t="s">
        <v>340</v>
      </c>
      <c r="C48" s="61"/>
      <c r="D48" s="63"/>
      <c r="E48" s="59"/>
      <c r="F48" s="59"/>
      <c r="G48" s="59"/>
    </row>
    <row r="49" spans="1:7" ht="28.8" x14ac:dyDescent="0.3">
      <c r="A49" s="60" t="s">
        <v>341</v>
      </c>
      <c r="B49" s="61" t="s">
        <v>342</v>
      </c>
      <c r="C49" s="61"/>
      <c r="D49" s="63"/>
      <c r="E49" s="59"/>
      <c r="F49" s="59"/>
      <c r="G49" s="59"/>
    </row>
    <row r="50" spans="1:7" ht="57.6" x14ac:dyDescent="0.3">
      <c r="A50" s="60" t="s">
        <v>165</v>
      </c>
      <c r="B50" s="61" t="s">
        <v>343</v>
      </c>
      <c r="C50" s="61"/>
      <c r="D50" s="63"/>
      <c r="E50" s="59"/>
      <c r="F50" s="74" t="s">
        <v>400</v>
      </c>
      <c r="G50" s="59"/>
    </row>
    <row r="51" spans="1:7" x14ac:dyDescent="0.3">
      <c r="A51" s="60" t="s">
        <v>48</v>
      </c>
      <c r="B51" s="61" t="s">
        <v>344</v>
      </c>
      <c r="C51" s="61"/>
      <c r="D51" s="63"/>
      <c r="E51" s="59"/>
      <c r="F51" s="59"/>
      <c r="G51" s="59"/>
    </row>
    <row r="52" spans="1:7" x14ac:dyDescent="0.3">
      <c r="A52" s="60" t="s">
        <v>47</v>
      </c>
      <c r="B52" s="61" t="s">
        <v>345</v>
      </c>
      <c r="C52" s="61"/>
      <c r="D52" s="63"/>
      <c r="E52" s="59"/>
      <c r="F52" s="59"/>
      <c r="G52" s="59"/>
    </row>
    <row r="53" spans="1:7" ht="57.6" x14ac:dyDescent="0.3">
      <c r="A53" s="60" t="s">
        <v>190</v>
      </c>
      <c r="B53" s="61" t="s">
        <v>346</v>
      </c>
      <c r="C53" s="61"/>
      <c r="D53" s="63"/>
      <c r="E53" s="59"/>
      <c r="F53" s="74" t="s">
        <v>400</v>
      </c>
      <c r="G53" s="59"/>
    </row>
    <row r="54" spans="1:7" x14ac:dyDescent="0.3">
      <c r="A54" s="60" t="s">
        <v>155</v>
      </c>
      <c r="B54" s="61" t="s">
        <v>347</v>
      </c>
      <c r="C54" s="61"/>
      <c r="D54" s="63"/>
      <c r="E54" s="59"/>
      <c r="F54" s="59"/>
      <c r="G54" s="59"/>
    </row>
    <row r="55" spans="1:7" x14ac:dyDescent="0.3">
      <c r="A55" s="60" t="s">
        <v>47</v>
      </c>
      <c r="B55" s="61" t="s">
        <v>348</v>
      </c>
      <c r="C55" s="61"/>
      <c r="D55" s="63"/>
      <c r="E55" s="59"/>
      <c r="F55" s="59"/>
      <c r="G55" s="59"/>
    </row>
    <row r="56" spans="1:7" x14ac:dyDescent="0.3">
      <c r="A56" s="60" t="s">
        <v>362</v>
      </c>
      <c r="B56" s="61" t="s">
        <v>349</v>
      </c>
      <c r="C56" s="61"/>
      <c r="D56" s="63"/>
      <c r="E56" s="59"/>
      <c r="F56" s="59"/>
      <c r="G56" s="59"/>
    </row>
    <row r="57" spans="1:7" ht="28.8" x14ac:dyDescent="0.3">
      <c r="A57" s="60" t="s">
        <v>156</v>
      </c>
      <c r="B57" s="61" t="s">
        <v>350</v>
      </c>
      <c r="C57" s="61"/>
      <c r="D57" s="63"/>
      <c r="E57" s="59"/>
      <c r="F57" s="59"/>
      <c r="G57" s="59"/>
    </row>
    <row r="58" spans="1:7" x14ac:dyDescent="0.3">
      <c r="A58" s="60" t="s">
        <v>158</v>
      </c>
      <c r="B58" s="61" t="s">
        <v>351</v>
      </c>
      <c r="C58" s="61"/>
      <c r="D58" s="63"/>
      <c r="E58" s="59"/>
      <c r="F58" s="59"/>
      <c r="G58" s="59"/>
    </row>
    <row r="59" spans="1:7" x14ac:dyDescent="0.3">
      <c r="A59" s="60" t="s">
        <v>64</v>
      </c>
      <c r="B59" s="61" t="s">
        <v>352</v>
      </c>
      <c r="C59" s="61"/>
      <c r="D59" s="63"/>
      <c r="E59" s="59"/>
      <c r="F59" s="59"/>
      <c r="G59" s="59"/>
    </row>
    <row r="60" spans="1:7" x14ac:dyDescent="0.3">
      <c r="A60" s="60" t="s">
        <v>65</v>
      </c>
      <c r="B60" s="61" t="s">
        <v>353</v>
      </c>
      <c r="C60" s="61"/>
      <c r="D60" s="63"/>
      <c r="E60" s="59"/>
      <c r="F60" s="59"/>
      <c r="G60" s="59"/>
    </row>
    <row r="61" spans="1:7" x14ac:dyDescent="0.3">
      <c r="A61" s="60" t="s">
        <v>66</v>
      </c>
      <c r="B61" s="61" t="s">
        <v>354</v>
      </c>
      <c r="C61" s="61"/>
      <c r="D61" s="63"/>
      <c r="E61" s="59"/>
      <c r="F61" s="59"/>
      <c r="G61" s="59"/>
    </row>
    <row r="62" spans="1:7" x14ac:dyDescent="0.3">
      <c r="A62" s="60" t="s">
        <v>23</v>
      </c>
      <c r="B62" s="61" t="s">
        <v>355</v>
      </c>
      <c r="C62" s="61"/>
      <c r="D62" s="63"/>
      <c r="E62" s="59"/>
      <c r="F62" s="59"/>
      <c r="G62" s="59"/>
    </row>
    <row r="63" spans="1:7" x14ac:dyDescent="0.3">
      <c r="A63" s="60" t="s">
        <v>24</v>
      </c>
      <c r="B63" s="61" t="s">
        <v>356</v>
      </c>
      <c r="C63" s="61"/>
      <c r="D63" s="63"/>
      <c r="E63" s="59"/>
      <c r="F63" s="59"/>
      <c r="G63" s="59"/>
    </row>
  </sheetData>
  <hyperlinks>
    <hyperlink ref="E3:E21" r:id="rId1" display="Horates Database" xr:uid="{C059A029-7160-4444-A740-59E740042663}"/>
    <hyperlink ref="E2" r:id="rId2" display="Horates Database" xr:uid="{4D83A359-160C-49CA-98FF-9C00FAFC4AE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175D-41EF-4D5D-951D-7B18AA9F79E9}">
  <dimension ref="A1:AF13"/>
  <sheetViews>
    <sheetView zoomScale="73" workbookViewId="0">
      <selection activeCell="S32" sqref="S32"/>
    </sheetView>
  </sheetViews>
  <sheetFormatPr defaultColWidth="18.44140625" defaultRowHeight="14.4" x14ac:dyDescent="0.3"/>
  <cols>
    <col min="21" max="21" width="23.33203125" bestFit="1" customWidth="1"/>
  </cols>
  <sheetData>
    <row r="1" spans="1:32" x14ac:dyDescent="0.3">
      <c r="A1" s="2" t="s">
        <v>27</v>
      </c>
      <c r="B1" s="2" t="s">
        <v>28</v>
      </c>
    </row>
    <row r="2" spans="1:32" x14ac:dyDescent="0.3">
      <c r="B2" s="1" t="s">
        <v>67</v>
      </c>
      <c r="C2" s="1" t="s">
        <v>30</v>
      </c>
      <c r="D2" s="1" t="s">
        <v>3</v>
      </c>
      <c r="E2" s="1" t="s">
        <v>31</v>
      </c>
      <c r="F2" s="1" t="s">
        <v>20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  <c r="AA2" s="1" t="s">
        <v>52</v>
      </c>
      <c r="AB2" s="1" t="s">
        <v>53</v>
      </c>
      <c r="AC2" s="1" t="s">
        <v>54</v>
      </c>
      <c r="AD2" s="1" t="s">
        <v>55</v>
      </c>
      <c r="AE2" s="1" t="s">
        <v>23</v>
      </c>
      <c r="AF2" s="1" t="s">
        <v>24</v>
      </c>
    </row>
    <row r="3" spans="1:32" ht="28.8" x14ac:dyDescent="0.3">
      <c r="A3" s="3"/>
      <c r="B3" s="4" t="s">
        <v>69</v>
      </c>
      <c r="C3" s="4" t="s">
        <v>70</v>
      </c>
      <c r="D3" s="3" t="s">
        <v>72</v>
      </c>
      <c r="E3" s="3" t="s">
        <v>112</v>
      </c>
      <c r="F3" s="3" t="s">
        <v>85</v>
      </c>
      <c r="G3" s="3" t="s">
        <v>113</v>
      </c>
      <c r="H3" s="3" t="s">
        <v>114</v>
      </c>
      <c r="I3" s="3" t="s">
        <v>115</v>
      </c>
      <c r="J3" s="3" t="s">
        <v>116</v>
      </c>
      <c r="K3" s="3" t="s">
        <v>117</v>
      </c>
      <c r="L3" s="10" t="s">
        <v>118</v>
      </c>
      <c r="M3" s="3" t="s">
        <v>74</v>
      </c>
      <c r="N3" s="3" t="s">
        <v>119</v>
      </c>
      <c r="O3" s="3" t="s">
        <v>120</v>
      </c>
      <c r="P3" s="3" t="s">
        <v>121</v>
      </c>
      <c r="Q3" s="3" t="s">
        <v>122</v>
      </c>
      <c r="R3" s="3" t="s">
        <v>123</v>
      </c>
      <c r="S3" s="3" t="s">
        <v>81</v>
      </c>
      <c r="T3" s="3" t="s">
        <v>124</v>
      </c>
      <c r="U3" s="3" t="s">
        <v>125</v>
      </c>
      <c r="V3" s="8" t="s">
        <v>126</v>
      </c>
      <c r="W3" s="9" t="s">
        <v>74</v>
      </c>
      <c r="X3" s="8" t="s">
        <v>127</v>
      </c>
      <c r="Y3" s="4" t="s">
        <v>128</v>
      </c>
      <c r="Z3" s="3" t="s">
        <v>74</v>
      </c>
      <c r="AA3" s="3" t="s">
        <v>129</v>
      </c>
      <c r="AB3" s="3" t="s">
        <v>130</v>
      </c>
      <c r="AC3" s="3" t="s">
        <v>131</v>
      </c>
      <c r="AD3" s="3" t="s">
        <v>132</v>
      </c>
      <c r="AE3" s="3" t="s">
        <v>88</v>
      </c>
      <c r="AF3" s="3"/>
    </row>
    <row r="4" spans="1:32" ht="28.8" x14ac:dyDescent="0.3">
      <c r="A4" s="3"/>
      <c r="B4" s="4" t="s">
        <v>110</v>
      </c>
      <c r="C4" s="4" t="s">
        <v>89</v>
      </c>
      <c r="D4" s="3" t="s">
        <v>91</v>
      </c>
      <c r="E4" s="3" t="s">
        <v>112</v>
      </c>
      <c r="F4" s="3" t="s">
        <v>85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10" t="s">
        <v>118</v>
      </c>
      <c r="M4" s="3" t="s">
        <v>74</v>
      </c>
      <c r="N4" s="3" t="s">
        <v>119</v>
      </c>
      <c r="O4" s="3" t="s">
        <v>120</v>
      </c>
      <c r="P4" s="3" t="s">
        <v>121</v>
      </c>
      <c r="Q4" s="3" t="s">
        <v>133</v>
      </c>
      <c r="R4" s="3" t="s">
        <v>123</v>
      </c>
      <c r="S4" s="3" t="s">
        <v>81</v>
      </c>
      <c r="T4" s="3" t="s">
        <v>124</v>
      </c>
      <c r="U4" s="3" t="s">
        <v>125</v>
      </c>
      <c r="V4" s="8" t="s">
        <v>134</v>
      </c>
      <c r="W4" s="9" t="s">
        <v>74</v>
      </c>
      <c r="X4" s="9" t="s">
        <v>74</v>
      </c>
      <c r="Y4" s="4" t="s">
        <v>135</v>
      </c>
      <c r="Z4" s="3" t="s">
        <v>74</v>
      </c>
      <c r="AA4" s="3" t="s">
        <v>129</v>
      </c>
      <c r="AB4" s="3" t="s">
        <v>130</v>
      </c>
      <c r="AC4" s="3" t="s">
        <v>131</v>
      </c>
      <c r="AD4" s="3" t="s">
        <v>132</v>
      </c>
      <c r="AE4" s="3" t="s">
        <v>88</v>
      </c>
      <c r="AF4" s="3"/>
    </row>
    <row r="5" spans="1:32" ht="28.8" x14ac:dyDescent="0.3">
      <c r="A5" s="3"/>
      <c r="B5" s="4" t="s">
        <v>111</v>
      </c>
      <c r="C5" s="4" t="s">
        <v>99</v>
      </c>
      <c r="D5" s="3" t="s">
        <v>136</v>
      </c>
      <c r="E5" s="3" t="s">
        <v>137</v>
      </c>
      <c r="F5" s="3" t="s">
        <v>85</v>
      </c>
      <c r="G5" s="3" t="s">
        <v>113</v>
      </c>
      <c r="H5" s="3" t="s">
        <v>114</v>
      </c>
      <c r="I5" s="3" t="s">
        <v>115</v>
      </c>
      <c r="J5" s="3" t="s">
        <v>116</v>
      </c>
      <c r="K5" s="3" t="s">
        <v>117</v>
      </c>
      <c r="L5" s="10" t="s">
        <v>118</v>
      </c>
      <c r="M5" s="3" t="s">
        <v>138</v>
      </c>
      <c r="N5" s="3" t="s">
        <v>119</v>
      </c>
      <c r="O5" s="3" t="s">
        <v>120</v>
      </c>
      <c r="P5" s="3" t="s">
        <v>121</v>
      </c>
      <c r="Q5" s="3" t="s">
        <v>139</v>
      </c>
      <c r="R5" s="3" t="s">
        <v>140</v>
      </c>
      <c r="S5" s="3" t="s">
        <v>81</v>
      </c>
      <c r="T5" s="3" t="s">
        <v>124</v>
      </c>
      <c r="U5" s="3" t="s">
        <v>141</v>
      </c>
      <c r="V5" s="8" t="s">
        <v>142</v>
      </c>
      <c r="W5" s="8" t="s">
        <v>143</v>
      </c>
      <c r="X5" s="8" t="s">
        <v>144</v>
      </c>
      <c r="Y5" s="4" t="s">
        <v>145</v>
      </c>
      <c r="Z5" s="4">
        <v>1.28</v>
      </c>
      <c r="AA5" s="3" t="s">
        <v>146</v>
      </c>
      <c r="AB5" s="3" t="s">
        <v>81</v>
      </c>
      <c r="AC5" s="3" t="s">
        <v>147</v>
      </c>
      <c r="AD5" s="3" t="s">
        <v>148</v>
      </c>
      <c r="AE5" s="3" t="s">
        <v>88</v>
      </c>
      <c r="AF5" s="3"/>
    </row>
    <row r="6" spans="1:32" x14ac:dyDescent="0.3">
      <c r="A6" s="3"/>
      <c r="AF6" s="3"/>
    </row>
    <row r="7" spans="1:32" ht="18" x14ac:dyDescent="0.3">
      <c r="A7" s="3"/>
      <c r="B7" s="5"/>
      <c r="AF7" s="3"/>
    </row>
    <row r="8" spans="1:32" x14ac:dyDescent="0.3">
      <c r="A8" s="3"/>
      <c r="B8" s="6"/>
      <c r="AF8" s="3"/>
    </row>
    <row r="9" spans="1:32" x14ac:dyDescent="0.3">
      <c r="A9" s="3"/>
      <c r="B9" s="7"/>
      <c r="AF9" s="3"/>
    </row>
    <row r="10" spans="1:32" x14ac:dyDescent="0.3">
      <c r="A10" s="3"/>
      <c r="B10" s="7"/>
      <c r="AF10" s="3"/>
    </row>
    <row r="11" spans="1:32" x14ac:dyDescent="0.3">
      <c r="A11" s="3"/>
      <c r="B11" s="7"/>
      <c r="AF11" s="3"/>
    </row>
    <row r="12" spans="1:32" x14ac:dyDescent="0.3">
      <c r="A12" s="3"/>
      <c r="B12" s="7"/>
      <c r="AF12" s="3"/>
    </row>
    <row r="13" spans="1:32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Graphs (6 Types)</vt:lpstr>
      <vt:lpstr>ReadMe</vt:lpstr>
      <vt:lpstr>Extra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Chowdhury</dc:creator>
  <cp:lastModifiedBy>Ahmad Chowdhury</cp:lastModifiedBy>
  <dcterms:created xsi:type="dcterms:W3CDTF">2026-03-10T12:18:58Z</dcterms:created>
  <dcterms:modified xsi:type="dcterms:W3CDTF">2026-04-15T02:35:07Z</dcterms:modified>
</cp:coreProperties>
</file>